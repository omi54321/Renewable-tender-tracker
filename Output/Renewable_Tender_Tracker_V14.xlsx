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SJVN-BESS2</t>
        </is>
      </c>
      <c r="B2" s="37" t="inlineStr">
        <is>
          <t>Central</t>
        </is>
      </c>
      <c r="C2" s="37" t="inlineStr">
        <is>
          <t>SJVN</t>
        </is>
      </c>
      <c r="D2" s="37" t="inlineStr">
        <is>
          <t>Haryana</t>
        </is>
      </c>
      <c r="E2" s="37" t="inlineStr">
        <is>
          <t>SJVN/CCDelhi/REIA/2026/BESS-2</t>
        </is>
      </c>
      <c r="F2" s="37" t="inlineStr">
        <is>
          <t>BESS</t>
        </is>
      </c>
      <c r="G2" s="274" t="n">
        <v>265</v>
      </c>
      <c r="H2" s="37" t="inlineStr">
        <is>
          <t>Yes</t>
        </is>
      </c>
      <c r="I2" s="37" t="n">
        <v>2</v>
      </c>
      <c r="J2" s="37" t="inlineStr">
        <is>
          <t>Standalone BESS under VGF and TBCB</t>
        </is>
      </c>
      <c r="K2" s="274" t="n"/>
      <c r="L2" s="37" t="n"/>
      <c r="M2" s="37" t="inlineStr">
        <is>
          <t>As per RfS</t>
        </is>
      </c>
      <c r="N2" s="280" t="n">
        <v>46255</v>
      </c>
      <c r="O2" s="280" t="n"/>
      <c r="P2" s="280" t="n"/>
      <c r="Q2" s="280" t="inlineStr">
        <is>
          <t>Open</t>
        </is>
      </c>
      <c r="R2" s="280" t="n">
        <v>46236</v>
      </c>
      <c r="S2" s="37" t="n">
        <v>0</v>
      </c>
      <c r="T2" s="37" t="inlineStr">
        <is>
          <t>https://sjvn.nic.in/en/tender</t>
        </is>
      </c>
      <c r="U2" s="37" t="n"/>
      <c r="V2" s="37" t="inlineStr">
        <is>
          <t>265 MW / 530 MWh BESS in Haryana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IF(A4="","",C4&amp;"|"&amp;E4&amp;"|"&amp;TEXT(N4,"yyyymmdd")&amp;"|"&amp;Q4&amp;"|"&amp;S4&amp;"|"&amp;TEXT(AI4,"yyyymmdd"))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Core fields</t>
        </is>
      </c>
      <c r="AE2" s="281">
        <f>IF(A4="","",IF(AC4="Official agency page",3,IF(AC4="Official government portal",3,IF(AC4="Official tender document",4,1)))+IF(AD4="Core fields",2,1))</f>
        <v/>
      </c>
      <c r="AF2" s="281">
        <f>IF(A4="","",IF(OR(Q4="Open",Q4="Extended"),"Current Opportunity",IF(Q4="Corrigendum","Needs Status Check",IF(Q4="Evaluation","Under Evaluation","Historical / Closed"))))</f>
        <v/>
      </c>
      <c r="AG2" s="281" t="n">
        <v>46227</v>
      </c>
      <c r="AH2" s="281" t="n"/>
      <c r="AI2" s="281" t="n"/>
      <c r="AJ2" t="inlineStr">
        <is>
          <t>No corrigendum identified in the captured official listing.</t>
        </is>
      </c>
      <c r="AK2" t="inlineStr">
        <is>
          <t>Standalone BESS under VGF and tariff-based competitive bidding</t>
        </is>
      </c>
      <c r="AL2" t="inlineStr">
        <is>
          <t>Dispatch schedule and availability obligations governed by RfS/BESSA/BESPA</t>
        </is>
      </c>
      <c r="AM2" t="inlineStr">
        <is>
          <t>Not verified from accessible document text</t>
        </is>
      </c>
      <c r="AN2" t="inlineStr">
        <is>
          <t>PLF is not applicable to standalone BESS; monthly availability/energy obligations require document review</t>
        </is>
      </c>
      <c r="AO2" t="inlineStr">
        <is>
          <t>Annual PLF/CUF not applicable; annual availability/cycle obligations require document review</t>
        </is>
      </c>
      <c r="AP2" t="inlineStr">
        <is>
          <t>Not verified from accessible document text</t>
        </is>
      </c>
      <c r="AQ2" t="inlineStr">
        <is>
          <t>Not verified from accessible document text</t>
        </is>
      </c>
      <c r="AR2" t="inlineStr">
        <is>
          <t>Charging-source provision not verified from accessible document text</t>
        </is>
      </c>
      <c r="AS2" t="inlineStr">
        <is>
          <t>Not verified</t>
        </is>
      </c>
      <c r="AT2" t="inlineStr">
        <is>
          <t>Official RfS PDF was listed but could not be reliably fetched in this review</t>
        </is>
      </c>
      <c r="AU2" t="inlineStr">
        <is>
          <t>Merchant-use rights not verified</t>
        </is>
      </c>
      <c r="AV2" t="inlineStr">
        <is>
          <t>https://sjvn.nic.in/sites/default/files/2026-07/RfS%20BESS%202%20240726.pdf</t>
        </is>
      </c>
      <c r="AW2" t="inlineStr">
        <is>
          <t>Document-level review pending; no assumptions inserted</t>
        </is>
      </c>
      <c r="AY2" s="282" t="n">
        <v>46250.15539132704</v>
      </c>
    </row>
    <row r="3">
      <c r="A3" s="37" t="inlineStr">
        <is>
          <t>MSEDCL-BESS-2000</t>
        </is>
      </c>
      <c r="B3" s="37" t="inlineStr">
        <is>
          <t>Maharashtra</t>
        </is>
      </c>
      <c r="C3" s="37" t="inlineStr">
        <is>
          <t>MSEDCL</t>
        </is>
      </c>
      <c r="D3" s="37" t="inlineStr">
        <is>
          <t>Maharashtra</t>
        </is>
      </c>
      <c r="E3" s="37" t="inlineStr">
        <is>
          <t>RfS-2000MW-4000MWh-BESS-2026</t>
        </is>
      </c>
      <c r="F3" s="37" t="inlineStr">
        <is>
          <t>BESS</t>
        </is>
      </c>
      <c r="G3" s="274" t="n">
        <v>2000</v>
      </c>
      <c r="H3" s="37" t="inlineStr">
        <is>
          <t>Yes</t>
        </is>
      </c>
      <c r="I3" s="37" t="n">
        <v>2</v>
      </c>
      <c r="J3" s="37" t="inlineStr">
        <is>
          <t>Tariff-based competitive bidding</t>
        </is>
      </c>
      <c r="K3" s="274" t="n"/>
      <c r="L3" s="37" t="n"/>
      <c r="M3" s="37" t="inlineStr">
        <is>
          <t>As per RfS</t>
        </is>
      </c>
      <c r="N3" s="280" t="n"/>
      <c r="O3" s="280" t="n"/>
      <c r="P3" s="280" t="n"/>
      <c r="Q3" s="280" t="inlineStr">
        <is>
          <t>Corrigendum</t>
        </is>
      </c>
      <c r="R3" s="280" t="n">
        <v>46236</v>
      </c>
      <c r="S3" s="37" t="n">
        <v>2</v>
      </c>
      <c r="T3" s="37" t="inlineStr">
        <is>
          <t>https://www.mahadiscom.in/en/supplier/tenders/</t>
        </is>
      </c>
      <c r="U3" s="37" t="n"/>
      <c r="V3" s="37" t="inlineStr">
        <is>
          <t>Corrigendum-2 published 22-Jul-2026; deadline not visible on listing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A3">
        <f>IF(A5="","",C5&amp;"|"&amp;E5&amp;"|"&amp;TEXT(N5,"yyyymmdd")&amp;"|"&amp;Q5&amp;"|"&amp;S5&amp;"|"&amp;TEXT(AI5,"yyyymmdd"))</f>
        <v/>
      </c>
      <c r="AB3" s="281" t="n">
        <v>46236</v>
      </c>
      <c r="AC3" s="281" t="inlineStr">
        <is>
          <t>Official agency page</t>
        </is>
      </c>
      <c r="AD3" s="281" t="inlineStr">
        <is>
          <t>Partial</t>
        </is>
      </c>
      <c r="AE3" s="281">
        <f>IF(A5="","",IF(AC5="Official agency page",3,IF(AC5="Official government portal",3,IF(AC5="Official tender document",4,1)))+IF(AD5="Core fields",2,1))</f>
        <v/>
      </c>
      <c r="AF3" s="281">
        <f>IF(A5="","",IF(OR(Q5="Open",Q5="Extended"),"Current Opportunity",IF(Q5="Corrigendum","Needs Status Check",IF(Q5="Evaluation","Under Evaluation","Historical / Closed"))))</f>
        <v/>
      </c>
      <c r="AG3" s="281" t="n">
        <v>46203</v>
      </c>
      <c r="AH3" s="281" t="inlineStr">
        <is>
          <t>2026-07-07; 2026-07-22</t>
        </is>
      </c>
      <c r="AI3" s="281" t="n">
        <v>46225</v>
      </c>
      <c r="AJ3" t="inlineStr">
        <is>
          <t>Addendum-1 and Addendum-2 published 07-Jul-2026; Corrigendum-2 published 22-Jul-2026</t>
        </is>
      </c>
      <c r="AK3" t="inlineStr">
        <is>
          <t>Standalone BESS under tariff-based competitive bidding</t>
        </is>
      </c>
      <c r="AL3" t="inlineStr">
        <is>
          <t>Dispatch/charging schedule governed by RfS and BESPA</t>
        </is>
      </c>
      <c r="AM3" t="inlineStr">
        <is>
          <t>PLF is not applicable to standalone BESS; daily cycle and availability obligations require current 2026 RfS review</t>
        </is>
      </c>
      <c r="AN3" t="inlineStr">
        <is>
          <t>Monthly availability/payment condition not verified from accessible current document text</t>
        </is>
      </c>
      <c r="AO3" t="inlineStr">
        <is>
          <t>Annual PLF/CUF not applicable; annual availability requirement not verified</t>
        </is>
      </c>
      <c r="AP3" t="inlineStr">
        <is>
          <t>Not verified from accessible current 2026 document text</t>
        </is>
      </c>
      <c r="AQ3" t="inlineStr">
        <is>
          <t>Not verified from accessible current 2026 document text</t>
        </is>
      </c>
      <c r="AR3" t="inlineStr">
        <is>
          <t>Charging source and grid/exchange charging permission not verified</t>
        </is>
      </c>
      <c r="AS3" t="inlineStr">
        <is>
          <t>Not verified</t>
        </is>
      </c>
      <c r="AT3" t="inlineStr">
        <is>
          <t>Current 2026 tender and corrigenda are visible on MSEDCL, but detailed clauses require opening the RfS/corrigendum PDF</t>
        </is>
      </c>
      <c r="AU3" t="inlineStr">
        <is>
          <t>Merchant-use rights not verified</t>
        </is>
      </c>
      <c r="AV3" t="inlineStr">
        <is>
          <t>https://www.mahadiscom.in/en/supplier/tenders/</t>
        </is>
      </c>
      <c r="AW3" t="inlineStr">
        <is>
          <t>Tender confirmed; commercial clause extraction pending</t>
        </is>
      </c>
      <c r="AY3" s="282" t="n">
        <v>46250.15539132704</v>
      </c>
    </row>
    <row r="4">
      <c r="A4" s="37" t="inlineStr">
        <is>
          <t>SECI000240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SECI/C&amp;P/IPP/13/0020/25-26</t>
        </is>
      </c>
      <c r="F4" s="37" t="inlineStr">
        <is>
          <t>FDRE</t>
        </is>
      </c>
      <c r="G4" s="274" t="n">
        <v>1000</v>
      </c>
      <c r="H4" s="37" t="inlineStr">
        <is>
          <t>No</t>
        </is>
      </c>
      <c r="I4" s="37" t="n"/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46237.26024921297</v>
      </c>
      <c r="S4" s="37" t="n">
        <v>0</v>
      </c>
      <c r="T4" s="37" t="inlineStr">
        <is>
          <t>https://www.seci.co.in/tender-details/YmZ3</t>
        </is>
      </c>
      <c r="U4" s="37" t="n"/>
      <c r="V4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46237.26024921297</v>
      </c>
      <c r="AY4" s="282" t="n">
        <v>46250.15539132704</v>
      </c>
      <c r="AZ4" t="inlineStr">
        <is>
          <t>014f0276d0bedb946c97bc1d31fd766e19a14673016f74b3288a3d56aab0e824</t>
        </is>
      </c>
    </row>
    <row r="5">
      <c r="A5" s="37" t="inlineStr">
        <is>
          <t>SECI000258</t>
        </is>
      </c>
      <c r="B5" s="37" t="inlineStr">
        <is>
          <t>Central</t>
        </is>
      </c>
      <c r="C5" s="37" t="inlineStr">
        <is>
          <t>SECI</t>
        </is>
      </c>
      <c r="D5" s="37" t="n"/>
      <c r="E5" s="37" t="inlineStr">
        <is>
          <t>SECI/C&amp;P/IPP/13/0006/26-27</t>
        </is>
      </c>
      <c r="F5" s="37" t="inlineStr">
        <is>
          <t>FDRE</t>
        </is>
      </c>
      <c r="G5" s="274" t="n">
        <v>1500</v>
      </c>
      <c r="H5" s="37" t="inlineStr">
        <is>
          <t>Yes</t>
        </is>
      </c>
      <c r="I5" s="37" t="n">
        <v>4</v>
      </c>
      <c r="J5" s="37" t="n"/>
      <c r="K5" s="274" t="n"/>
      <c r="L5" s="37" t="n"/>
      <c r="M5" s="37" t="n"/>
      <c r="N5" s="280" t="n"/>
      <c r="O5" s="280" t="n"/>
      <c r="P5" s="280" t="n"/>
      <c r="Q5" s="280" t="inlineStr">
        <is>
          <t>Open</t>
        </is>
      </c>
      <c r="R5" s="280" t="n">
        <v>46243.17686518518</v>
      </c>
      <c r="S5" s="37" t="n">
        <v>0</v>
      </c>
      <c r="T5" s="37" t="inlineStr">
        <is>
          <t>https://www.seci.co.in/tender-details/Ymd_</t>
        </is>
      </c>
      <c r="U5" s="37" t="n"/>
      <c r="V5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5" s="278">
        <f>IF(N5="","",N5-TODAY())</f>
        <v/>
      </c>
      <c r="X5">
        <f>IF(W5="","",IF(W5&lt;0,"Expired",IF(W5&lt;=3,"Urgent",IF(W5&lt;=7,"Due in 7 Days","Normal"))))</f>
        <v/>
      </c>
      <c r="Y5">
        <f>UPPER(TRIM(C5&amp;"|"&amp;E5))</f>
        <v/>
      </c>
      <c r="Z5">
        <f>IF(Y5="","",IF(COUNTIF($Y$2:$Y$501,Y5)&gt;1,"Duplicate","Unique"))</f>
        <v/>
      </c>
      <c r="AB5" s="281" t="n"/>
      <c r="AC5" s="281" t="inlineStr">
        <is>
          <t>Official agency page</t>
        </is>
      </c>
      <c r="AD5" s="281" t="n"/>
      <c r="AE5" s="281" t="n"/>
      <c r="AF5" s="281" t="n"/>
      <c r="AG5" s="281" t="n"/>
      <c r="AH5" s="281" t="inlineStr"/>
      <c r="AI5" s="281" t="n"/>
      <c r="AX5" s="282" t="n">
        <v>46243.17686518518</v>
      </c>
      <c r="AY5" s="282" t="n">
        <v>46250.15539132704</v>
      </c>
      <c r="AZ5" t="inlineStr">
        <is>
          <t>63f0892f32e39002cd45d1e3a78c55637433070adc204427287bd864299eff80</t>
        </is>
      </c>
    </row>
    <row r="6">
      <c r="A6" s="37" t="n"/>
      <c r="B6" s="37" t="n"/>
      <c r="C6" s="37" t="n"/>
      <c r="D6" s="37" t="n"/>
      <c r="E6" s="37" t="n"/>
      <c r="F6" s="37" t="n"/>
      <c r="G6" s="274" t="n"/>
      <c r="H6" s="37" t="n"/>
      <c r="I6" s="37" t="n"/>
      <c r="J6" s="37" t="n"/>
      <c r="K6" s="274" t="n"/>
      <c r="L6" s="37" t="n"/>
      <c r="M6" s="37" t="n"/>
      <c r="N6" s="280" t="n"/>
      <c r="O6" s="280" t="n"/>
      <c r="P6" s="280" t="n"/>
      <c r="Q6" s="280" t="n"/>
      <c r="R6" s="280" t="n"/>
      <c r="S6" s="37" t="n"/>
      <c r="T6" s="37" t="n"/>
      <c r="U6" s="37" t="n"/>
      <c r="V6" s="37" t="n"/>
      <c r="W6" s="278" t="n"/>
      <c r="AB6" s="281" t="n"/>
      <c r="AC6" s="281" t="n"/>
      <c r="AD6" s="281" t="n"/>
      <c r="AE6" s="281" t="n"/>
      <c r="AF6" s="281" t="n"/>
      <c r="AG6" s="281" t="n"/>
      <c r="AH6" s="281" t="n"/>
      <c r="AI6" s="281" t="n"/>
      <c r="AX6" s="282" t="n"/>
      <c r="AY6" s="282" t="n"/>
    </row>
    <row r="7">
      <c r="A7" s="37" t="n"/>
      <c r="B7" s="37" t="n"/>
      <c r="C7" s="37" t="n"/>
      <c r="D7" s="37" t="n"/>
      <c r="E7" s="37" t="n"/>
      <c r="F7" s="37" t="n"/>
      <c r="G7" s="274" t="n"/>
      <c r="H7" s="37" t="n"/>
      <c r="I7" s="37" t="n"/>
      <c r="J7" s="37" t="n"/>
      <c r="K7" s="274" t="n"/>
      <c r="L7" s="37" t="n"/>
      <c r="M7" s="37" t="n"/>
      <c r="N7" s="280" t="n"/>
      <c r="O7" s="280" t="n"/>
      <c r="P7" s="280" t="n"/>
      <c r="Q7" s="280" t="n"/>
      <c r="R7" s="280" t="n"/>
      <c r="S7" s="37" t="n"/>
      <c r="T7" s="37" t="n"/>
      <c r="U7" s="37" t="n"/>
      <c r="V7" s="37" t="n"/>
      <c r="W7" s="278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X7" s="282" t="n"/>
      <c r="AY7" s="282" t="n"/>
    </row>
    <row r="8">
      <c r="A8" s="37" t="n"/>
      <c r="B8" s="37" t="n"/>
      <c r="C8" s="37" t="n"/>
      <c r="D8" s="37" t="n"/>
      <c r="E8" s="37" t="n"/>
      <c r="F8" s="37" t="n"/>
      <c r="G8" s="274" t="n"/>
      <c r="H8" s="37" t="n"/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n"/>
      <c r="R8" s="280" t="n"/>
      <c r="S8" s="37" t="n"/>
      <c r="T8" s="37" t="n"/>
      <c r="U8" s="37" t="n"/>
      <c r="V8" s="37" t="n"/>
      <c r="W8" s="278" t="n"/>
      <c r="AB8" s="281" t="n"/>
      <c r="AC8" s="281" t="n"/>
      <c r="AD8" s="281" t="n"/>
      <c r="AE8" s="281" t="n"/>
      <c r="AF8" s="281" t="n"/>
      <c r="AG8" s="281" t="n"/>
      <c r="AH8" s="281" t="n"/>
      <c r="AI8" s="281" t="n"/>
      <c r="AX8" s="282" t="n"/>
      <c r="AY8" s="282" t="n"/>
    </row>
    <row r="9">
      <c r="A9" s="37" t="n"/>
      <c r="B9" s="37" t="n"/>
      <c r="C9" s="37" t="n"/>
      <c r="D9" s="37" t="n"/>
      <c r="E9" s="37" t="n"/>
      <c r="F9" s="37" t="n"/>
      <c r="G9" s="274" t="n"/>
      <c r="H9" s="37" t="n"/>
      <c r="I9" s="37" t="n"/>
      <c r="J9" s="37" t="n"/>
      <c r="K9" s="274" t="n"/>
      <c r="L9" s="37" t="n"/>
      <c r="M9" s="37" t="n"/>
      <c r="N9" s="280" t="n"/>
      <c r="O9" s="280" t="n"/>
      <c r="P9" s="280" t="n"/>
      <c r="Q9" s="280" t="n"/>
      <c r="R9" s="280" t="n"/>
      <c r="S9" s="37" t="n"/>
      <c r="T9" s="37" t="n"/>
      <c r="U9" s="37" t="n"/>
      <c r="V9" s="37" t="n"/>
      <c r="W9" s="278" t="n"/>
      <c r="AB9" s="281" t="n"/>
      <c r="AG9" s="281" t="n"/>
      <c r="AH9" s="281" t="n"/>
      <c r="AI9" s="281" t="n"/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71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  <row r="137">
      <c r="A137" t="inlineStr">
        <is>
          <t>SECI000270</t>
        </is>
      </c>
      <c r="B137" t="inlineStr">
        <is>
          <t>SECI</t>
        </is>
      </c>
      <c r="C137" t="inlineStr">
        <is>
          <t>SECI/C&amp;P/OP/15/0005/26-27</t>
        </is>
      </c>
      <c r="D137" t="inlineStr">
        <is>
          <t>Solar</t>
        </is>
      </c>
      <c r="F137" t="inlineStr">
        <is>
          <t>Open</t>
        </is>
      </c>
      <c r="G137" t="inlineStr">
        <is>
          <t>Rooftop solar excluded</t>
        </is>
      </c>
      <c r="H137" t="inlineStr">
        <is>
          <t>https://www.seci.co.in/tender-details/YmV3</t>
        </is>
      </c>
    </row>
    <row r="138">
      <c r="A138" t="inlineStr">
        <is>
          <t>SECI000252</t>
        </is>
      </c>
      <c r="B138" t="inlineStr">
        <is>
          <t>SECI</t>
        </is>
      </c>
      <c r="C138" t="inlineStr">
        <is>
          <t>SECI/C&amp;P/OP/11/0001/26-27</t>
        </is>
      </c>
      <c r="D138" t="inlineStr">
        <is>
          <t>Solar</t>
        </is>
      </c>
      <c r="E138" t="n">
        <v>88</v>
      </c>
      <c r="F138" t="inlineStr">
        <is>
          <t>Open</t>
        </is>
      </c>
      <c r="G138" t="inlineStr">
        <is>
          <t>EPC / turnkey / BoS excluded</t>
        </is>
      </c>
      <c r="H138" t="inlineStr">
        <is>
          <t>https://www.seci.co.in/tender-details/Ymd1</t>
        </is>
      </c>
    </row>
    <row r="139">
      <c r="A139" t="inlineStr">
        <is>
          <t>SECI000267</t>
        </is>
      </c>
      <c r="B139" t="inlineStr">
        <is>
          <t>SECI</t>
        </is>
      </c>
      <c r="C139" t="inlineStr">
        <is>
          <t>SECI/C&amp;P/MI/00/0001/26-27</t>
        </is>
      </c>
      <c r="D139" t="inlineStr">
        <is>
          <t>Other</t>
        </is>
      </c>
      <c r="F139" t="inlineStr">
        <is>
          <t>Open</t>
        </is>
      </c>
      <c r="G139" t="inlineStr">
        <is>
          <t>Capacity not confirmed</t>
        </is>
      </c>
      <c r="H139" t="inlineStr">
        <is>
          <t>https://www.seci.co.in/tender-details/YmRw</t>
        </is>
      </c>
    </row>
    <row r="140">
      <c r="A140" t="inlineStr">
        <is>
          <t>SECI000263</t>
        </is>
      </c>
      <c r="B140" t="inlineStr">
        <is>
          <t>SECI</t>
        </is>
      </c>
      <c r="C140" t="inlineStr">
        <is>
          <t>SECI/C&amp;P/OP/11/0003/26-27</t>
        </is>
      </c>
      <c r="D140" t="inlineStr">
        <is>
          <t>Wind</t>
        </is>
      </c>
      <c r="E140" t="n">
        <v>45.6</v>
      </c>
      <c r="F140" t="inlineStr">
        <is>
          <t>Open</t>
        </is>
      </c>
      <c r="G140" t="inlineStr">
        <is>
          <t>Capacity below configured minimum</t>
        </is>
      </c>
      <c r="H140" t="inlineStr">
        <is>
          <t>https://www.seci.co.in/tender-details/YmR0</t>
        </is>
      </c>
    </row>
    <row r="141">
      <c r="A141" t="inlineStr">
        <is>
          <t>SECI000265</t>
        </is>
      </c>
      <c r="B141" t="inlineStr">
        <is>
          <t>SECI</t>
        </is>
      </c>
      <c r="C141" t="inlineStr">
        <is>
          <t>SECI/C&amp;P/IPP/11/0007/26-27</t>
        </is>
      </c>
      <c r="D141" t="inlineStr">
        <is>
          <t>Solar</t>
        </is>
      </c>
      <c r="F141" t="inlineStr">
        <is>
          <t>Open</t>
        </is>
      </c>
      <c r="G141" t="inlineStr">
        <is>
          <t>Rooftop solar excluded</t>
        </is>
      </c>
      <c r="H141" t="inlineStr">
        <is>
          <t>https://www.seci.co.in/tender-details/YmRy</t>
        </is>
      </c>
    </row>
    <row r="142">
      <c r="A142" t="inlineStr">
        <is>
          <t>SECI000269</t>
        </is>
      </c>
      <c r="B142" t="inlineStr">
        <is>
          <t>SECI</t>
        </is>
      </c>
      <c r="C142" t="inlineStr">
        <is>
          <t>SECI000269</t>
        </is>
      </c>
      <c r="D142" t="inlineStr">
        <is>
          <t>BESS</t>
        </is>
      </c>
      <c r="E142" t="n">
        <v>40</v>
      </c>
      <c r="F142" t="inlineStr">
        <is>
          <t>Open</t>
        </is>
      </c>
      <c r="G142" t="inlineStr">
        <is>
          <t>Capacity below configured minimum</t>
        </is>
      </c>
      <c r="H142" t="inlineStr">
        <is>
          <t>https://www.seci.co.in/tender-details/YmR-</t>
        </is>
      </c>
    </row>
    <row r="143">
      <c r="A143" t="inlineStr">
        <is>
          <t>SECI000262</t>
        </is>
      </c>
      <c r="B143" t="inlineStr">
        <is>
          <t>SECI</t>
        </is>
      </c>
      <c r="C143" t="inlineStr">
        <is>
          <t>SECI/C&amp;P/OP/11/0002/26-27</t>
        </is>
      </c>
      <c r="D143" t="inlineStr">
        <is>
          <t>Solar + BESS</t>
        </is>
      </c>
      <c r="E143" t="n">
        <v>25</v>
      </c>
      <c r="F143" t="inlineStr">
        <is>
          <t>Open</t>
        </is>
      </c>
      <c r="G143" t="inlineStr">
        <is>
          <t>Capacity below configured minimum</t>
        </is>
      </c>
      <c r="H143" t="inlineStr">
        <is>
          <t>https://www.seci.co.in/tender-details/YmR1</t>
        </is>
      </c>
    </row>
    <row r="144">
      <c r="A144" t="inlineStr">
        <is>
          <t>SECI000264</t>
        </is>
      </c>
      <c r="B144" t="inlineStr">
        <is>
          <t>SECI</t>
        </is>
      </c>
      <c r="C144" t="inlineStr">
        <is>
          <t>SECI/C&amp;P/EOI/17/0002/26-27</t>
        </is>
      </c>
      <c r="D144" t="inlineStr">
        <is>
          <t>Other</t>
        </is>
      </c>
      <c r="F144" t="inlineStr">
        <is>
          <t>Open</t>
        </is>
      </c>
      <c r="G144" t="inlineStr">
        <is>
          <t>Capacity not confirmed</t>
        </is>
      </c>
      <c r="H144" t="inlineStr">
        <is>
          <t>https://www.seci.co.in/tender-details/YmRz</t>
        </is>
      </c>
    </row>
    <row r="145">
      <c r="B145" t="inlineStr">
        <is>
          <t>GRIDCO</t>
        </is>
      </c>
      <c r="C145" t="inlineStr">
        <is>
          <t>View Details Tender Document Addendum-I Pre-Bid Meeting Link Corrigendum-II Addendum-6 Odisha Floating Solar Data Room - Contents Addendum_09 Addendum</t>
        </is>
      </c>
      <c r="D145" t="inlineStr">
        <is>
          <t>Solar</t>
        </is>
      </c>
      <c r="F145" t="inlineStr">
        <is>
          <t>Corrigendum</t>
        </is>
      </c>
      <c r="G145" t="inlineStr">
        <is>
          <t>Capacity not confirmed</t>
        </is>
      </c>
      <c r="H145" t="inlineStr">
        <is>
          <t>https://www.gridco.co.in/writereaddata/Tenders/301225101225upload.pdf</t>
        </is>
      </c>
    </row>
    <row r="146">
      <c r="B146" t="inlineStr">
        <is>
          <t>GRIDCO</t>
        </is>
      </c>
      <c r="C146" t="inlineStr">
        <is>
          <t>Addendum-6 Odisha Floating Solar Data Room - Contents</t>
        </is>
      </c>
      <c r="D146" t="inlineStr">
        <is>
          <t>Solar</t>
        </is>
      </c>
      <c r="F146" t="inlineStr">
        <is>
          <t>Open</t>
        </is>
      </c>
      <c r="G146" t="inlineStr">
        <is>
          <t>Capacity not confirmed</t>
        </is>
      </c>
      <c r="H146" t="inlineStr">
        <is>
          <t>https://www.gridco.co.in/writereaddata/Tenders/301126051106Addendum-6_Odisha Floating Solar Data room - Contents.pdf</t>
        </is>
      </c>
    </row>
    <row r="147">
      <c r="A147" t="inlineStr">
        <is>
          <t>SECI000270</t>
        </is>
      </c>
      <c r="B147" t="inlineStr">
        <is>
          <t>SECI</t>
        </is>
      </c>
      <c r="C147" t="inlineStr">
        <is>
          <t>SECI/C&amp;P/OP/15/0005/26-27</t>
        </is>
      </c>
      <c r="D147" t="inlineStr">
        <is>
          <t>Solar</t>
        </is>
      </c>
      <c r="F147" t="inlineStr">
        <is>
          <t>Open</t>
        </is>
      </c>
      <c r="G147" t="inlineStr">
        <is>
          <t>Rooftop solar excluded</t>
        </is>
      </c>
      <c r="H147" t="inlineStr">
        <is>
          <t>https://www.seci.co.in/tender-details/YmV3</t>
        </is>
      </c>
    </row>
    <row r="148">
      <c r="A148" t="inlineStr">
        <is>
          <t>SECI000252</t>
        </is>
      </c>
      <c r="B148" t="inlineStr">
        <is>
          <t>SECI</t>
        </is>
      </c>
      <c r="C148" t="inlineStr">
        <is>
          <t>SECI/C&amp;P/OP/11/0001/26-27</t>
        </is>
      </c>
      <c r="D148" t="inlineStr">
        <is>
          <t>Solar</t>
        </is>
      </c>
      <c r="E148" t="n">
        <v>88</v>
      </c>
      <c r="F148" t="inlineStr">
        <is>
          <t>Open</t>
        </is>
      </c>
      <c r="G148" t="inlineStr">
        <is>
          <t>EPC / turnkey / BoS excluded</t>
        </is>
      </c>
      <c r="H148" t="inlineStr">
        <is>
          <t>https://www.seci.co.in/tender-details/Ymd1</t>
        </is>
      </c>
    </row>
    <row r="149">
      <c r="A149" t="inlineStr">
        <is>
          <t>SECI000267</t>
        </is>
      </c>
      <c r="B149" t="inlineStr">
        <is>
          <t>SECI</t>
        </is>
      </c>
      <c r="C149" t="inlineStr">
        <is>
          <t>SECI/C&amp;P/MI/00/0001/26-27</t>
        </is>
      </c>
      <c r="D149" t="inlineStr">
        <is>
          <t>Other</t>
        </is>
      </c>
      <c r="F149" t="inlineStr">
        <is>
          <t>Open</t>
        </is>
      </c>
      <c r="G149" t="inlineStr">
        <is>
          <t>Capacity not confirmed</t>
        </is>
      </c>
      <c r="H149" t="inlineStr">
        <is>
          <t>https://www.seci.co.in/tender-details/YmRw</t>
        </is>
      </c>
    </row>
    <row r="150">
      <c r="A150" t="inlineStr">
        <is>
          <t>SECI000263</t>
        </is>
      </c>
      <c r="B150" t="inlineStr">
        <is>
          <t>SECI</t>
        </is>
      </c>
      <c r="C150" t="inlineStr">
        <is>
          <t>SECI/C&amp;P/OP/11/0003/26-27</t>
        </is>
      </c>
      <c r="D150" t="inlineStr">
        <is>
          <t>Wind</t>
        </is>
      </c>
      <c r="E150" t="n">
        <v>45.6</v>
      </c>
      <c r="F150" t="inlineStr">
        <is>
          <t>Open</t>
        </is>
      </c>
      <c r="G150" t="inlineStr">
        <is>
          <t>Capacity below configured minimum</t>
        </is>
      </c>
      <c r="H150" t="inlineStr">
        <is>
          <t>https://www.seci.co.in/tender-details/YmR0</t>
        </is>
      </c>
    </row>
    <row r="151">
      <c r="A151" t="inlineStr">
        <is>
          <t>SECI000265</t>
        </is>
      </c>
      <c r="B151" t="inlineStr">
        <is>
          <t>SECI</t>
        </is>
      </c>
      <c r="C151" t="inlineStr">
        <is>
          <t>SECI/C&amp;P/IPP/11/0007/26-27</t>
        </is>
      </c>
      <c r="D151" t="inlineStr">
        <is>
          <t>Solar</t>
        </is>
      </c>
      <c r="F151" t="inlineStr">
        <is>
          <t>Open</t>
        </is>
      </c>
      <c r="G151" t="inlineStr">
        <is>
          <t>Rooftop solar excluded</t>
        </is>
      </c>
      <c r="H151" t="inlineStr">
        <is>
          <t>https://www.seci.co.in/tender-details/YmRy</t>
        </is>
      </c>
    </row>
    <row r="152">
      <c r="A152" t="inlineStr">
        <is>
          <t>SECI000269</t>
        </is>
      </c>
      <c r="B152" t="inlineStr">
        <is>
          <t>SECI</t>
        </is>
      </c>
      <c r="C152" t="inlineStr">
        <is>
          <t>SECI000269</t>
        </is>
      </c>
      <c r="D152" t="inlineStr">
        <is>
          <t>BESS</t>
        </is>
      </c>
      <c r="E152" t="n">
        <v>40</v>
      </c>
      <c r="F152" t="inlineStr">
        <is>
          <t>Open</t>
        </is>
      </c>
      <c r="G152" t="inlineStr">
        <is>
          <t>Capacity below configured minimum</t>
        </is>
      </c>
      <c r="H152" t="inlineStr">
        <is>
          <t>https://www.seci.co.in/tender-details/YmR-</t>
        </is>
      </c>
    </row>
    <row r="153">
      <c r="A153" t="inlineStr">
        <is>
          <t>SECI000262</t>
        </is>
      </c>
      <c r="B153" t="inlineStr">
        <is>
          <t>SECI</t>
        </is>
      </c>
      <c r="C153" t="inlineStr">
        <is>
          <t>SECI/C&amp;P/OP/11/0002/26-27</t>
        </is>
      </c>
      <c r="D153" t="inlineStr">
        <is>
          <t>Solar + BESS</t>
        </is>
      </c>
      <c r="E153" t="n">
        <v>25</v>
      </c>
      <c r="F153" t="inlineStr">
        <is>
          <t>Open</t>
        </is>
      </c>
      <c r="G153" t="inlineStr">
        <is>
          <t>Capacity below configured minimum</t>
        </is>
      </c>
      <c r="H153" t="inlineStr">
        <is>
          <t>https://www.seci.co.in/tender-details/YmR1</t>
        </is>
      </c>
    </row>
    <row r="154">
      <c r="A154" t="inlineStr">
        <is>
          <t>SECI000264</t>
        </is>
      </c>
      <c r="B154" t="inlineStr">
        <is>
          <t>SECI</t>
        </is>
      </c>
      <c r="C154" t="inlineStr">
        <is>
          <t>SECI/C&amp;P/EOI/17/0002/26-27</t>
        </is>
      </c>
      <c r="D154" t="inlineStr">
        <is>
          <t>Other</t>
        </is>
      </c>
      <c r="F154" t="inlineStr">
        <is>
          <t>Open</t>
        </is>
      </c>
      <c r="G154" t="inlineStr">
        <is>
          <t>Capacity not confirmed</t>
        </is>
      </c>
      <c r="H154" t="inlineStr">
        <is>
          <t>https://www.seci.co.in/tender-details/YmRz</t>
        </is>
      </c>
    </row>
    <row r="155">
      <c r="B155" t="inlineStr">
        <is>
          <t>SJVN</t>
        </is>
      </c>
      <c r="C155" t="inlineStr">
        <is>
          <t>Insurance Coverage (Fire &amp; Burglary) for 571.22 MWp Solar PV Modules stored at Village Mohija Paranda, Post Kurula, Tehsil Kandhar, District Nanded, M</t>
        </is>
      </c>
      <c r="D155" t="inlineStr">
        <is>
          <t>Solar</t>
        </is>
      </c>
      <c r="F155" t="inlineStr">
        <is>
          <t>Open</t>
        </is>
      </c>
      <c r="G155" t="inlineStr">
        <is>
          <t>Capacity not confirmed</t>
        </is>
      </c>
      <c r="H155" t="inlineStr">
        <is>
          <t>https://sjvn.nic.in/en/tender</t>
        </is>
      </c>
    </row>
    <row r="156">
      <c r="B156" t="inlineStr">
        <is>
          <t>GRIDCO</t>
        </is>
      </c>
      <c r="C156" t="inlineStr">
        <is>
          <t>View Details Tender Document Addendum-I Pre-Bid Meeting Link Corrigendum-II Addendum-6 Odisha Floating Solar Data Room - Contents Addendum_09 Addendum</t>
        </is>
      </c>
      <c r="D156" t="inlineStr">
        <is>
          <t>Solar</t>
        </is>
      </c>
      <c r="F156" t="inlineStr">
        <is>
          <t>Corrigendum</t>
        </is>
      </c>
      <c r="G156" t="inlineStr">
        <is>
          <t>Capacity not confirmed</t>
        </is>
      </c>
      <c r="H156" t="inlineStr">
        <is>
          <t>https://www.gridco.co.in/writereaddata/Tenders/301225101225upload.pdf</t>
        </is>
      </c>
    </row>
    <row r="157">
      <c r="B157" t="inlineStr">
        <is>
          <t>GRIDCO</t>
        </is>
      </c>
      <c r="C157" t="inlineStr">
        <is>
          <t>Addendum-6 Odisha Floating Solar Data Room - Contents</t>
        </is>
      </c>
      <c r="D157" t="inlineStr">
        <is>
          <t>Solar</t>
        </is>
      </c>
      <c r="F157" t="inlineStr">
        <is>
          <t>Open</t>
        </is>
      </c>
      <c r="G157" t="inlineStr">
        <is>
          <t>Capacity not confirmed</t>
        </is>
      </c>
      <c r="H157" t="inlineStr">
        <is>
          <t>https://www.gridco.co.in/writereaddata/Tenders/301126051106Addendum-6_Odisha Floating Solar Data room - Contents.pdf</t>
        </is>
      </c>
    </row>
    <row r="158">
      <c r="A158" t="inlineStr">
        <is>
          <t>SECI000270</t>
        </is>
      </c>
      <c r="B158" t="inlineStr">
        <is>
          <t>SECI</t>
        </is>
      </c>
      <c r="C158" t="inlineStr">
        <is>
          <t>SECI/C&amp;P/OP/15/0005/26-27</t>
        </is>
      </c>
      <c r="D158" t="inlineStr">
        <is>
          <t>Solar</t>
        </is>
      </c>
      <c r="F158" t="inlineStr">
        <is>
          <t>Open</t>
        </is>
      </c>
      <c r="G158" t="inlineStr">
        <is>
          <t>Rooftop solar excluded</t>
        </is>
      </c>
      <c r="H158" t="inlineStr">
        <is>
          <t>https://www.seci.co.in/tender-details/YmV3</t>
        </is>
      </c>
    </row>
    <row r="159">
      <c r="A159" t="inlineStr">
        <is>
          <t>SECI000252</t>
        </is>
      </c>
      <c r="B159" t="inlineStr">
        <is>
          <t>SECI</t>
        </is>
      </c>
      <c r="C159" t="inlineStr">
        <is>
          <t>SECI/C&amp;P/OP/11/0001/26-27</t>
        </is>
      </c>
      <c r="D159" t="inlineStr">
        <is>
          <t>Solar</t>
        </is>
      </c>
      <c r="E159" t="n">
        <v>88</v>
      </c>
      <c r="F159" t="inlineStr">
        <is>
          <t>Open</t>
        </is>
      </c>
      <c r="G159" t="inlineStr">
        <is>
          <t>EPC / turnkey / BoS excluded</t>
        </is>
      </c>
      <c r="H159" t="inlineStr">
        <is>
          <t>https://www.seci.co.in/tender-details/Ymd1</t>
        </is>
      </c>
    </row>
    <row r="160">
      <c r="A160" t="inlineStr">
        <is>
          <t>SECI000267</t>
        </is>
      </c>
      <c r="B160" t="inlineStr">
        <is>
          <t>SECI</t>
        </is>
      </c>
      <c r="C160" t="inlineStr">
        <is>
          <t>SECI/C&amp;P/MI/00/0001/26-27</t>
        </is>
      </c>
      <c r="D160" t="inlineStr">
        <is>
          <t>Other</t>
        </is>
      </c>
      <c r="F160" t="inlineStr">
        <is>
          <t>Open</t>
        </is>
      </c>
      <c r="G160" t="inlineStr">
        <is>
          <t>Capacity not confirmed</t>
        </is>
      </c>
      <c r="H160" t="inlineStr">
        <is>
          <t>https://www.seci.co.in/tender-details/YmRw</t>
        </is>
      </c>
    </row>
    <row r="161">
      <c r="A161" t="inlineStr">
        <is>
          <t>SECI000263</t>
        </is>
      </c>
      <c r="B161" t="inlineStr">
        <is>
          <t>SECI</t>
        </is>
      </c>
      <c r="C161" t="inlineStr">
        <is>
          <t>SECI/C&amp;P/OP/11/0003/26-27</t>
        </is>
      </c>
      <c r="D161" t="inlineStr">
        <is>
          <t>Wind</t>
        </is>
      </c>
      <c r="E161" t="n">
        <v>45.6</v>
      </c>
      <c r="F161" t="inlineStr">
        <is>
          <t>Open</t>
        </is>
      </c>
      <c r="G161" t="inlineStr">
        <is>
          <t>Capacity below configured minimum</t>
        </is>
      </c>
      <c r="H161" t="inlineStr">
        <is>
          <t>https://www.seci.co.in/tender-details/YmR0</t>
        </is>
      </c>
    </row>
    <row r="162">
      <c r="A162" t="inlineStr">
        <is>
          <t>SECI000265</t>
        </is>
      </c>
      <c r="B162" t="inlineStr">
        <is>
          <t>SECI</t>
        </is>
      </c>
      <c r="C162" t="inlineStr">
        <is>
          <t>SECI/C&amp;P/IPP/11/0007/26-27</t>
        </is>
      </c>
      <c r="D162" t="inlineStr">
        <is>
          <t>Solar</t>
        </is>
      </c>
      <c r="F162" t="inlineStr">
        <is>
          <t>Open</t>
        </is>
      </c>
      <c r="G162" t="inlineStr">
        <is>
          <t>Rooftop solar excluded</t>
        </is>
      </c>
      <c r="H162" t="inlineStr">
        <is>
          <t>https://www.seci.co.in/tender-details/YmRy</t>
        </is>
      </c>
    </row>
    <row r="163">
      <c r="A163" t="inlineStr">
        <is>
          <t>SECI000269</t>
        </is>
      </c>
      <c r="B163" t="inlineStr">
        <is>
          <t>SECI</t>
        </is>
      </c>
      <c r="C163" t="inlineStr">
        <is>
          <t>SECI000269</t>
        </is>
      </c>
      <c r="D163" t="inlineStr">
        <is>
          <t>BESS</t>
        </is>
      </c>
      <c r="E163" t="n">
        <v>40</v>
      </c>
      <c r="F163" t="inlineStr">
        <is>
          <t>Open</t>
        </is>
      </c>
      <c r="G163" t="inlineStr">
        <is>
          <t>Capacity below configured minimum</t>
        </is>
      </c>
      <c r="H163" t="inlineStr">
        <is>
          <t>https://www.seci.co.in/tender-details/YmR-</t>
        </is>
      </c>
    </row>
    <row r="164">
      <c r="A164" t="inlineStr">
        <is>
          <t>SECI000262</t>
        </is>
      </c>
      <c r="B164" t="inlineStr">
        <is>
          <t>SECI</t>
        </is>
      </c>
      <c r="C164" t="inlineStr">
        <is>
          <t>SECI/C&amp;P/OP/11/0002/26-27</t>
        </is>
      </c>
      <c r="D164" t="inlineStr">
        <is>
          <t>Solar + BESS</t>
        </is>
      </c>
      <c r="E164" t="n">
        <v>25</v>
      </c>
      <c r="F164" t="inlineStr">
        <is>
          <t>Open</t>
        </is>
      </c>
      <c r="G164" t="inlineStr">
        <is>
          <t>Capacity below configured minimum</t>
        </is>
      </c>
      <c r="H164" t="inlineStr">
        <is>
          <t>https://www.seci.co.in/tender-details/YmR1</t>
        </is>
      </c>
    </row>
    <row r="165">
      <c r="A165" t="inlineStr">
        <is>
          <t>SECI000264</t>
        </is>
      </c>
      <c r="B165" t="inlineStr">
        <is>
          <t>SECI</t>
        </is>
      </c>
      <c r="C165" t="inlineStr">
        <is>
          <t>SECI/C&amp;P/EOI/17/0002/26-27</t>
        </is>
      </c>
      <c r="D165" t="inlineStr">
        <is>
          <t>Other</t>
        </is>
      </c>
      <c r="F165" t="inlineStr">
        <is>
          <t>Open</t>
        </is>
      </c>
      <c r="G165" t="inlineStr">
        <is>
          <t>Capacity not confirmed</t>
        </is>
      </c>
      <c r="H165" t="inlineStr">
        <is>
          <t>https://www.seci.co.in/tender-details/YmRz</t>
        </is>
      </c>
    </row>
    <row r="166">
      <c r="A166" t="inlineStr"/>
      <c r="B166" t="inlineStr">
        <is>
          <t>SJVN</t>
        </is>
      </c>
      <c r="C166" t="inlineStr">
        <is>
          <t>Insurance Coverage (Fire &amp; Burglary) for 571.22 MWp Solar PV Modules stored at Village Mohija Paranda, Post Kurula, Tehsil Kandhar, District Nanded, M</t>
        </is>
      </c>
      <c r="D166" t="inlineStr">
        <is>
          <t>Solar</t>
        </is>
      </c>
      <c r="F166" t="inlineStr">
        <is>
          <t>Open</t>
        </is>
      </c>
      <c r="G166" t="inlineStr">
        <is>
          <t>Capacity not confirmed</t>
        </is>
      </c>
      <c r="H166" t="inlineStr">
        <is>
          <t>https://sjvn.nic.in/en/tender</t>
        </is>
      </c>
    </row>
    <row r="167">
      <c r="A167" t="inlineStr"/>
      <c r="B167" t="inlineStr">
        <is>
          <t>MPUVNL</t>
        </is>
      </c>
      <c r="C167" t="inlineStr">
        <is>
          <t>Tenders</t>
        </is>
      </c>
      <c r="D167" t="inlineStr">
        <is>
          <t>Other</t>
        </is>
      </c>
      <c r="F167" t="inlineStr">
        <is>
          <t>Open</t>
        </is>
      </c>
      <c r="G167" t="inlineStr">
        <is>
          <t>Capacity not confirmed</t>
        </is>
      </c>
      <c r="H167" t="inlineStr">
        <is>
          <t>https://mptenders.gov.in/nicgep/app?component=%24DirectLink&amp;page=Home&amp;service=direct&amp;session=T&amp;sp=SXQfAfEZ1orhTC5Yzc7r5bw%3D%3D</t>
        </is>
      </c>
    </row>
    <row r="168">
      <c r="A168" t="inlineStr"/>
      <c r="B168" t="inlineStr">
        <is>
          <t>MPUVNL</t>
        </is>
      </c>
      <c r="C168" t="inlineStr">
        <is>
          <t>1. Construction of 3.50 meter wide RCC Nalla including covering with RCC Slab behind Bhojpur Club, E-1, Arera Colony, Bhopal 56/SAC dt. 07.08.2026 21-</t>
        </is>
      </c>
      <c r="D168" t="inlineStr">
        <is>
          <t>Other</t>
        </is>
      </c>
      <c r="F168" t="inlineStr">
        <is>
          <t>Open</t>
        </is>
      </c>
      <c r="G168" t="inlineStr">
        <is>
          <t>Capacity not confirmed</t>
        </is>
      </c>
      <c r="H168" t="inlineStr">
        <is>
          <t>https://mptenders.gov.in/nicgep/app?component=%24DirectLink&amp;page=Home&amp;service=direct&amp;session=T&amp;sp=SXQfAfEZ1orhTC5Yzc7r5bw%3D%3D</t>
        </is>
      </c>
    </row>
    <row r="169">
      <c r="A169" t="inlineStr"/>
      <c r="B169" t="inlineStr">
        <is>
          <t>MPUVNL</t>
        </is>
      </c>
      <c r="C169" t="inlineStr">
        <is>
          <t>10. Maintenance and various reparing work, under ground water storage tank etc. work in VVIP Residential bungalow under HQ section of HQ 3 sub divisio</t>
        </is>
      </c>
      <c r="D169" t="inlineStr">
        <is>
          <t>Other</t>
        </is>
      </c>
      <c r="F169" t="inlineStr">
        <is>
          <t>Open</t>
        </is>
      </c>
      <c r="G169" t="inlineStr">
        <is>
          <t>Capacity not confirmed</t>
        </is>
      </c>
      <c r="H169" t="inlineStr">
        <is>
          <t>https://mptenders.gov.in/nicgep/app?component=%24DirectLink&amp;page=Home&amp;service=direct&amp;session=T&amp;sp=Std%2BXGPFig0FPEcyX5KFg9Q%3D%3D</t>
        </is>
      </c>
    </row>
    <row r="170">
      <c r="A170" t="inlineStr"/>
      <c r="B170" t="inlineStr">
        <is>
          <t>GRIDCO</t>
        </is>
      </c>
      <c r="C170" t="inlineStr">
        <is>
          <t>View Details Tender Document Addendum-I Pre-Bid Meeting Link Corrigendum-II Addendum-6 Odisha Floating Solar Data Room - Contents Addendum_09 Addendum</t>
        </is>
      </c>
      <c r="D170" t="inlineStr">
        <is>
          <t>Solar</t>
        </is>
      </c>
      <c r="F170" t="inlineStr">
        <is>
          <t>Corrigendum</t>
        </is>
      </c>
      <c r="G170" t="inlineStr">
        <is>
          <t>Capacity not confirmed</t>
        </is>
      </c>
      <c r="H170" t="inlineStr">
        <is>
          <t>https://www.gridco.co.in/writereaddata/Tenders/301225101225upload.pdf</t>
        </is>
      </c>
    </row>
    <row r="171">
      <c r="A171" t="inlineStr"/>
      <c r="B171" t="inlineStr">
        <is>
          <t>GRIDCO</t>
        </is>
      </c>
      <c r="C171" t="inlineStr">
        <is>
          <t>Addendum-6 Odisha Floating Solar Data Room - Contents</t>
        </is>
      </c>
      <c r="D171" t="inlineStr">
        <is>
          <t>Solar</t>
        </is>
      </c>
      <c r="F171" t="inlineStr">
        <is>
          <t>Open</t>
        </is>
      </c>
      <c r="G171" t="inlineStr">
        <is>
          <t>Capacity not confirmed</t>
        </is>
      </c>
      <c r="H171" t="inlineStr">
        <is>
          <t>https://www.gridco.co.in/writereaddata/Tenders/301126051106Addendum-6_Odisha Floating Solar Data room - Contents.pdf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18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46250.15539132704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46247.19564244213</v>
      </c>
      <c r="H515" s="282" t="n">
        <v>46247.19564244213</v>
      </c>
      <c r="I515" t="n">
        <v>5</v>
      </c>
      <c r="J515" t="inlineStr">
        <is>
          <t>Success</t>
        </is>
      </c>
    </row>
    <row r="516">
      <c r="F516" t="inlineStr">
        <is>
          <t>RUN-20260814043851</t>
        </is>
      </c>
      <c r="G516" s="282" t="n">
        <v>46248.19364603009</v>
      </c>
      <c r="H516" s="282" t="n">
        <v>46248.19364603009</v>
      </c>
      <c r="I516" t="n">
        <v>5</v>
      </c>
      <c r="J516" t="inlineStr">
        <is>
          <t>Success</t>
        </is>
      </c>
    </row>
    <row r="517">
      <c r="F517" t="inlineStr">
        <is>
          <t>RUN-20260815032903</t>
        </is>
      </c>
      <c r="G517" s="282" t="n">
        <v>46249.14518179398</v>
      </c>
      <c r="H517" s="282" t="n">
        <v>46249.14518179398</v>
      </c>
      <c r="I517" t="n">
        <v>5</v>
      </c>
      <c r="J517" t="inlineStr">
        <is>
          <t>Success</t>
        </is>
      </c>
    </row>
    <row r="518">
      <c r="F518" t="inlineStr">
        <is>
          <t>RUN-20260816034345</t>
        </is>
      </c>
      <c r="G518" s="282" t="n">
        <v>46250.15539132704</v>
      </c>
      <c r="H518" s="282" t="n">
        <v>46250.15539132704</v>
      </c>
      <c r="I518" t="n">
        <v>4</v>
      </c>
      <c r="J518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2026-08-16T03:43:45Z</dcterms:modified>
</cp:coreProperties>
</file>