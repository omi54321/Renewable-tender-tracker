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SJVN-BESS2</t>
        </is>
      </c>
      <c r="B2" s="37" t="inlineStr">
        <is>
          <t>Central</t>
        </is>
      </c>
      <c r="C2" s="37" t="inlineStr">
        <is>
          <t>SJVN</t>
        </is>
      </c>
      <c r="D2" s="37" t="inlineStr">
        <is>
          <t>Haryana</t>
        </is>
      </c>
      <c r="E2" s="37" t="inlineStr">
        <is>
          <t>SJVN/CCDelhi/REIA/2026/BESS-2</t>
        </is>
      </c>
      <c r="F2" s="37" t="inlineStr">
        <is>
          <t>BESS</t>
        </is>
      </c>
      <c r="G2" s="274" t="n">
        <v>265</v>
      </c>
      <c r="H2" s="37" t="inlineStr">
        <is>
          <t>Yes</t>
        </is>
      </c>
      <c r="I2" s="37" t="n">
        <v>2</v>
      </c>
      <c r="J2" s="37" t="inlineStr">
        <is>
          <t>Standalone BESS under VGF and TBCB</t>
        </is>
      </c>
      <c r="K2" s="274" t="n"/>
      <c r="L2" s="37" t="n"/>
      <c r="M2" s="37" t="inlineStr">
        <is>
          <t>As per RfS</t>
        </is>
      </c>
      <c r="N2" s="280" t="n">
        <v>46255</v>
      </c>
      <c r="O2" s="280" t="n"/>
      <c r="P2" s="280" t="n"/>
      <c r="Q2" s="280" t="inlineStr">
        <is>
          <t>Open</t>
        </is>
      </c>
      <c r="R2" s="280" t="n">
        <v>46236</v>
      </c>
      <c r="S2" s="37" t="n">
        <v>0</v>
      </c>
      <c r="T2" s="37" t="inlineStr">
        <is>
          <t>https://sjvn.nic.in/en/tender</t>
        </is>
      </c>
      <c r="U2" s="37" t="n"/>
      <c r="V2" s="37" t="inlineStr">
        <is>
          <t>265 MW / 530 MWh BESS in Haryana</t>
        </is>
      </c>
      <c r="W2" s="278">
        <f>IF(N2="","",N2-TODAY())</f>
        <v/>
      </c>
      <c r="X2">
        <f>IF(W2="","",IF(W2&lt;0,"Expired",IF(W2&lt;=3,"Urgent",IF(W2&lt;=7,"Due in 7 Days","Normal"))))</f>
        <v/>
      </c>
      <c r="Y2">
        <f>UPPER(TRIM(C2&amp;"|"&amp;E2))</f>
        <v/>
      </c>
      <c r="Z2">
        <f>IF(Y2="","",IF(COUNTIF($Y$2:$Y$501,Y2)&gt;1,"Duplicate","Unique"))</f>
        <v/>
      </c>
      <c r="AA2">
        <f>IF(A4="","",C4&amp;"|"&amp;E4&amp;"|"&amp;TEXT(N4,"yyyymmdd")&amp;"|"&amp;Q4&amp;"|"&amp;S4&amp;"|"&amp;TEXT(AI4,"yyyymmdd"))</f>
        <v/>
      </c>
      <c r="AB2" s="281" t="n">
        <v>46236</v>
      </c>
      <c r="AC2" s="281" t="inlineStr">
        <is>
          <t>Official agency page</t>
        </is>
      </c>
      <c r="AD2" s="281" t="inlineStr">
        <is>
          <t>Core fields</t>
        </is>
      </c>
      <c r="AE2" s="281">
        <f>IF(A4="","",IF(AC4="Official agency page",3,IF(AC4="Official government portal",3,IF(AC4="Official tender document",4,1)))+IF(AD4="Core fields",2,1))</f>
        <v/>
      </c>
      <c r="AF2" s="281">
        <f>IF(A4="","",IF(OR(Q4="Open",Q4="Extended"),"Current Opportunity",IF(Q4="Corrigendum","Needs Status Check",IF(Q4="Evaluation","Under Evaluation","Historical / Closed"))))</f>
        <v/>
      </c>
      <c r="AG2" s="281" t="n">
        <v>46227</v>
      </c>
      <c r="AH2" s="281" t="n"/>
      <c r="AI2" s="281" t="n"/>
      <c r="AJ2" t="inlineStr">
        <is>
          <t>No corrigendum identified in the captured official listing.</t>
        </is>
      </c>
      <c r="AK2" t="inlineStr">
        <is>
          <t>Standalone BESS under VGF and tariff-based competitive bidding</t>
        </is>
      </c>
      <c r="AL2" t="inlineStr">
        <is>
          <t>Dispatch schedule and availability obligations governed by RfS/BESSA/BESPA</t>
        </is>
      </c>
      <c r="AM2" t="inlineStr">
        <is>
          <t>Not verified from accessible document text</t>
        </is>
      </c>
      <c r="AN2" t="inlineStr">
        <is>
          <t>PLF is not applicable to standalone BESS; monthly availability/energy obligations require document review</t>
        </is>
      </c>
      <c r="AO2" t="inlineStr">
        <is>
          <t>Annual PLF/CUF not applicable; annual availability/cycle obligations require document review</t>
        </is>
      </c>
      <c r="AP2" t="inlineStr">
        <is>
          <t>Not verified from accessible document text</t>
        </is>
      </c>
      <c r="AQ2" t="inlineStr">
        <is>
          <t>Not verified from accessible document text</t>
        </is>
      </c>
      <c r="AR2" t="inlineStr">
        <is>
          <t>Charging-source provision not verified from accessible document text</t>
        </is>
      </c>
      <c r="AS2" t="inlineStr">
        <is>
          <t>Not verified</t>
        </is>
      </c>
      <c r="AT2" t="inlineStr">
        <is>
          <t>Official RfS PDF was listed but could not be reliably fetched in this review</t>
        </is>
      </c>
      <c r="AU2" t="inlineStr">
        <is>
          <t>Merchant-use rights not verified</t>
        </is>
      </c>
      <c r="AV2" t="inlineStr">
        <is>
          <t>https://sjvn.nic.in/sites/default/files/2026-07/RfS%20BESS%202%20240726.pdf</t>
        </is>
      </c>
      <c r="AW2" t="inlineStr">
        <is>
          <t>Document-level review pending; no assumptions inserted</t>
        </is>
      </c>
      <c r="AY2" s="282" t="n">
        <v>46243.17686518606</v>
      </c>
    </row>
    <row r="3">
      <c r="A3" s="37" t="inlineStr">
        <is>
          <t>MSEDCL-BESS-2000</t>
        </is>
      </c>
      <c r="B3" s="37" t="inlineStr">
        <is>
          <t>Maharashtra</t>
        </is>
      </c>
      <c r="C3" s="37" t="inlineStr">
        <is>
          <t>MSEDCL</t>
        </is>
      </c>
      <c r="D3" s="37" t="inlineStr">
        <is>
          <t>Maharashtra</t>
        </is>
      </c>
      <c r="E3" s="37" t="inlineStr">
        <is>
          <t>RfS-2000MW-4000MWh-BESS-2026</t>
        </is>
      </c>
      <c r="F3" s="37" t="inlineStr">
        <is>
          <t>BESS</t>
        </is>
      </c>
      <c r="G3" s="274" t="n">
        <v>2000</v>
      </c>
      <c r="H3" s="37" t="inlineStr">
        <is>
          <t>Yes</t>
        </is>
      </c>
      <c r="I3" s="37" t="n">
        <v>2</v>
      </c>
      <c r="J3" s="37" t="inlineStr">
        <is>
          <t>Tariff-based competitive bidding</t>
        </is>
      </c>
      <c r="K3" s="274" t="n"/>
      <c r="L3" s="37" t="n"/>
      <c r="M3" s="37" t="inlineStr">
        <is>
          <t>As per RfS</t>
        </is>
      </c>
      <c r="N3" s="280" t="n"/>
      <c r="O3" s="280" t="n"/>
      <c r="P3" s="280" t="n"/>
      <c r="Q3" s="280" t="inlineStr">
        <is>
          <t>Corrigendum</t>
        </is>
      </c>
      <c r="R3" s="280" t="n">
        <v>46236</v>
      </c>
      <c r="S3" s="37" t="n">
        <v>2</v>
      </c>
      <c r="T3" s="37" t="inlineStr">
        <is>
          <t>https://www.mahadiscom.in/en/supplier/tenders/</t>
        </is>
      </c>
      <c r="U3" s="37" t="n"/>
      <c r="V3" s="37" t="inlineStr">
        <is>
          <t>Corrigendum-2 published 22-Jul-2026; deadline not visible on listing</t>
        </is>
      </c>
      <c r="W3" s="278">
        <f>IF(N3="","",N3-TODAY())</f>
        <v/>
      </c>
      <c r="X3">
        <f>IF(W3="","",IF(W3&lt;0,"Expired",IF(W3&lt;=3,"Urgent",IF(W3&lt;=7,"Due in 7 Days","Normal"))))</f>
        <v/>
      </c>
      <c r="Y3">
        <f>UPPER(TRIM(C3&amp;"|"&amp;E3))</f>
        <v/>
      </c>
      <c r="Z3">
        <f>IF(Y3="","",IF(COUNTIF($Y$2:$Y$501,Y3)&gt;1,"Duplicate","Unique"))</f>
        <v/>
      </c>
      <c r="AA3">
        <f>IF(A5="","",C5&amp;"|"&amp;E5&amp;"|"&amp;TEXT(N5,"yyyymmdd")&amp;"|"&amp;Q5&amp;"|"&amp;S5&amp;"|"&amp;TEXT(AI5,"yyyymmdd"))</f>
        <v/>
      </c>
      <c r="AB3" s="281" t="n">
        <v>46236</v>
      </c>
      <c r="AC3" s="281" t="inlineStr">
        <is>
          <t>Official agency page</t>
        </is>
      </c>
      <c r="AD3" s="281" t="inlineStr">
        <is>
          <t>Partial</t>
        </is>
      </c>
      <c r="AE3" s="281">
        <f>IF(A5="","",IF(AC5="Official agency page",3,IF(AC5="Official government portal",3,IF(AC5="Official tender document",4,1)))+IF(AD5="Core fields",2,1))</f>
        <v/>
      </c>
      <c r="AF3" s="281">
        <f>IF(A5="","",IF(OR(Q5="Open",Q5="Extended"),"Current Opportunity",IF(Q5="Corrigendum","Needs Status Check",IF(Q5="Evaluation","Under Evaluation","Historical / Closed"))))</f>
        <v/>
      </c>
      <c r="AG3" s="281" t="n">
        <v>46203</v>
      </c>
      <c r="AH3" s="281" t="inlineStr">
        <is>
          <t>2026-07-07; 2026-07-22</t>
        </is>
      </c>
      <c r="AI3" s="281" t="n">
        <v>46225</v>
      </c>
      <c r="AJ3" t="inlineStr">
        <is>
          <t>Addendum-1 and Addendum-2 published 07-Jul-2026; Corrigendum-2 published 22-Jul-2026</t>
        </is>
      </c>
      <c r="AK3" t="inlineStr">
        <is>
          <t>Standalone BESS under tariff-based competitive bidding</t>
        </is>
      </c>
      <c r="AL3" t="inlineStr">
        <is>
          <t>Dispatch/charging schedule governed by RfS and BESPA</t>
        </is>
      </c>
      <c r="AM3" t="inlineStr">
        <is>
          <t>PLF is not applicable to standalone BESS; daily cycle and availability obligations require current 2026 RfS review</t>
        </is>
      </c>
      <c r="AN3" t="inlineStr">
        <is>
          <t>Monthly availability/payment condition not verified from accessible current document text</t>
        </is>
      </c>
      <c r="AO3" t="inlineStr">
        <is>
          <t>Annual PLF/CUF not applicable; annual availability requirement not verified</t>
        </is>
      </c>
      <c r="AP3" t="inlineStr">
        <is>
          <t>Not verified from accessible current 2026 document text</t>
        </is>
      </c>
      <c r="AQ3" t="inlineStr">
        <is>
          <t>Not verified from accessible current 2026 document text</t>
        </is>
      </c>
      <c r="AR3" t="inlineStr">
        <is>
          <t>Charging source and grid/exchange charging permission not verified</t>
        </is>
      </c>
      <c r="AS3" t="inlineStr">
        <is>
          <t>Not verified</t>
        </is>
      </c>
      <c r="AT3" t="inlineStr">
        <is>
          <t>Current 2026 tender and corrigenda are visible on MSEDCL, but detailed clauses require opening the RfS/corrigendum PDF</t>
        </is>
      </c>
      <c r="AU3" t="inlineStr">
        <is>
          <t>Merchant-use rights not verified</t>
        </is>
      </c>
      <c r="AV3" t="inlineStr">
        <is>
          <t>https://www.mahadiscom.in/en/supplier/tenders/</t>
        </is>
      </c>
      <c r="AW3" t="inlineStr">
        <is>
          <t>Tender confirmed; commercial clause extraction pending</t>
        </is>
      </c>
      <c r="AY3" s="282" t="n">
        <v>46243.17686518606</v>
      </c>
    </row>
    <row r="4">
      <c r="A4" s="37" t="inlineStr">
        <is>
          <t>SECI000240</t>
        </is>
      </c>
      <c r="B4" s="37" t="inlineStr">
        <is>
          <t>Central</t>
        </is>
      </c>
      <c r="C4" s="37" t="inlineStr">
        <is>
          <t>SECI</t>
        </is>
      </c>
      <c r="D4" s="37" t="n"/>
      <c r="E4" s="37" t="inlineStr">
        <is>
          <t>SECI/C&amp;P/IPP/13/0020/25-26</t>
        </is>
      </c>
      <c r="F4" s="37" t="inlineStr">
        <is>
          <t>FDRE</t>
        </is>
      </c>
      <c r="G4" s="274" t="n">
        <v>1000</v>
      </c>
      <c r="H4" s="37" t="inlineStr">
        <is>
          <t>No</t>
        </is>
      </c>
      <c r="I4" s="37" t="n"/>
      <c r="J4" s="37" t="n"/>
      <c r="K4" s="274" t="n"/>
      <c r="L4" s="37" t="n"/>
      <c r="M4" s="37" t="n"/>
      <c r="N4" s="280" t="n"/>
      <c r="O4" s="280" t="n"/>
      <c r="P4" s="280" t="n"/>
      <c r="Q4" s="280" t="inlineStr">
        <is>
          <t>Open</t>
        </is>
      </c>
      <c r="R4" s="280" t="n">
        <v>46237.26024921297</v>
      </c>
      <c r="S4" s="37" t="n">
        <v>0</v>
      </c>
      <c r="T4" s="37" t="inlineStr">
        <is>
          <t>https://www.seci.co.in/tender-details/YmZ3</t>
        </is>
      </c>
      <c r="U4" s="37" t="n"/>
      <c r="V4"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46237.26024921297</v>
      </c>
      <c r="AY4" s="282" t="n">
        <v>46243.17686518606</v>
      </c>
      <c r="AZ4" t="inlineStr">
        <is>
          <t>014f0276d0bedb946c97bc1d31fd766e19a14673016f74b3288a3d56aab0e824</t>
        </is>
      </c>
    </row>
    <row r="5">
      <c r="A5" s="37" t="inlineStr">
        <is>
          <t>SECI000258</t>
        </is>
      </c>
      <c r="B5" s="37" t="inlineStr">
        <is>
          <t>Central</t>
        </is>
      </c>
      <c r="C5" s="37" t="inlineStr">
        <is>
          <t>SECI</t>
        </is>
      </c>
      <c r="D5" s="37" t="n"/>
      <c r="E5" s="37" t="inlineStr">
        <is>
          <t>SECI/C&amp;P/IPP/13/0006/26-27</t>
        </is>
      </c>
      <c r="F5" s="37" t="inlineStr">
        <is>
          <t>FDRE</t>
        </is>
      </c>
      <c r="G5" s="274" t="n">
        <v>1500</v>
      </c>
      <c r="H5" s="37" t="inlineStr">
        <is>
          <t>Yes</t>
        </is>
      </c>
      <c r="I5" s="37" t="n">
        <v>4</v>
      </c>
      <c r="J5" s="37" t="n"/>
      <c r="K5" s="274" t="n"/>
      <c r="L5" s="37" t="n"/>
      <c r="M5" s="37" t="n"/>
      <c r="N5" s="280" t="n"/>
      <c r="O5" s="280" t="n"/>
      <c r="P5" s="280" t="n"/>
      <c r="Q5" s="280" t="inlineStr">
        <is>
          <t>Open</t>
        </is>
      </c>
      <c r="R5" s="280" t="n">
        <v>46243.17686518606</v>
      </c>
      <c r="S5" s="37" t="n"/>
      <c r="T5" s="37" t="inlineStr">
        <is>
          <t>https://www.seci.co.in/tender-details/Ymd_</t>
        </is>
      </c>
      <c r="U5" s="37" t="inlineStr"/>
      <c r="V5"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n"/>
      <c r="AI5" s="281" t="n"/>
      <c r="AX5" s="282" t="n">
        <v>46243.17686518606</v>
      </c>
      <c r="AY5" s="282" t="n">
        <v>46243.17686518606</v>
      </c>
      <c r="AZ5" t="inlineStr">
        <is>
          <t>63f0892f32e39002cd45d1e3a78c55637433070adc204427287bd864299eff80</t>
        </is>
      </c>
    </row>
    <row r="6">
      <c r="A6" s="37" t="n"/>
      <c r="B6" s="37" t="inlineStr">
        <is>
          <t>Central</t>
        </is>
      </c>
      <c r="C6" s="37" t="inlineStr">
        <is>
          <t>NTPC REL</t>
        </is>
      </c>
      <c r="D6" s="37" t="n"/>
      <c r="E6" s="37" t="inlineStr"/>
      <c r="F6" s="37" t="inlineStr">
        <is>
          <t>Other</t>
        </is>
      </c>
      <c r="G6" s="274" t="n">
        <v>300</v>
      </c>
      <c r="H6" s="37" t="inlineStr">
        <is>
          <t>No</t>
        </is>
      </c>
      <c r="I6" s="37" t="n"/>
      <c r="J6" s="37" t="n"/>
      <c r="K6" s="274" t="n"/>
      <c r="L6" s="37" t="n"/>
      <c r="M6" s="37" t="n"/>
      <c r="N6" s="280" t="n"/>
      <c r="O6" s="280" t="n"/>
      <c r="P6" s="280" t="n"/>
      <c r="Q6" s="280" t="inlineStr">
        <is>
          <t>Open</t>
        </is>
      </c>
      <c r="R6" s="280" t="n">
        <v>46243.17686518606</v>
      </c>
      <c r="S6" s="37" t="n"/>
      <c r="T6" s="37" t="inlineStr">
        <is>
          <t>https://ntpctender.ntpc.co.in/NITDetails/NITs/30126</t>
        </is>
      </c>
      <c r="U6" s="37" t="inlineStr"/>
      <c r="V6" s="37" t="inlineStr">
        <is>
          <t xml:space="preserve">  | GEM/2026/B/7880246 |  | Hiring of 01 No. 4 - Wheel drive Vehicle for Block-VI (300MW) PV Project for 02 Years | Renewable Energy | 17/08/2026 | </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n"/>
      <c r="AI6" s="281" t="n"/>
      <c r="AX6" s="282" t="n">
        <v>46243.17686518606</v>
      </c>
      <c r="AY6" s="282" t="n">
        <v>46243.17686518606</v>
      </c>
      <c r="AZ6" t="inlineStr">
        <is>
          <t>ebc65659fff7297cab0cec874c9a8bfb85290b5489c5eb69ed4fa17fa13c8dca</t>
        </is>
      </c>
    </row>
    <row r="7">
      <c r="A7" s="37" t="n"/>
      <c r="B7" s="37" t="inlineStr">
        <is>
          <t>Odisha</t>
        </is>
      </c>
      <c r="C7" s="37" t="inlineStr">
        <is>
          <t>GRIDCO</t>
        </is>
      </c>
      <c r="D7" s="37" t="n"/>
      <c r="E7" s="37" t="inlineStr">
        <is>
          <t xml:space="preserve">Issuing Authority : GRIDCO Ltd. Date of Opening : 08/10/2026 05:00 PM Scope of Work : Request for Proposal for consultancy services for Environmental </t>
        </is>
      </c>
      <c r="F7" s="37" t="inlineStr">
        <is>
          <t>Solar</t>
        </is>
      </c>
      <c r="G7" s="274" t="n">
        <v>225</v>
      </c>
      <c r="H7" s="37" t="inlineStr">
        <is>
          <t>No</t>
        </is>
      </c>
      <c r="I7" s="37" t="n"/>
      <c r="J7" s="37" t="n"/>
      <c r="K7" s="274" t="n"/>
      <c r="L7" s="37" t="n"/>
      <c r="M7" s="37" t="n"/>
      <c r="N7" s="280" t="n"/>
      <c r="O7" s="280" t="n"/>
      <c r="P7" s="280" t="n"/>
      <c r="Q7" s="280" t="inlineStr">
        <is>
          <t>Open</t>
        </is>
      </c>
      <c r="R7" s="280" t="n">
        <v>46243.17686518606</v>
      </c>
      <c r="S7" s="37" t="n"/>
      <c r="T7" s="37" t="inlineStr">
        <is>
          <t>https://www.gridco.co.in/tender.aspx</t>
        </is>
      </c>
      <c r="U7" s="37" t="inlineStr"/>
      <c r="V7" s="37" t="inlineStr">
        <is>
          <t>Issuing Authority : | GRIDCO Ltd. | Date of Opening : | 08/10/2026 05:00 PM | Scope of Work : | Request for Proposal for consultancy services for Environmental and Social Impact Assessment (ESIA) for 225 MW Upper Indravati Floating Solar Project including evacuation infrastructure and associated transmission lines in the state of Odisha, India. Issuing Authority : GRIDCO Ltd. Date of Opening : 08/10/2026 05:00 PM Scope of Work : Request for Proposal for consultancy services for Environmental and Social Impact Assessment (ESIA) for 225 MW Upper Indravati Floating Solar Project including evacuation infrastructure and associated transmission lines in the state of Odisha, India.</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n"/>
      <c r="AI7" s="281" t="n"/>
      <c r="AX7" s="282" t="n">
        <v>46243.17686518606</v>
      </c>
      <c r="AY7" s="282" t="n">
        <v>46243.17686518606</v>
      </c>
      <c r="AZ7" t="inlineStr">
        <is>
          <t>b2f0cf79f5c1c721a8ebf084bb1191b1315d06687fed6cfce2722ac666e4b587</t>
        </is>
      </c>
    </row>
    <row r="8">
      <c r="A8" s="37" t="n"/>
      <c r="B8" s="37" t="inlineStr">
        <is>
          <t>Odisha</t>
        </is>
      </c>
      <c r="C8" s="37" t="inlineStr">
        <is>
          <t>GRIDCO</t>
        </is>
      </c>
      <c r="D8" s="37" t="n"/>
      <c r="E8" s="37" t="inlineStr">
        <is>
          <t>Scope of Work :</t>
        </is>
      </c>
      <c r="F8" s="37" t="inlineStr">
        <is>
          <t>Solar</t>
        </is>
      </c>
      <c r="G8" s="274" t="n">
        <v>225</v>
      </c>
      <c r="H8" s="37" t="inlineStr">
        <is>
          <t>No</t>
        </is>
      </c>
      <c r="I8" s="37" t="n"/>
      <c r="J8" s="37" t="n"/>
      <c r="K8" s="274" t="n"/>
      <c r="L8" s="37" t="n"/>
      <c r="M8" s="37" t="n"/>
      <c r="N8" s="280" t="n"/>
      <c r="O8" s="280" t="n"/>
      <c r="P8" s="280" t="n"/>
      <c r="Q8" s="280" t="inlineStr">
        <is>
          <t>Open</t>
        </is>
      </c>
      <c r="R8" s="280" t="n">
        <v>46243.17686518606</v>
      </c>
      <c r="S8" s="37" t="n"/>
      <c r="T8" s="37" t="inlineStr">
        <is>
          <t>https://www.gridco.co.in/tender.aspx</t>
        </is>
      </c>
      <c r="U8" s="37" t="inlineStr"/>
      <c r="V8" s="37" t="inlineStr">
        <is>
          <t>Request for Proposal for consultancy services for Environmental and Social Impact Assessment (ESIA) for 225 MW Upper Indravati Floating Solar Project including evacuation infrastructure and associated transmission lines in the state of Odisha, India. Scope of Work : Request for Proposal for consultancy services for Environmental and Social Impact Assessment (ESIA) for 225 MW Upper Indravati Floating Solar Project including evacuation infrastructure and associated transmission lines in the state of Odisha, India.</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n"/>
      <c r="AI8" s="281" t="n"/>
      <c r="AX8" s="282" t="n">
        <v>46243.17686518606</v>
      </c>
      <c r="AY8" s="282" t="n">
        <v>46243.17686518606</v>
      </c>
      <c r="AZ8" t="inlineStr">
        <is>
          <t>825330359c0f821ed1c3004804005ec76fb9242a1c591679df676bf7d493ffea</t>
        </is>
      </c>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95"/>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A93" t="inlineStr"/>
      <c r="B93" t="inlineStr">
        <is>
          <t>NTPC REL</t>
        </is>
      </c>
      <c r="C93" t="inlineStr"/>
      <c r="D93" t="inlineStr">
        <is>
          <t>Wind</t>
        </is>
      </c>
      <c r="E93" t="n">
        <v>813</v>
      </c>
      <c r="F93" t="inlineStr">
        <is>
          <t>Corrigendum</t>
        </is>
      </c>
      <c r="G93" t="inlineStr">
        <is>
          <t>Supply / installation excluded</t>
        </is>
      </c>
      <c r="H93" t="inlineStr">
        <is>
          <t>https://ntpctender.ntpc.co.in/NITDetails/NITs/29985</t>
        </is>
      </c>
    </row>
    <row r="94">
      <c r="A94" t="inlineStr"/>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A95" t="inlineStr"/>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11"/>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46243.17686518606</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46243.17686518606</v>
      </c>
      <c r="H511" s="282" t="n">
        <v>46243.17686518606</v>
      </c>
      <c r="I511" t="n">
        <v>7</v>
      </c>
      <c r="J511"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2026-08-09T04:14:41Z</dcterms:modified>
</cp:coreProperties>
</file>