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SECI000258</t>
        </is>
      </c>
      <c r="B2" s="37" t="inlineStr">
        <is>
          <t>Central</t>
        </is>
      </c>
      <c r="C2" s="37" t="inlineStr">
        <is>
          <t>SECI</t>
        </is>
      </c>
      <c r="D2" s="37" t="inlineStr">
        <is>
          <t>All India</t>
        </is>
      </c>
      <c r="E2" s="37" t="inlineStr">
        <is>
          <t>SECI/C&amp;P/IPP/13/0006/26-27</t>
        </is>
      </c>
      <c r="F2" s="37" t="inlineStr">
        <is>
          <t>FDRE</t>
        </is>
      </c>
      <c r="G2" s="274" t="n">
        <v>1500</v>
      </c>
      <c r="H2" s="37" t="inlineStr">
        <is>
          <t>Yes</t>
        </is>
      </c>
      <c r="I2" s="37" t="n">
        <v>4</v>
      </c>
      <c r="J2" s="37" t="inlineStr">
        <is>
          <t>Assured peak supply</t>
        </is>
      </c>
      <c r="K2" s="274" t="n"/>
      <c r="L2" s="37" t="inlineStr">
        <is>
          <t>As per RfS</t>
        </is>
      </c>
      <c r="M2" s="37" t="inlineStr">
        <is>
          <t>As per RfS</t>
        </is>
      </c>
      <c r="N2" s="280" t="n">
        <v>46241.75</v>
      </c>
      <c r="O2" s="280" t="n"/>
      <c r="P2" s="280" t="n">
        <v>46246.41666666666</v>
      </c>
      <c r="Q2" s="280" t="inlineStr">
        <is>
          <t>Open</t>
        </is>
      </c>
      <c r="R2" s="280" t="n">
        <v>46236</v>
      </c>
      <c r="S2" s="37" t="n">
        <v>8</v>
      </c>
      <c r="T2" s="37" t="inlineStr">
        <is>
          <t>https://www.seci.co.in/tender-details/Ymd_</t>
        </is>
      </c>
      <c r="U2" s="37" t="n"/>
      <c r="V2" s="37" t="inlineStr">
        <is>
          <t xml:space="preserve"> | SECI000258 | SECI-2026-TN000014 | SECI/C&amp;P/IPP/13/0006/26-27 | RfS for assured Peak Supply of 6000 MWh (1500 MW x 4 Hrs.) from ISTS-Connected RE Projects (SECI-FDRE-IX) | 05/06/2026 | 07/08/2026 | View Details  | SECI000258 | SECI-2026-TN000014 | SECI/C&amp;P/IPP/13/0006/26-27 | RfS for assured Peak Supply of 6000 MWh (1500 MW x 4 Hrs.) from ISTS-Connected RE Projects (SECI-FDRE-IX) | 05/06/2026 | 07/08/2026 | View Details</t>
        </is>
      </c>
      <c r="W2" s="278">
        <f>IF(N2="","",N2-TODAY())</f>
        <v/>
      </c>
      <c r="X2">
        <f>IF(W2="","",IF(W2&lt;0,"Expired",IF(W2&lt;=3,"Urgent",IF(W2&lt;=7,"Due in 7 Days","Normal"))))</f>
        <v/>
      </c>
      <c r="Y2">
        <f>UPPER(TRIM(C2&amp;"|"&amp;E2))</f>
        <v/>
      </c>
      <c r="Z2">
        <f>IF(Y2="","",IF(COUNTIF($Y$2:$Y$501,Y2)&gt;1,"Duplicate","Unique"))</f>
        <v/>
      </c>
      <c r="AA2">
        <f>IF(A3="","",C3&amp;"|"&amp;E3&amp;"|"&amp;TEXT(N3,"yyyymmdd")&amp;"|"&amp;Q3&amp;"|"&amp;S3&amp;"|"&amp;TEXT(AI3,"yyyymmdd"))</f>
        <v/>
      </c>
      <c r="AB2" s="281" t="n">
        <v>46236</v>
      </c>
      <c r="AC2" s="281" t="inlineStr">
        <is>
          <t>Official agency page</t>
        </is>
      </c>
      <c r="AD2" s="281" t="inlineStr">
        <is>
          <t>Core fields</t>
        </is>
      </c>
      <c r="AE2" s="281">
        <f>IF(A3="","",IF(AC3="Official agency page",3,IF(AC3="Official government portal",3,IF(AC3="Official tender document",4,1)))+IF(AD3="Core fields",2,1))</f>
        <v/>
      </c>
      <c r="AF2" s="281">
        <f>IF(A3="","",IF(OR(Q3="Open",Q3="Extended"),"Current Opportunity",IF(Q3="Corrigendum","Needs Status Check",IF(Q3="Evaluation","Under Evaluation","Historical / Closed"))))</f>
        <v/>
      </c>
      <c r="AG2" s="281" t="n">
        <v>46178</v>
      </c>
      <c r="AH2" s="281" t="inlineStr">
        <is>
          <t xml:space="preserve"> ; -; 0; 2; 6; 7; 8; ;</t>
        </is>
      </c>
      <c r="AI2" s="281" t="inlineStr">
        <is>
          <t>;</t>
        </is>
      </c>
      <c r="AJ2" t="inlineStr">
        <is>
          <t>Amendment-01 uploaded 08-Jul-2026</t>
        </is>
      </c>
      <c r="AK2" t="inlineStr">
        <is>
          <t>Tariff-based competitive bidding with PPA/PSA</t>
        </is>
      </c>
      <c r="AL2" t="inlineStr">
        <is>
          <t>Buying Entity selects 4 hours daily across evening-to-next-morning non-solar peak hours; at least one continuous hour</t>
        </is>
      </c>
      <c r="AM2" t="inlineStr">
        <is>
          <t>4 MWh per MW contracted capacity per day; for 1,200 MW = 4,800 MWh/day</t>
        </is>
      </c>
      <c r="AN2" t="inlineStr">
        <is>
          <t>Monthly reconciliation. Minimum effective supply = 90% of monthly scheduled peak-energy requirement before penalty applies</t>
        </is>
      </c>
      <c r="AO2" t="inlineStr">
        <is>
          <t>100% annual offered energy must be renewable. No annual PLF/CUF percentage stated</t>
        </is>
      </c>
      <c r="AP2" t="inlineStr">
        <is>
          <t>Monthly shortfall up to 10% below required peak energy permitted</t>
        </is>
      </c>
      <c r="AQ2" t="inlineStr">
        <is>
          <t>Shortfall beyond 10% monthly: 1.5 × PPA tariff × energy shortfall</t>
        </is>
      </c>
      <c r="AR2" t="inlineStr">
        <is>
          <t>Yes — green-market sources or bilateral RE agreements permitted</t>
        </is>
      </c>
      <c r="AS2" t="inlineStr">
        <is>
          <t>Up to 5% of total annual required energy</t>
        </is>
      </c>
      <c r="AT2" t="inlineStr">
        <is>
          <t>External RE may directly meet peak requirements or charge ESS. Only discharged ESS energy counts toward the 5%; excess above 5% is unpaid and excluded from performance</t>
        </is>
      </c>
      <c r="AU2" t="inlineStr">
        <is>
          <t>ESS may be used outside peak hours for third-party/exchange sale after PPA obligations. Sale before fulfilling obligations attracts 1.5 × highest DAM/GDAM/RTM market rate per kWh, in addition to shortfall penalty</t>
        </is>
      </c>
      <c r="AV2" t="inlineStr">
        <is>
          <t>https://www.seci.co.in/uploads/tenders/RfS_for_4800_MWh_Peak_Supply_%28FDRE-IX%29-_final_upload.pdf</t>
        </is>
      </c>
      <c r="AW2" t="inlineStr">
        <is>
          <t>Verified from official RfS; latest SECI page shows revised bid dates</t>
        </is>
      </c>
      <c r="AY2" s="282" t="n">
        <v>46239.24097942355</v>
      </c>
      <c r="AZ2" t="inlineStr">
        <is>
          <t>63f0892f32e39002cd45d1e3a78c55637433070adc204427287bd864299eff80</t>
        </is>
      </c>
    </row>
    <row r="3">
      <c r="A3" s="37" t="inlineStr">
        <is>
          <t>SJVN-BESS2</t>
        </is>
      </c>
      <c r="B3" s="37" t="inlineStr">
        <is>
          <t>Central</t>
        </is>
      </c>
      <c r="C3" s="37" t="inlineStr">
        <is>
          <t>SJVN</t>
        </is>
      </c>
      <c r="D3" s="37" t="inlineStr">
        <is>
          <t>Haryana</t>
        </is>
      </c>
      <c r="E3" s="37" t="inlineStr">
        <is>
          <t>SJVN/CCDelhi/REIA/2026/BESS-2</t>
        </is>
      </c>
      <c r="F3" s="37" t="inlineStr">
        <is>
          <t>BESS</t>
        </is>
      </c>
      <c r="G3" s="274" t="n">
        <v>265</v>
      </c>
      <c r="H3" s="37" t="inlineStr">
        <is>
          <t>Yes</t>
        </is>
      </c>
      <c r="I3" s="37" t="n">
        <v>2</v>
      </c>
      <c r="J3" s="37" t="inlineStr">
        <is>
          <t>Standalone BESS under VGF and TBCB</t>
        </is>
      </c>
      <c r="K3" s="274" t="n"/>
      <c r="L3" s="37" t="n"/>
      <c r="M3" s="37" t="inlineStr">
        <is>
          <t>As per RfS</t>
        </is>
      </c>
      <c r="N3" s="280" t="n">
        <v>46255</v>
      </c>
      <c r="O3" s="280" t="n"/>
      <c r="P3" s="280" t="n"/>
      <c r="Q3" s="280" t="inlineStr">
        <is>
          <t>Open</t>
        </is>
      </c>
      <c r="R3" s="280" t="n">
        <v>46236</v>
      </c>
      <c r="S3" s="37" t="n">
        <v>0</v>
      </c>
      <c r="T3" s="37" t="inlineStr">
        <is>
          <t>https://sjvn.nic.in/en/tender</t>
        </is>
      </c>
      <c r="U3" s="37" t="n"/>
      <c r="V3" s="37" t="inlineStr">
        <is>
          <t>265 MW / 530 MWh BESS in Haryana</t>
        </is>
      </c>
      <c r="W3" s="278">
        <f>IF(N3="","",N3-TODAY())</f>
        <v/>
      </c>
      <c r="X3">
        <f>IF(W3="","",IF(W3&lt;0,"Expired",IF(W3&lt;=3,"Urgent",IF(W3&lt;=7,"Due in 7 Days","Normal"))))</f>
        <v/>
      </c>
      <c r="Y3">
        <f>UPPER(TRIM(C3&amp;"|"&amp;E3))</f>
        <v/>
      </c>
      <c r="Z3">
        <f>IF(Y3="","",IF(COUNTIF($Y$2:$Y$501,Y3)&gt;1,"Duplicate","Unique"))</f>
        <v/>
      </c>
      <c r="AA3">
        <f>IF(A4="","",C4&amp;"|"&amp;E4&amp;"|"&amp;TEXT(N4,"yyyymmdd")&amp;"|"&amp;Q4&amp;"|"&amp;S4&amp;"|"&amp;TEXT(AI4,"yyyymmdd"))</f>
        <v/>
      </c>
      <c r="AB3" s="281" t="n">
        <v>46236</v>
      </c>
      <c r="AC3" s="281" t="inlineStr">
        <is>
          <t>Official agency page</t>
        </is>
      </c>
      <c r="AD3" s="281" t="inlineStr">
        <is>
          <t>Core fields</t>
        </is>
      </c>
      <c r="AE3" s="281">
        <f>IF(A4="","",IF(AC4="Official agency page",3,IF(AC4="Official government portal",3,IF(AC4="Official tender document",4,1)))+IF(AD4="Core fields",2,1))</f>
        <v/>
      </c>
      <c r="AF3" s="281">
        <f>IF(A4="","",IF(OR(Q4="Open",Q4="Extended"),"Current Opportunity",IF(Q4="Corrigendum","Needs Status Check",IF(Q4="Evaluation","Under Evaluation","Historical / Closed"))))</f>
        <v/>
      </c>
      <c r="AG3" s="281" t="n">
        <v>46227</v>
      </c>
      <c r="AH3" s="281" t="n"/>
      <c r="AI3" s="281" t="n"/>
      <c r="AJ3" t="inlineStr">
        <is>
          <t>No corrigendum identified in the captured official listing.</t>
        </is>
      </c>
      <c r="AK3" t="inlineStr">
        <is>
          <t>Standalone BESS under VGF and tariff-based competitive bidding</t>
        </is>
      </c>
      <c r="AL3" t="inlineStr">
        <is>
          <t>Dispatch schedule and availability obligations governed by RfS/BESSA/BESPA</t>
        </is>
      </c>
      <c r="AM3" t="inlineStr">
        <is>
          <t>Not verified from accessible document text</t>
        </is>
      </c>
      <c r="AN3" t="inlineStr">
        <is>
          <t>PLF is not applicable to standalone BESS; monthly availability/energy obligations require document review</t>
        </is>
      </c>
      <c r="AO3" t="inlineStr">
        <is>
          <t>Annual PLF/CUF not applicable; annual availability/cycle obligations require document review</t>
        </is>
      </c>
      <c r="AP3" t="inlineStr">
        <is>
          <t>Not verified from accessible document text</t>
        </is>
      </c>
      <c r="AQ3" t="inlineStr">
        <is>
          <t>Not verified from accessible document text</t>
        </is>
      </c>
      <c r="AR3" t="inlineStr">
        <is>
          <t>Charging-source provision not verified from accessible document text</t>
        </is>
      </c>
      <c r="AS3" t="inlineStr">
        <is>
          <t>Not verified</t>
        </is>
      </c>
      <c r="AT3" t="inlineStr">
        <is>
          <t>Official RfS PDF was listed but could not be reliably fetched in this review</t>
        </is>
      </c>
      <c r="AU3" t="inlineStr">
        <is>
          <t>Merchant-use rights not verified</t>
        </is>
      </c>
      <c r="AV3" t="inlineStr">
        <is>
          <t>https://sjvn.nic.in/sites/default/files/2026-07/RfS%20BESS%202%20240726.pdf</t>
        </is>
      </c>
      <c r="AW3" t="inlineStr">
        <is>
          <t>Document-level review pending; no assumptions inserted</t>
        </is>
      </c>
      <c r="AY3" s="282" t="n">
        <v>46239.24097942355</v>
      </c>
    </row>
    <row r="4">
      <c r="A4" s="37" t="inlineStr">
        <is>
          <t>MSEDCL-BESS-2000</t>
        </is>
      </c>
      <c r="B4" s="37" t="inlineStr">
        <is>
          <t>Maharashtra</t>
        </is>
      </c>
      <c r="C4" s="37" t="inlineStr">
        <is>
          <t>MSEDCL</t>
        </is>
      </c>
      <c r="D4" s="37" t="inlineStr">
        <is>
          <t>Maharashtra</t>
        </is>
      </c>
      <c r="E4" s="37" t="inlineStr">
        <is>
          <t>RfS-2000MW-4000MWh-BESS-2026</t>
        </is>
      </c>
      <c r="F4" s="37" t="inlineStr">
        <is>
          <t>BESS</t>
        </is>
      </c>
      <c r="G4" s="274" t="n">
        <v>2000</v>
      </c>
      <c r="H4" s="37" t="inlineStr">
        <is>
          <t>Yes</t>
        </is>
      </c>
      <c r="I4" s="37" t="n">
        <v>2</v>
      </c>
      <c r="J4" s="37" t="inlineStr">
        <is>
          <t>Tariff-based competitive bidding</t>
        </is>
      </c>
      <c r="K4" s="274" t="n"/>
      <c r="L4" s="37" t="n"/>
      <c r="M4" s="37" t="inlineStr">
        <is>
          <t>As per RfS</t>
        </is>
      </c>
      <c r="N4" s="280" t="n"/>
      <c r="O4" s="280" t="n"/>
      <c r="P4" s="280" t="n"/>
      <c r="Q4" s="280" t="inlineStr">
        <is>
          <t>Corrigendum</t>
        </is>
      </c>
      <c r="R4" s="280" t="n">
        <v>46236</v>
      </c>
      <c r="S4" s="37" t="n">
        <v>2</v>
      </c>
      <c r="T4" s="37" t="inlineStr">
        <is>
          <t>https://www.mahadiscom.in/en/supplier/tenders/</t>
        </is>
      </c>
      <c r="U4" s="37" t="n"/>
      <c r="V4" s="37" t="inlineStr">
        <is>
          <t>Corrigendum-2 published 22-Jul-2026; deadline not visible on listing</t>
        </is>
      </c>
      <c r="W4" s="278">
        <f>IF(N4="","",N4-TODAY())</f>
        <v/>
      </c>
      <c r="X4">
        <f>IF(W4="","",IF(W4&lt;0,"Expired",IF(W4&lt;=3,"Urgent",IF(W4&lt;=7,"Due in 7 Days","Normal"))))</f>
        <v/>
      </c>
      <c r="Y4">
        <f>UPPER(TRIM(C4&amp;"|"&amp;E4))</f>
        <v/>
      </c>
      <c r="Z4">
        <f>IF(Y4="","",IF(COUNTIF($Y$2:$Y$501,Y4)&gt;1,"Duplicate","Unique"))</f>
        <v/>
      </c>
      <c r="AA4">
        <f>IF(A5="","",C5&amp;"|"&amp;E5&amp;"|"&amp;TEXT(N5,"yyyymmdd")&amp;"|"&amp;Q5&amp;"|"&amp;S5&amp;"|"&amp;TEXT(AI5,"yyyymmdd"))</f>
        <v/>
      </c>
      <c r="AB4" s="281" t="n">
        <v>46236</v>
      </c>
      <c r="AC4" s="281" t="inlineStr">
        <is>
          <t>Official agency page</t>
        </is>
      </c>
      <c r="AD4" s="281" t="inlineStr">
        <is>
          <t>Partial</t>
        </is>
      </c>
      <c r="AE4" s="281">
        <f>IF(A5="","",IF(AC5="Official agency page",3,IF(AC5="Official government portal",3,IF(AC5="Official tender document",4,1)))+IF(AD5="Core fields",2,1))</f>
        <v/>
      </c>
      <c r="AF4" s="281">
        <f>IF(A5="","",IF(OR(Q5="Open",Q5="Extended"),"Current Opportunity",IF(Q5="Corrigendum","Needs Status Check",IF(Q5="Evaluation","Under Evaluation","Historical / Closed"))))</f>
        <v/>
      </c>
      <c r="AG4" s="281" t="n">
        <v>46203</v>
      </c>
      <c r="AH4" s="281" t="inlineStr">
        <is>
          <t>2026-07-07; 2026-07-22</t>
        </is>
      </c>
      <c r="AI4" s="281" t="n">
        <v>46225</v>
      </c>
      <c r="AJ4" t="inlineStr">
        <is>
          <t>Addendum-1 and Addendum-2 published 07-Jul-2026; Corrigendum-2 published 22-Jul-2026</t>
        </is>
      </c>
      <c r="AK4" t="inlineStr">
        <is>
          <t>Standalone BESS under tariff-based competitive bidding</t>
        </is>
      </c>
      <c r="AL4" t="inlineStr">
        <is>
          <t>Dispatch/charging schedule governed by RfS and BESPA</t>
        </is>
      </c>
      <c r="AM4" t="inlineStr">
        <is>
          <t>PLF is not applicable to standalone BESS; daily cycle and availability obligations require current 2026 RfS review</t>
        </is>
      </c>
      <c r="AN4" t="inlineStr">
        <is>
          <t>Monthly availability/payment condition not verified from accessible current document text</t>
        </is>
      </c>
      <c r="AO4" t="inlineStr">
        <is>
          <t>Annual PLF/CUF not applicable; annual availability requirement not verified</t>
        </is>
      </c>
      <c r="AP4" t="inlineStr">
        <is>
          <t>Not verified from accessible current 2026 document text</t>
        </is>
      </c>
      <c r="AQ4" t="inlineStr">
        <is>
          <t>Not verified from accessible current 2026 document text</t>
        </is>
      </c>
      <c r="AR4" t="inlineStr">
        <is>
          <t>Charging source and grid/exchange charging permission not verified</t>
        </is>
      </c>
      <c r="AS4" t="inlineStr">
        <is>
          <t>Not verified</t>
        </is>
      </c>
      <c r="AT4" t="inlineStr">
        <is>
          <t>Current 2026 tender and corrigenda are visible on MSEDCL, but detailed clauses require opening the RfS/corrigendum PDF</t>
        </is>
      </c>
      <c r="AU4" t="inlineStr">
        <is>
          <t>Merchant-use rights not verified</t>
        </is>
      </c>
      <c r="AV4" t="inlineStr">
        <is>
          <t>https://www.mahadiscom.in/en/supplier/tenders/</t>
        </is>
      </c>
      <c r="AW4" t="inlineStr">
        <is>
          <t>Tender confirmed; commercial clause extraction pending</t>
        </is>
      </c>
      <c r="AY4" s="282" t="n">
        <v>46239.24097942355</v>
      </c>
    </row>
    <row r="5">
      <c r="A5" s="37" t="inlineStr">
        <is>
          <t>SECI000240</t>
        </is>
      </c>
      <c r="B5" s="37" t="inlineStr">
        <is>
          <t>Central</t>
        </is>
      </c>
      <c r="C5" s="37" t="inlineStr">
        <is>
          <t>SECI</t>
        </is>
      </c>
      <c r="D5" s="37" t="n"/>
      <c r="E5" s="37" t="inlineStr">
        <is>
          <t>SECI/C&amp;P/IPP/13/0020/25-26</t>
        </is>
      </c>
      <c r="F5" s="37" t="inlineStr">
        <is>
          <t>FDRE</t>
        </is>
      </c>
      <c r="G5" s="274" t="n">
        <v>1000</v>
      </c>
      <c r="H5" s="37" t="inlineStr">
        <is>
          <t>No</t>
        </is>
      </c>
      <c r="I5" s="37" t="n"/>
      <c r="J5" s="37" t="n"/>
      <c r="K5" s="274" t="n"/>
      <c r="L5" s="37" t="n"/>
      <c r="M5" s="37" t="n"/>
      <c r="N5" s="280" t="n"/>
      <c r="O5" s="280" t="n"/>
      <c r="P5" s="280" t="n"/>
      <c r="Q5" s="280" t="inlineStr">
        <is>
          <t>Open</t>
        </is>
      </c>
      <c r="R5" s="280" t="n">
        <v>46237.26024921297</v>
      </c>
      <c r="S5" s="37" t="n">
        <v>0</v>
      </c>
      <c r="T5" s="37" t="inlineStr">
        <is>
          <t>https://www.seci.co.in/tender-details/YmZ3</t>
        </is>
      </c>
      <c r="U5" s="37" t="n"/>
      <c r="V5"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5" s="278">
        <f>IF(N5="","",N5-TODAY())</f>
        <v/>
      </c>
      <c r="X5">
        <f>IF(W5="","",IF(W5&lt;0,"Expired",IF(W5&lt;=3,"Urgent",IF(W5&lt;=7,"Due in 7 Days","Normal"))))</f>
        <v/>
      </c>
      <c r="Y5">
        <f>UPPER(TRIM(C5&amp;"|"&amp;E5))</f>
        <v/>
      </c>
      <c r="Z5">
        <f>IF(Y5="","",IF(COUNTIF($Y$2:$Y$501,Y5)&gt;1,"Duplicate","Unique"))</f>
        <v/>
      </c>
      <c r="AB5" s="281" t="n"/>
      <c r="AC5" s="281" t="inlineStr">
        <is>
          <t>Official agency page</t>
        </is>
      </c>
      <c r="AD5" s="281" t="n"/>
      <c r="AE5" s="281" t="n"/>
      <c r="AF5" s="281" t="n"/>
      <c r="AG5" s="281" t="n"/>
      <c r="AH5" s="281" t="n"/>
      <c r="AI5" s="281" t="n"/>
      <c r="AX5" s="282" t="n">
        <v>46237.26024921297</v>
      </c>
      <c r="AY5" s="282" t="n">
        <v>46239.24097942355</v>
      </c>
      <c r="AZ5" t="inlineStr">
        <is>
          <t>014f0276d0bedb946c97bc1d31fd766e19a14673016f74b3288a3d56aab0e824</t>
        </is>
      </c>
    </row>
    <row r="6">
      <c r="A6" s="37" t="n"/>
      <c r="B6" s="37" t="inlineStr">
        <is>
          <t>Odisha</t>
        </is>
      </c>
      <c r="C6" s="37" t="inlineStr">
        <is>
          <t>GRIDCO</t>
        </is>
      </c>
      <c r="D6" s="37" t="n"/>
      <c r="E6" s="37" t="inlineStr">
        <is>
          <t xml:space="preserve">Issuing Authority : GRIDCO Ltd. Date of Opening : 08/10/2026 05:00 PM Scope of Work : Request for Proposal for consultancy services for Environmental </t>
        </is>
      </c>
      <c r="F6" s="37" t="inlineStr">
        <is>
          <t>Solar</t>
        </is>
      </c>
      <c r="G6" s="274" t="n">
        <v>225</v>
      </c>
      <c r="H6" s="37" t="inlineStr">
        <is>
          <t>No</t>
        </is>
      </c>
      <c r="I6" s="37" t="n"/>
      <c r="J6" s="37" t="n"/>
      <c r="K6" s="274" t="n"/>
      <c r="L6" s="37" t="n"/>
      <c r="M6" s="37" t="n"/>
      <c r="N6" s="280" t="n"/>
      <c r="O6" s="280" t="n"/>
      <c r="P6" s="280" t="n"/>
      <c r="Q6" s="280" t="inlineStr">
        <is>
          <t>Open</t>
        </is>
      </c>
      <c r="R6" s="280" t="n">
        <v>46239.24097942355</v>
      </c>
      <c r="S6" s="37" t="n"/>
      <c r="T6" s="37" t="inlineStr">
        <is>
          <t>https://www.gridco.co.in/tender.aspx</t>
        </is>
      </c>
      <c r="U6" s="37" t="inlineStr"/>
      <c r="V6" s="37" t="inlineStr">
        <is>
          <t>Issuing Authority : | GRIDCO Ltd. | Date of Opening : | 08/10/2026 05:00 PM | Scope of Work : | Request for Proposal for consultancy services for Environmental and Social Impact Assessment (ESIA) for 225 MW Upper Indravati Floating Solar Project including evacuation infrastructure and associated transmission lines in the state of Odisha, India. Issuing Authority : GRIDCO Ltd. Date of Opening : 08/10/2026 05:00 PM Scope of Work : Request for Proposal for consultancy services for Environmental and Social Impact Assessment (ESIA) for 225 MW Upper Indravati Floating Solar Project including evacuation infrastructure and associated transmission lines in the state of Odisha, India.</t>
        </is>
      </c>
      <c r="W6" s="278">
        <f>IF(N6="","",N6-TODAY())</f>
        <v/>
      </c>
      <c r="X6">
        <f>IF(W6="","",IF(W6&lt;0,"Expired",IF(W6&lt;=3,"Urgent",IF(W6&lt;=7,"Due in 7 Days","Normal"))))</f>
        <v/>
      </c>
      <c r="Y6">
        <f>UPPER(TRIM(C6&amp;"|"&amp;E6))</f>
        <v/>
      </c>
      <c r="Z6">
        <f>IF(Y6="","",IF(COUNTIF($Y$2:$Y$501,Y6)&gt;1,"Duplicate","Unique"))</f>
        <v/>
      </c>
      <c r="AB6" s="281" t="n"/>
      <c r="AC6" s="281" t="inlineStr">
        <is>
          <t>Official agency page</t>
        </is>
      </c>
      <c r="AD6" s="281" t="n"/>
      <c r="AE6" s="281" t="n"/>
      <c r="AF6" s="281" t="n"/>
      <c r="AG6" s="281" t="n"/>
      <c r="AH6" s="281" t="n"/>
      <c r="AI6" s="281" t="n"/>
      <c r="AX6" s="282" t="n">
        <v>46239.24097942355</v>
      </c>
      <c r="AY6" s="282" t="n">
        <v>46239.24097942355</v>
      </c>
      <c r="AZ6" t="inlineStr">
        <is>
          <t>b2f0cf79f5c1c721a8ebf084bb1191b1315d06687fed6cfce2722ac666e4b587</t>
        </is>
      </c>
    </row>
    <row r="7">
      <c r="A7" s="37" t="n"/>
      <c r="B7" s="37" t="inlineStr">
        <is>
          <t>Odisha</t>
        </is>
      </c>
      <c r="C7" s="37" t="inlineStr">
        <is>
          <t>GRIDCO</t>
        </is>
      </c>
      <c r="D7" s="37" t="n"/>
      <c r="E7" s="37" t="inlineStr">
        <is>
          <t>Scope of Work :</t>
        </is>
      </c>
      <c r="F7" s="37" t="inlineStr">
        <is>
          <t>Solar</t>
        </is>
      </c>
      <c r="G7" s="274" t="n">
        <v>225</v>
      </c>
      <c r="H7" s="37" t="inlineStr">
        <is>
          <t>No</t>
        </is>
      </c>
      <c r="I7" s="37" t="n"/>
      <c r="J7" s="37" t="n"/>
      <c r="K7" s="274" t="n"/>
      <c r="L7" s="37" t="n"/>
      <c r="M7" s="37" t="n"/>
      <c r="N7" s="280" t="n"/>
      <c r="O7" s="280" t="n"/>
      <c r="P7" s="280" t="n"/>
      <c r="Q7" s="280" t="inlineStr">
        <is>
          <t>Open</t>
        </is>
      </c>
      <c r="R7" s="280" t="n">
        <v>46239.24097942355</v>
      </c>
      <c r="S7" s="37" t="n"/>
      <c r="T7" s="37" t="inlineStr">
        <is>
          <t>https://www.gridco.co.in/tender.aspx</t>
        </is>
      </c>
      <c r="U7" s="37" t="inlineStr"/>
      <c r="V7" s="37" t="inlineStr">
        <is>
          <t>Request for Proposal for consultancy services for Environmental and Social Impact Assessment (ESIA) for 225 MW Upper Indravati Floating Solar Project including evacuation infrastructure and associated transmission lines in the state of Odisha, India. Scope of Work : Request for Proposal for consultancy services for Environmental and Social Impact Assessment (ESIA) for 225 MW Upper Indravati Floating Solar Project including evacuation infrastructure and associated transmission lines in the state of Odisha, India.</t>
        </is>
      </c>
      <c r="W7" s="278">
        <f>IF(N7="","",N7-TODAY())</f>
        <v/>
      </c>
      <c r="X7">
        <f>IF(W7="","",IF(W7&lt;0,"Expired",IF(W7&lt;=3,"Urgent",IF(W7&lt;=7,"Due in 7 Days","Normal"))))</f>
        <v/>
      </c>
      <c r="Y7">
        <f>UPPER(TRIM(C7&amp;"|"&amp;E7))</f>
        <v/>
      </c>
      <c r="Z7">
        <f>IF(Y7="","",IF(COUNTIF($Y$2:$Y$501,Y7)&gt;1,"Duplicate","Unique"))</f>
        <v/>
      </c>
      <c r="AB7" s="281" t="n"/>
      <c r="AC7" s="281" t="inlineStr">
        <is>
          <t>Official agency page</t>
        </is>
      </c>
      <c r="AD7" s="281" t="n"/>
      <c r="AE7" s="281" t="n"/>
      <c r="AF7" s="281" t="n"/>
      <c r="AG7" s="281" t="n"/>
      <c r="AH7" s="281" t="n"/>
      <c r="AI7" s="281" t="n"/>
      <c r="AX7" s="282" t="n">
        <v>46239.24097942355</v>
      </c>
      <c r="AY7" s="282" t="n">
        <v>46239.24097942355</v>
      </c>
      <c r="AZ7" t="inlineStr">
        <is>
          <t>825330359c0f821ed1c3004804005ec76fb9242a1c591679df676bf7d493ffea</t>
        </is>
      </c>
    </row>
    <row r="8">
      <c r="A8" s="37" t="n"/>
      <c r="B8" s="37" t="n"/>
      <c r="C8" s="37" t="n"/>
      <c r="D8" s="37" t="n"/>
      <c r="E8" s="37" t="n"/>
      <c r="F8" s="37" t="n"/>
      <c r="G8" s="274" t="n"/>
      <c r="H8" s="37" t="n"/>
      <c r="I8" s="37" t="n"/>
      <c r="J8" s="37" t="n"/>
      <c r="K8" s="274" t="n"/>
      <c r="L8" s="37" t="n"/>
      <c r="M8" s="37" t="n"/>
      <c r="N8" s="280" t="n"/>
      <c r="O8" s="280" t="n"/>
      <c r="P8" s="280" t="n"/>
      <c r="Q8" s="280" t="n"/>
      <c r="R8" s="280" t="n"/>
      <c r="S8" s="37" t="n"/>
      <c r="T8" s="37" t="n"/>
      <c r="U8" s="37" t="n"/>
      <c r="V8" s="37" t="n"/>
      <c r="W8" s="278" t="n"/>
      <c r="AB8" s="281" t="n"/>
      <c r="AC8" s="281" t="n"/>
      <c r="AD8" s="281" t="n"/>
      <c r="AE8" s="281" t="n"/>
      <c r="AF8" s="281" t="n"/>
      <c r="AG8" s="281" t="n"/>
      <c r="AH8" s="281" t="n"/>
      <c r="AI8" s="281" t="n"/>
      <c r="AX8" s="282" t="n"/>
      <c r="AY8" s="282" t="n"/>
    </row>
    <row r="9">
      <c r="A9" s="37" t="n"/>
      <c r="B9" s="37" t="n"/>
      <c r="C9" s="37" t="n"/>
      <c r="D9" s="37" t="n"/>
      <c r="E9" s="37" t="n"/>
      <c r="F9" s="37" t="n"/>
      <c r="G9" s="274" t="n"/>
      <c r="H9" s="37" t="n"/>
      <c r="I9" s="37" t="n"/>
      <c r="J9" s="37" t="n"/>
      <c r="K9" s="274" t="n"/>
      <c r="L9" s="37" t="n"/>
      <c r="M9" s="37" t="n"/>
      <c r="N9" s="280" t="n"/>
      <c r="O9" s="280" t="n"/>
      <c r="P9" s="280" t="n"/>
      <c r="Q9" s="280" t="n"/>
      <c r="R9" s="280" t="n"/>
      <c r="S9" s="37" t="n"/>
      <c r="T9" s="37" t="n"/>
      <c r="U9" s="37" t="n"/>
      <c r="V9" s="37" t="n"/>
      <c r="W9" s="278" t="n"/>
      <c r="AB9" s="281" t="n"/>
      <c r="AG9" s="281" t="n"/>
      <c r="AH9" s="281" t="n"/>
      <c r="AI9" s="281" t="n"/>
    </row>
    <row r="10">
      <c r="A10" s="37" t="n"/>
      <c r="B10" s="37" t="n"/>
      <c r="C10" s="37" t="n"/>
      <c r="D10" s="37" t="n"/>
      <c r="E10" s="37" t="n"/>
      <c r="F10" s="37" t="n"/>
      <c r="G10" s="274" t="n"/>
      <c r="H10" s="37" t="n"/>
      <c r="I10" s="37" t="n"/>
      <c r="J10" s="37" t="n"/>
      <c r="K10" s="274" t="n"/>
      <c r="L10" s="37" t="n"/>
      <c r="M10" s="37" t="n"/>
      <c r="N10" s="280" t="n"/>
      <c r="O10" s="280" t="n"/>
      <c r="P10" s="280" t="n"/>
      <c r="Q10" s="280" t="n"/>
      <c r="R10" s="280" t="n"/>
      <c r="S10" s="37" t="n"/>
      <c r="T10" s="37" t="n"/>
      <c r="U10" s="37" t="n"/>
      <c r="V10" s="37" t="n"/>
      <c r="W10" s="278" t="n"/>
      <c r="AB10" s="281" t="n"/>
    </row>
    <row r="11">
      <c r="A11" s="37" t="n"/>
      <c r="B11" s="37" t="n"/>
      <c r="C11" s="37" t="n"/>
      <c r="D11" s="37" t="n"/>
      <c r="E11" s="37" t="n"/>
      <c r="F11" s="37" t="n"/>
      <c r="G11" s="274" t="n"/>
      <c r="H11" s="37" t="n"/>
      <c r="I11" s="37" t="n"/>
      <c r="J11" s="37" t="n"/>
      <c r="K11" s="274" t="n"/>
      <c r="L11" s="37" t="n"/>
      <c r="M11" s="37" t="n"/>
      <c r="N11" s="280" t="n"/>
      <c r="O11" s="280" t="n"/>
      <c r="P11" s="280" t="n"/>
      <c r="Q11" s="280" t="n"/>
      <c r="R11" s="280" t="n"/>
      <c r="S11" s="37" t="n"/>
      <c r="T11" s="37" t="n"/>
      <c r="U11" s="37" t="n"/>
      <c r="V11" s="37" t="n"/>
      <c r="W11" s="278" t="n"/>
      <c r="AB11" s="281" t="n"/>
    </row>
    <row r="12">
      <c r="A12" s="37" t="n"/>
      <c r="B12" s="37" t="n"/>
      <c r="C12" s="37" t="n"/>
      <c r="D12" s="37" t="n"/>
      <c r="E12" s="37" t="n"/>
      <c r="F12" s="37" t="n"/>
      <c r="G12" s="274" t="n"/>
      <c r="H12" s="37" t="n"/>
      <c r="I12" s="37" t="n"/>
      <c r="J12" s="37" t="n"/>
      <c r="K12" s="274" t="n"/>
      <c r="L12" s="37" t="n"/>
      <c r="M12" s="37" t="n"/>
      <c r="N12" s="280" t="n"/>
      <c r="O12" s="280" t="n"/>
      <c r="P12" s="280" t="n"/>
      <c r="Q12" s="280" t="n"/>
      <c r="R12" s="280" t="n"/>
      <c r="S12" s="37" t="n"/>
      <c r="T12" s="37" t="n"/>
      <c r="U12" s="37" t="n"/>
      <c r="V12" s="37" t="n"/>
      <c r="W12" s="278" t="n"/>
      <c r="AB12" s="281" t="n"/>
    </row>
    <row r="13">
      <c r="A13" s="37" t="n"/>
      <c r="B13" s="37" t="n"/>
      <c r="C13" s="37" t="n"/>
      <c r="D13" s="37" t="n"/>
      <c r="E13" s="37" t="n"/>
      <c r="F13" s="37" t="n"/>
      <c r="G13" s="274" t="n"/>
      <c r="H13" s="37" t="n"/>
      <c r="I13" s="37" t="n"/>
      <c r="J13" s="37" t="n"/>
      <c r="K13" s="274" t="n"/>
      <c r="L13" s="37" t="n"/>
      <c r="M13" s="37" t="n"/>
      <c r="N13" s="280" t="n"/>
      <c r="O13" s="280" t="n"/>
      <c r="P13" s="280" t="n"/>
      <c r="Q13" s="280" t="n"/>
      <c r="R13" s="280" t="n"/>
      <c r="S13" s="37" t="n"/>
      <c r="T13" s="37" t="n"/>
      <c r="U13" s="37" t="n"/>
      <c r="V13" s="37" t="n"/>
      <c r="W13" s="278" t="n"/>
      <c r="AB13" s="281" t="n"/>
    </row>
    <row r="14">
      <c r="A14" s="37" t="n"/>
      <c r="B14" s="37" t="n"/>
      <c r="C14" s="37" t="n"/>
      <c r="D14" s="37" t="n"/>
      <c r="E14" s="37" t="n"/>
      <c r="F14" s="37" t="n"/>
      <c r="G14" s="274" t="n"/>
      <c r="H14" s="37" t="n"/>
      <c r="I14" s="37" t="n"/>
      <c r="J14" s="37" t="n"/>
      <c r="K14" s="274" t="n"/>
      <c r="L14" s="37" t="n"/>
      <c r="M14" s="37" t="n"/>
      <c r="N14" s="280" t="n"/>
      <c r="O14" s="280" t="n"/>
      <c r="P14" s="280" t="n"/>
      <c r="Q14" s="280" t="n"/>
      <c r="R14" s="280" t="n"/>
      <c r="S14" s="37" t="n"/>
      <c r="T14" s="37" t="n"/>
      <c r="U14" s="37" t="n"/>
      <c r="V14" s="37" t="n"/>
      <c r="W14" s="278" t="n"/>
      <c r="AB14" s="281" t="n"/>
    </row>
    <row r="15">
      <c r="A15" s="37" t="n"/>
      <c r="B15" s="37" t="n"/>
      <c r="C15" s="37" t="n"/>
      <c r="D15" s="37" t="n"/>
      <c r="E15" s="37" t="n"/>
      <c r="F15" s="37" t="n"/>
      <c r="G15" s="274" t="n"/>
      <c r="H15" s="37" t="n"/>
      <c r="I15" s="37" t="n"/>
      <c r="J15" s="37" t="n"/>
      <c r="K15" s="274" t="n"/>
      <c r="L15" s="37" t="n"/>
      <c r="M15" s="37" t="n"/>
      <c r="N15" s="280" t="n"/>
      <c r="O15" s="280" t="n"/>
      <c r="P15" s="280" t="n"/>
      <c r="Q15" s="280" t="n"/>
      <c r="R15" s="280" t="n"/>
      <c r="S15" s="37" t="n"/>
      <c r="T15" s="37" t="n"/>
      <c r="U15" s="37" t="n"/>
      <c r="V15" s="37" t="n"/>
      <c r="W15" s="278" t="n"/>
      <c r="AB15" s="281" t="n"/>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B33" t="inlineStr">
        <is>
          <t>NTPC REL</t>
        </is>
      </c>
      <c r="D33" t="inlineStr">
        <is>
          <t>Wind</t>
        </is>
      </c>
      <c r="E33" t="n">
        <v>813</v>
      </c>
      <c r="F33" t="inlineStr">
        <is>
          <t>Corrigendum</t>
        </is>
      </c>
      <c r="G33" t="inlineStr">
        <is>
          <t>Supply / installation excluded</t>
        </is>
      </c>
      <c r="H33" t="inlineStr">
        <is>
          <t>https://ntpctender.ntpc.co.in/NITDetails/NITs/29708</t>
        </is>
      </c>
    </row>
    <row r="34">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row r="36">
      <c r="A36" t="inlineStr">
        <is>
          <t>SECI000267</t>
        </is>
      </c>
      <c r="B36" t="inlineStr">
        <is>
          <t>SECI</t>
        </is>
      </c>
      <c r="C36" t="inlineStr">
        <is>
          <t>SECI/C&amp;P/MI/00/0001/26-27</t>
        </is>
      </c>
      <c r="D36" t="inlineStr">
        <is>
          <t>Other</t>
        </is>
      </c>
      <c r="F36" t="inlineStr">
        <is>
          <t>Open</t>
        </is>
      </c>
      <c r="G36" t="inlineStr">
        <is>
          <t>Capacity not confirmed</t>
        </is>
      </c>
      <c r="H36" t="inlineStr">
        <is>
          <t>https://www.seci.co.in/tender-details/YmRw</t>
        </is>
      </c>
    </row>
    <row r="37">
      <c r="A37" t="inlineStr">
        <is>
          <t>SECI000265</t>
        </is>
      </c>
      <c r="B37" t="inlineStr">
        <is>
          <t>SECI</t>
        </is>
      </c>
      <c r="C37" t="inlineStr">
        <is>
          <t>SECI/C&amp;P/IPP/11/0007/26-27</t>
        </is>
      </c>
      <c r="D37" t="inlineStr">
        <is>
          <t>Solar</t>
        </is>
      </c>
      <c r="F37" t="inlineStr">
        <is>
          <t>Open</t>
        </is>
      </c>
      <c r="G37" t="inlineStr">
        <is>
          <t>Rooftop solar excluded</t>
        </is>
      </c>
      <c r="H37" t="inlineStr">
        <is>
          <t>https://www.seci.co.in/tender-details/YmRy</t>
        </is>
      </c>
    </row>
    <row r="38">
      <c r="A38" t="inlineStr">
        <is>
          <t>SECI000264</t>
        </is>
      </c>
      <c r="B38" t="inlineStr">
        <is>
          <t>SECI</t>
        </is>
      </c>
      <c r="C38" t="inlineStr">
        <is>
          <t>SECI/C&amp;P/EOI/17/0002/26-27</t>
        </is>
      </c>
      <c r="D38" t="inlineStr">
        <is>
          <t>Other</t>
        </is>
      </c>
      <c r="F38" t="inlineStr">
        <is>
          <t>Open</t>
        </is>
      </c>
      <c r="G38" t="inlineStr">
        <is>
          <t>Capacity not confirmed</t>
        </is>
      </c>
      <c r="H38" t="inlineStr">
        <is>
          <t>https://www.seci.co.in/tender-details/YmRz</t>
        </is>
      </c>
    </row>
    <row r="39">
      <c r="A39" t="inlineStr">
        <is>
          <t>SECI000263</t>
        </is>
      </c>
      <c r="B39" t="inlineStr">
        <is>
          <t>SECI</t>
        </is>
      </c>
      <c r="C39" t="inlineStr">
        <is>
          <t>SECI/C&amp;P/OP/11/0003/26-27</t>
        </is>
      </c>
      <c r="D39" t="inlineStr">
        <is>
          <t>Wind</t>
        </is>
      </c>
      <c r="E39" t="n">
        <v>45.6</v>
      </c>
      <c r="F39" t="inlineStr">
        <is>
          <t>Open</t>
        </is>
      </c>
      <c r="G39" t="inlineStr">
        <is>
          <t>Capacity below configured minimum</t>
        </is>
      </c>
      <c r="H39" t="inlineStr">
        <is>
          <t>https://www.seci.co.in/tender-details/YmR0</t>
        </is>
      </c>
    </row>
    <row r="40">
      <c r="A40" t="inlineStr">
        <is>
          <t>SECI000252</t>
        </is>
      </c>
      <c r="B40" t="inlineStr">
        <is>
          <t>SECI</t>
        </is>
      </c>
      <c r="C40" t="inlineStr">
        <is>
          <t>SECI/C&amp;P/OP/11/0001/26-27</t>
        </is>
      </c>
      <c r="D40" t="inlineStr">
        <is>
          <t>Solar</t>
        </is>
      </c>
      <c r="E40" t="n">
        <v>88</v>
      </c>
      <c r="F40" t="inlineStr">
        <is>
          <t>Open</t>
        </is>
      </c>
      <c r="G40" t="inlineStr">
        <is>
          <t>EPC / turnkey / BoS excluded</t>
        </is>
      </c>
      <c r="H40" t="inlineStr">
        <is>
          <t>https://www.seci.co.in/tender-details/Ymd1</t>
        </is>
      </c>
    </row>
    <row r="41">
      <c r="A41" t="inlineStr">
        <is>
          <t>SECI000262</t>
        </is>
      </c>
      <c r="B41" t="inlineStr">
        <is>
          <t>SECI</t>
        </is>
      </c>
      <c r="C41" t="inlineStr">
        <is>
          <t>SECI/C&amp;P/OP/11/0002/26-27</t>
        </is>
      </c>
      <c r="D41" t="inlineStr">
        <is>
          <t>Solar + BESS</t>
        </is>
      </c>
      <c r="E41" t="n">
        <v>25</v>
      </c>
      <c r="F41" t="inlineStr">
        <is>
          <t>Open</t>
        </is>
      </c>
      <c r="G41" t="inlineStr">
        <is>
          <t>Capacity below configured minimum</t>
        </is>
      </c>
      <c r="H41" t="inlineStr">
        <is>
          <t>https://www.seci.co.in/tender-details/YmR1</t>
        </is>
      </c>
    </row>
    <row r="42">
      <c r="B42" t="inlineStr">
        <is>
          <t>GRIDCO</t>
        </is>
      </c>
      <c r="C42" t="inlineStr">
        <is>
          <t>View Details Tender Document Addendum-I Pre-Bid Meeting Link Corrigendum-II Addendum-6 Odisha Floating Solar Data Room - Contents Addendum_09 Addendum</t>
        </is>
      </c>
      <c r="D42" t="inlineStr">
        <is>
          <t>Solar</t>
        </is>
      </c>
      <c r="F42" t="inlineStr">
        <is>
          <t>Corrigendum</t>
        </is>
      </c>
      <c r="G42" t="inlineStr">
        <is>
          <t>Capacity not confirmed</t>
        </is>
      </c>
      <c r="H42" t="inlineStr">
        <is>
          <t>https://www.gridco.co.in/writereaddata/Tenders/301225101225upload.pdf</t>
        </is>
      </c>
    </row>
    <row r="43">
      <c r="B43" t="inlineStr">
        <is>
          <t>GRIDCO</t>
        </is>
      </c>
      <c r="C43" t="inlineStr">
        <is>
          <t>Addendum-6 Odisha Floating Solar Data Room - Contents</t>
        </is>
      </c>
      <c r="D43" t="inlineStr">
        <is>
          <t>Solar</t>
        </is>
      </c>
      <c r="F43" t="inlineStr">
        <is>
          <t>Open</t>
        </is>
      </c>
      <c r="G43" t="inlineStr">
        <is>
          <t>Capacity not confirmed</t>
        </is>
      </c>
      <c r="H43" t="inlineStr">
        <is>
          <t>https://www.gridco.co.in/writereaddata/Tenders/301126051106Addendum-6_Odisha Floating Solar Data room - Contents.pdf</t>
        </is>
      </c>
    </row>
    <row r="44">
      <c r="A44" t="inlineStr">
        <is>
          <t>SECI000249</t>
        </is>
      </c>
      <c r="B44" t="inlineStr">
        <is>
          <t>SECI</t>
        </is>
      </c>
      <c r="C44" t="inlineStr">
        <is>
          <t>SECI/C&amp;P/IPP/13/0002/26-27</t>
        </is>
      </c>
      <c r="D44" t="inlineStr">
        <is>
          <t>FDRE</t>
        </is>
      </c>
      <c r="E44" t="n">
        <v>500</v>
      </c>
      <c r="F44" t="inlineStr">
        <is>
          <t>Open</t>
        </is>
      </c>
      <c r="G44" t="inlineStr">
        <is>
          <t>Deadline expired without verified extension</t>
        </is>
      </c>
      <c r="H44" t="inlineStr">
        <is>
          <t>https://www.seci.co.in/tenders/</t>
        </is>
      </c>
    </row>
    <row r="45">
      <c r="A45" t="inlineStr">
        <is>
          <t>SECI000267</t>
        </is>
      </c>
      <c r="B45" t="inlineStr">
        <is>
          <t>SECI</t>
        </is>
      </c>
      <c r="C45" t="inlineStr">
        <is>
          <t>SECI/C&amp;P/MI/00/0001/26-27</t>
        </is>
      </c>
      <c r="D45" t="inlineStr">
        <is>
          <t>Other</t>
        </is>
      </c>
      <c r="F45" t="inlineStr">
        <is>
          <t>Open</t>
        </is>
      </c>
      <c r="G45" t="inlineStr">
        <is>
          <t>Capacity not confirmed</t>
        </is>
      </c>
      <c r="H45" t="inlineStr">
        <is>
          <t>https://www.seci.co.in/tender-details/YmRw</t>
        </is>
      </c>
    </row>
    <row r="46">
      <c r="A46" t="inlineStr">
        <is>
          <t>SECI000265</t>
        </is>
      </c>
      <c r="B46" t="inlineStr">
        <is>
          <t>SECI</t>
        </is>
      </c>
      <c r="C46" t="inlineStr">
        <is>
          <t>SECI/C&amp;P/IPP/11/0007/26-27</t>
        </is>
      </c>
      <c r="D46" t="inlineStr">
        <is>
          <t>Solar</t>
        </is>
      </c>
      <c r="F46" t="inlineStr">
        <is>
          <t>Open</t>
        </is>
      </c>
      <c r="G46" t="inlineStr">
        <is>
          <t>Rooftop solar excluded</t>
        </is>
      </c>
      <c r="H46" t="inlineStr">
        <is>
          <t>https://www.seci.co.in/tender-details/YmRy</t>
        </is>
      </c>
    </row>
    <row r="47">
      <c r="A47" t="inlineStr">
        <is>
          <t>SECI000264</t>
        </is>
      </c>
      <c r="B47" t="inlineStr">
        <is>
          <t>SECI</t>
        </is>
      </c>
      <c r="C47" t="inlineStr">
        <is>
          <t>SECI/C&amp;P/EOI/17/0002/26-27</t>
        </is>
      </c>
      <c r="D47" t="inlineStr">
        <is>
          <t>Other</t>
        </is>
      </c>
      <c r="F47" t="inlineStr">
        <is>
          <t>Open</t>
        </is>
      </c>
      <c r="G47" t="inlineStr">
        <is>
          <t>Capacity not confirmed</t>
        </is>
      </c>
      <c r="H47" t="inlineStr">
        <is>
          <t>https://www.seci.co.in/tender-details/YmRz</t>
        </is>
      </c>
    </row>
    <row r="48">
      <c r="A48" t="inlineStr">
        <is>
          <t>SECI000263</t>
        </is>
      </c>
      <c r="B48" t="inlineStr">
        <is>
          <t>SECI</t>
        </is>
      </c>
      <c r="C48" t="inlineStr">
        <is>
          <t>SECI/C&amp;P/OP/11/0003/26-27</t>
        </is>
      </c>
      <c r="D48" t="inlineStr">
        <is>
          <t>Wind</t>
        </is>
      </c>
      <c r="E48" t="n">
        <v>45.6</v>
      </c>
      <c r="F48" t="inlineStr">
        <is>
          <t>Open</t>
        </is>
      </c>
      <c r="G48" t="inlineStr">
        <is>
          <t>Capacity below configured minimum</t>
        </is>
      </c>
      <c r="H48" t="inlineStr">
        <is>
          <t>https://www.seci.co.in/tender-details/YmR0</t>
        </is>
      </c>
    </row>
    <row r="49">
      <c r="A49" t="inlineStr">
        <is>
          <t>SECI000252</t>
        </is>
      </c>
      <c r="B49" t="inlineStr">
        <is>
          <t>SECI</t>
        </is>
      </c>
      <c r="C49" t="inlineStr">
        <is>
          <t>SECI/C&amp;P/OP/11/0001/26-27</t>
        </is>
      </c>
      <c r="D49" t="inlineStr">
        <is>
          <t>Solar</t>
        </is>
      </c>
      <c r="E49" t="n">
        <v>88</v>
      </c>
      <c r="F49" t="inlineStr">
        <is>
          <t>Open</t>
        </is>
      </c>
      <c r="G49" t="inlineStr">
        <is>
          <t>EPC / turnkey / BoS excluded</t>
        </is>
      </c>
      <c r="H49" t="inlineStr">
        <is>
          <t>https://www.seci.co.in/tender-details/Ymd1</t>
        </is>
      </c>
    </row>
    <row r="50">
      <c r="A50" t="inlineStr">
        <is>
          <t>SECI000262</t>
        </is>
      </c>
      <c r="B50" t="inlineStr">
        <is>
          <t>SECI</t>
        </is>
      </c>
      <c r="C50" t="inlineStr">
        <is>
          <t>SECI/C&amp;P/OP/11/0002/26-27</t>
        </is>
      </c>
      <c r="D50" t="inlineStr">
        <is>
          <t>Solar + BESS</t>
        </is>
      </c>
      <c r="E50" t="n">
        <v>25</v>
      </c>
      <c r="F50" t="inlineStr">
        <is>
          <t>Open</t>
        </is>
      </c>
      <c r="G50" t="inlineStr">
        <is>
          <t>Capacity below configured minimum</t>
        </is>
      </c>
      <c r="H50" t="inlineStr">
        <is>
          <t>https://www.seci.co.in/tender-details/YmR1</t>
        </is>
      </c>
    </row>
    <row r="51">
      <c r="A51" t="inlineStr"/>
      <c r="B51" t="inlineStr">
        <is>
          <t>NTPC REL</t>
        </is>
      </c>
      <c r="C51" t="inlineStr"/>
      <c r="D51" t="inlineStr">
        <is>
          <t>Solar</t>
        </is>
      </c>
      <c r="E51" t="n">
        <v>600</v>
      </c>
      <c r="F51" t="inlineStr">
        <is>
          <t>Corrigendum</t>
        </is>
      </c>
      <c r="G51" t="inlineStr">
        <is>
          <t>EPC / turnkey / BoS excluded</t>
        </is>
      </c>
      <c r="H51" t="inlineStr">
        <is>
          <t>https://ntpctender.ntpc.co.in/NITDetails/NITs/29990</t>
        </is>
      </c>
    </row>
    <row r="52">
      <c r="A52" t="inlineStr"/>
      <c r="B52" t="inlineStr">
        <is>
          <t>GRIDCO</t>
        </is>
      </c>
      <c r="C52" t="inlineStr">
        <is>
          <t>View Details Tender Document Addendum-I Pre-Bid Meeting Link Corrigendum-II Addendum-6 Odisha Floating Solar Data Room - Contents Addendum_09 Addendum</t>
        </is>
      </c>
      <c r="D52" t="inlineStr">
        <is>
          <t>Solar</t>
        </is>
      </c>
      <c r="F52" t="inlineStr">
        <is>
          <t>Corrigendum</t>
        </is>
      </c>
      <c r="G52" t="inlineStr">
        <is>
          <t>Capacity not confirmed</t>
        </is>
      </c>
      <c r="H52" t="inlineStr">
        <is>
          <t>https://www.gridco.co.in/writereaddata/Tenders/301225101225upload.pdf</t>
        </is>
      </c>
    </row>
    <row r="53">
      <c r="A53" t="inlineStr"/>
      <c r="B53" t="inlineStr">
        <is>
          <t>GRIDCO</t>
        </is>
      </c>
      <c r="C53" t="inlineStr">
        <is>
          <t>Addendum-6 Odisha Floating Solar Data Room - Contents</t>
        </is>
      </c>
      <c r="D53" t="inlineStr">
        <is>
          <t>Solar</t>
        </is>
      </c>
      <c r="F53" t="inlineStr">
        <is>
          <t>Open</t>
        </is>
      </c>
      <c r="G53" t="inlineStr">
        <is>
          <t>Capacity not confirmed</t>
        </is>
      </c>
      <c r="H53" t="inlineStr">
        <is>
          <t>https://www.gridco.co.in/writereaddata/Tenders/301126051106Addendum-6_Odisha Floating Solar Data room - Contents.pdf</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07"/>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46239.24097942355</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46237.26024921297</v>
      </c>
      <c r="H505" s="282" t="n">
        <v>46237.26024921297</v>
      </c>
      <c r="I505" t="n">
        <v>7</v>
      </c>
      <c r="J505" t="inlineStr">
        <is>
          <t>Success</t>
        </is>
      </c>
    </row>
    <row r="506">
      <c r="F506" t="inlineStr">
        <is>
          <t>RUN-20260804054821</t>
        </is>
      </c>
      <c r="G506" s="282" t="n">
        <v>46238.24191873843</v>
      </c>
      <c r="H506" s="282" t="n">
        <v>46238.24191873843</v>
      </c>
      <c r="I506" t="n">
        <v>6</v>
      </c>
      <c r="J506" t="inlineStr">
        <is>
          <t>Success</t>
        </is>
      </c>
    </row>
    <row r="507">
      <c r="F507" t="inlineStr">
        <is>
          <t>RUN-20260805054700</t>
        </is>
      </c>
      <c r="G507" s="282" t="n">
        <v>46239.24097942355</v>
      </c>
      <c r="H507" s="282" t="n">
        <v>46239.24097942355</v>
      </c>
      <c r="I507" t="n">
        <v>6</v>
      </c>
      <c r="J507"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2026-08-05T05:47:00Z</dcterms:modified>
</cp:coreProperties>
</file>