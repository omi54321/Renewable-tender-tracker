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4e7a7625e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a8bf2939864b09"/>
    <x:sheet xmlns:r="http://schemas.openxmlformats.org/officeDocument/2006/relationships" name="Master Tenders" sheetId="2" r:id="R73620710487a4e59"/>
    <x:sheet xmlns:r="http://schemas.openxmlformats.org/officeDocument/2006/relationships" name="Agency Master" sheetId="3" r:id="Reaea8f63e4be4884"/>
    <x:sheet xmlns:r="http://schemas.openxmlformats.org/officeDocument/2006/relationships" name="Update Log" sheetId="4" r:id="R5608e7b8227a4e9b"/>
    <x:sheet xmlns:r="http://schemas.openxmlformats.org/officeDocument/2006/relationships" name="New Tenders" sheetId="5" r:id="R968b68e6e14d463e"/>
    <x:sheet xmlns:r="http://schemas.openxmlformats.org/officeDocument/2006/relationships" name="Settings" sheetId="6" r:id="R0c6ede45c62440f4"/>
    <x:sheet xmlns:r="http://schemas.openxmlformats.org/officeDocument/2006/relationships" name="Tender Intake" sheetId="7" r:id="Rb22678a157254c78"/>
    <x:sheet xmlns:r="http://schemas.openxmlformats.org/officeDocument/2006/relationships" name="Tender History" sheetId="8" r:id="R49d964fe4e524afe"/>
    <x:sheet xmlns:r="http://schemas.openxmlformats.org/officeDocument/2006/relationships" name="Deadline Calendar" sheetId="9" r:id="Rcc06a1d35cd447e0"/>
    <x:sheet xmlns:r="http://schemas.openxmlformats.org/officeDocument/2006/relationships" name="Source Registry" sheetId="10" r:id="R7cb9840b743c4409"/>
    <x:sheet xmlns:r="http://schemas.openxmlformats.org/officeDocument/2006/relationships" name="Extraction Rules" sheetId="11" r:id="R9730abacc3254980"/>
    <x:sheet xmlns:r="http://schemas.openxmlformats.org/officeDocument/2006/relationships" name="Connector Runs" sheetId="12" r:id="R05c91fd7b867409d"/>
    <x:sheet xmlns:r="http://schemas.openxmlformats.org/officeDocument/2006/relationships" name="Document Queue" sheetId="13" r:id="Re2e52079a6e54511"/>
    <x:sheet xmlns:r="http://schemas.openxmlformats.org/officeDocument/2006/relationships" name="PDF Extraction Results" sheetId="14" r:id="R8641f4c1b5c04bb9"/>
    <x:sheet xmlns:r="http://schemas.openxmlformats.org/officeDocument/2006/relationships" name="Change Review" sheetId="15" r:id="Rc3ca1aca46aa4064"/>
    <x:sheet xmlns:r="http://schemas.openxmlformats.org/officeDocument/2006/relationships" name="Tender Snapshots" sheetId="16" r:id="R6cde439852ef4356"/>
    <x:sheet xmlns:r="http://schemas.openxmlformats.org/officeDocument/2006/relationships" name="Import Control" sheetId="17" r:id="Re0c9a588cd48492a"/>
    <x:sheet xmlns:r="http://schemas.openxmlformats.org/officeDocument/2006/relationships" name="Validation Errors" sheetId="18" r:id="Re2ce3f3175f24a92"/>
    <x:sheet xmlns:r="http://schemas.openxmlformats.org/officeDocument/2006/relationships" name="Writeback Audit" sheetId="19" r:id="Rcb86e157a48f4a2b"/>
    <x:sheet xmlns:r="http://schemas.openxmlformats.org/officeDocument/2006/relationships" name="Agency Coverage" sheetId="20" r:id="Rb7b495856d7e4df8"/>
    <x:sheet xmlns:r="http://schemas.openxmlformats.org/officeDocument/2006/relationships" name="Execution Control" sheetId="21" r:id="R1b362230fabf4ad4"/>
    <x:sheet xmlns:r="http://schemas.openxmlformats.org/officeDocument/2006/relationships" name="Management Report" sheetId="22" r:id="Rbdd08a7fc5fd48d6"/>
    <x:sheet xmlns:r="http://schemas.openxmlformats.org/officeDocument/2006/relationships" name="Daily Summary" sheetId="23" r:id="Rbddf6f27fecf46b8"/>
    <x:sheet xmlns:r="http://schemas.openxmlformats.org/officeDocument/2006/relationships" name="V7 Snapshot Coverage" sheetId="24" r:id="R2f6ff0fe95614c7a"/>
    <x:sheet xmlns:r="http://schemas.openxmlformats.org/officeDocument/2006/relationships" name="Manual Verification Queue" sheetId="25" r:id="Rb8f6b3b4d1d94319"/>
    <x:sheet xmlns:r="http://schemas.openxmlformats.org/officeDocument/2006/relationships" name="Current Opportunities" sheetId="26" r:id="R58b9dfcd982b40cd"/>
    <x:sheet xmlns:r="http://schemas.openxmlformats.org/officeDocument/2006/relationships" name="Source Evidence" sheetId="27" r:id="R84630b704816414a"/>
    <x:sheet xmlns:r="http://schemas.openxmlformats.org/officeDocument/2006/relationships" name="Exclusion Log" sheetId="28" r:id="Red04fe92606b4f56"/>
    <x:sheet xmlns:r="http://schemas.openxmlformats.org/officeDocument/2006/relationships" name="Scope Rules" sheetId="29" r:id="R93356e19a7e2464d"/>
    <x:sheet xmlns:r="http://schemas.openxmlformats.org/officeDocument/2006/relationships" name="Daily Update Setup" sheetId="30" r:id="R7236bd908acc4eaa"/>
    <x:sheet xmlns:r="http://schemas.openxmlformats.org/officeDocument/2006/relationships" name="Repository Setup" sheetId="31" r:id="R383fae2eb1c6477c"/>
    <x:sheet xmlns:r="http://schemas.openxmlformats.org/officeDocument/2006/relationships" name="Automation Status" sheetId="32" r:id="Rc80162a662754843"/>
    <x:sheet xmlns:r="http://schemas.openxmlformats.org/officeDocument/2006/relationships" name="Connector Health" sheetId="33" r:id="R7a82dfa0a36f499b"/>
    <x:sheet xmlns:r="http://schemas.openxmlformats.org/officeDocument/2006/relationships" name="Clause Extraction QA" sheetId="34" r:id="R7111a384c78e4b36"/>
    <x:sheet xmlns:r="http://schemas.openxmlformats.org/officeDocument/2006/relationships" name="PLF Rule Library" sheetId="35" r:id="R3acef867abca459c"/>
    <x:sheet xmlns:r="http://schemas.openxmlformats.org/officeDocument/2006/relationships" name="V14 Production Readiness" sheetId="36" r:id="R1e508aa0771344b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yyyy-mm-dd hh:mm"/>
    <x:numFmt numFmtId="203" formatCode="0"/>
    <x:numFmt numFmtId="204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84B"/>
      <x:name val="Carlito"/>
    </x:font>
    <x:font>
      <x:b/>
      <x:sz val="15"/>
      <x:color rgb="FF0B5D3B"/>
      <x:name val="Carlito"/>
    </x:font>
    <x:font>
      <x:b/>
      <x:sz val="11"/>
      <x:color rgb="FF31584B"/>
      <x:name val="Carlito"/>
    </x:font>
    <x:font>
      <x:b/>
      <x:sz val="11"/>
      <x:color rgb="FF0B5D3B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1"/>
      <x:color rgb="FF24453A"/>
      <x:name val="Carlito"/>
    </x:font>
    <x:font>
      <x:b/>
      <x:sz val="11"/>
      <x:color rgb="FFFFFFFF"/>
      <x:name val="Carlito"/>
    </x:font>
  </x:fonts>
  <x:fills count="60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E8F5EF"/>
      </x:patternFill>
    </x:fill>
    <x:fill>
      <x:patternFill patternType="solid">
        <x:fgColor rgb="FFDFF2E8"/>
      </x:patternFill>
    </x:fill>
    <x:fill>
      <x:patternFill patternType="solid">
        <x:fgColor rgb="FFF3F7F5"/>
      </x:patternFill>
    </x:fill>
    <x:fill>
      <x:patternFill patternType="solid">
        <x:fgColor rgb="FF147D64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F3F7F5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</x:fills>
  <x:borders count="2">
    <x:border/>
    <x:border/>
  </x:borders>
  <x:cellStyleXfs count="1">
    <x:xf numFmtId="0" fontId="0" fillId="0" borderId="0"/>
  </x:cellStyleXfs>
  <x:cellXfs count="2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horizont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left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horizontal="center" wrapText="1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5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left"/>
    </x:xf>
    <x:xf numFmtId="0" fontId="1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wrapText="1"/>
    </x:xf>
    <x:xf numFmtId="0" fontId="7" fillId="27" borderId="0" xfId="0" applyNumberFormat="1" applyFont="1" applyFill="1" applyBorder="1" applyAlignment="1">
      <x:alignment horizontal="center" wrapText="1"/>
    </x:xf>
    <x:xf numFmtId="0" fontId="7" fillId="27" borderId="0" xfId="0" applyNumberFormat="1" applyFont="1" applyFill="1" applyBorder="1" applyAlignment="1">
      <x:alignment horizontal="center" vertical="center" wrapText="1"/>
    </x:xf>
    <x:xf numFmtId="0" fontId="5" fillId="28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7" fillId="29" borderId="0" xfId="0" applyNumberFormat="1" applyFont="1" applyFill="1" applyBorder="1" applyAlignment="1">
      <x:alignment horizontal="center" wrapText="1"/>
    </x:xf>
    <x:xf numFmtId="0" fontId="7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9" fillId="29" borderId="0" xfId="0" applyNumberFormat="1" applyFont="1" applyFill="1" applyBorder="1"/>
    <x:xf numFmtId="0" fontId="9" fillId="29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7" fillId="32" borderId="0" xfId="0" applyNumberFormat="1" applyFont="1" applyFill="1" applyBorder="1"/>
    <x:xf numFmtId="0" fontId="7" fillId="32" borderId="0" xfId="0" applyNumberFormat="1" applyFont="1" applyFill="1" applyBorder="1" applyAlignment="1">
      <x:alignment wrapText="1"/>
    </x:xf>
    <x:xf numFmtId="0" fontId="7" fillId="32" borderId="0" xfId="0" applyNumberFormat="1" applyFont="1" applyFill="1" applyBorder="1" applyAlignment="1">
      <x:alignment horizontal="center" wrapText="1"/>
    </x:xf>
    <x:xf numFmtId="0" fontId="7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left"/>
    </x:xf>
    <x:xf numFmtId="0" fontId="1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5" fillId="35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horizontal="left"/>
    </x:xf>
    <x:xf numFmtId="0" fontId="1" fillId="36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0" fillId="38" borderId="0" xfId="0" applyNumberFormat="1" applyFont="1" applyFill="1" applyBorder="1"/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horizontal="center" wrapText="1"/>
    </x:xf>
    <x:xf numFmtId="0" fontId="7" fillId="38" borderId="0" xfId="0" applyNumberFormat="1" applyFont="1" applyFill="1" applyBorder="1" applyAlignment="1">
      <x:alignment horizontal="center" vertical="center" wrapText="1"/>
    </x:xf>
    <x:xf numFmtId="0" fontId="5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7" fillId="40" borderId="0" xfId="0" applyNumberFormat="1" applyFont="1" applyFill="1" applyBorder="1"/>
    <x:xf numFmtId="0" fontId="7" fillId="40" borderId="0" xfId="0" applyNumberFormat="1" applyFont="1" applyFill="1" applyBorder="1" applyAlignment="1">
      <x:alignment wrapText="1"/>
    </x:xf>
    <x:xf numFmtId="0" fontId="7" fillId="40" borderId="0" xfId="0" applyNumberFormat="1" applyFont="1" applyFill="1" applyBorder="1" applyAlignment="1">
      <x:alignment horizontal="center" wrapText="1"/>
    </x:xf>
    <x:xf numFmtId="0" fontId="7" fillId="40" borderId="0" xfId="0" applyNumberFormat="1" applyFont="1" applyFill="1" applyBorder="1" applyAlignment="1">
      <x:alignment horizontal="center" vertical="center" wrapText="1"/>
    </x:xf>
    <x:xf numFmtId="0" fontId="1" fillId="41" borderId="0" xfId="0" applyNumberFormat="1" applyFont="1" applyFill="1" applyBorder="1" applyAlignment="1">
      <x:alignment horizontal="left" vertical="center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left"/>
    </x:xf>
    <x:xf numFmtId="0" fontId="2" fillId="42" borderId="0" xfId="0" applyNumberFormat="1" applyFont="1" applyFill="1" applyBorder="1"/>
    <x:xf numFmtId="0" fontId="0" fillId="42" borderId="0" xfId="0" applyNumberFormat="1" applyFont="1" applyFill="1" applyBorder="1"/>
    <x:xf numFmtId="0" fontId="5" fillId="43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7" fillId="44" borderId="0" xfId="0" applyNumberFormat="1" applyFont="1" applyFill="1" applyBorder="1"/>
    <x:xf numFmtId="0" fontId="7" fillId="44" borderId="0" xfId="0" applyNumberFormat="1" applyFont="1" applyFill="1" applyBorder="1" applyAlignment="1">
      <x:alignment wrapText="1"/>
    </x:xf>
    <x:xf numFmtId="0" fontId="7" fillId="44" borderId="0" xfId="0" applyNumberFormat="1" applyFont="1" applyFill="1" applyBorder="1" applyAlignment="1">
      <x:alignment horizontal="center" wrapText="1"/>
    </x:xf>
    <x:xf numFmtId="0" fontId="7" fillId="44" borderId="0" xfId="0" applyNumberFormat="1" applyFont="1" applyFill="1" applyBorder="1" applyAlignment="1">
      <x:alignment horizontal="center" vertical="center" wrapText="1"/>
    </x:xf>
    <x:xf numFmtId="0" fontId="1" fillId="45" borderId="0" xfId="0" applyNumberFormat="1" applyFont="1" applyFill="1" applyBorder="1" applyAlignment="1">
      <x:alignment horizontal="left" vertical="center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2" fillId="46" borderId="0" xfId="0" applyNumberFormat="1" applyFont="1" applyFill="1" applyBorder="1"/>
    <x:xf numFmtId="0" fontId="0" fillId="46" borderId="0" xfId="0" applyNumberFormat="1" applyFont="1" applyFill="1" applyBorder="1"/>
    <x:xf numFmtId="0" fontId="0" fillId="47" borderId="0" xfId="0" applyNumberFormat="1" applyFont="1" applyFill="1" applyBorder="1" applyAlignment="1">
      <x:alignment wrapText="1"/>
    </x:xf>
    <x:xf numFmtId="0" fontId="5" fillId="47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horizontal="left"/>
    </x:xf>
    <x:xf numFmtId="0" fontId="1" fillId="48" borderId="0" xfId="0" applyNumberFormat="1" applyFont="1" applyFill="1" applyBorder="1" applyAlignment="1">
      <x:alignment horizontal="left" vertical="center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0" fillId="50" borderId="0" xfId="0" applyNumberFormat="1" applyFont="1" applyFill="1" applyBorder="1"/>
    <x:xf numFmtId="0" fontId="7" fillId="50" borderId="0" xfId="0" applyNumberFormat="1" applyFont="1" applyFill="1" applyBorder="1"/>
    <x:xf numFmtId="0" fontId="7" fillId="50" borderId="0" xfId="0" applyNumberFormat="1" applyFont="1" applyFill="1" applyBorder="1" applyAlignment="1">
      <x:alignment wrapText="1"/>
    </x:xf>
    <x:xf numFmtId="0" fontId="7" fillId="50" borderId="0" xfId="0" applyNumberFormat="1" applyFont="1" applyFill="1" applyBorder="1" applyAlignment="1">
      <x:alignment horizontal="center" wrapText="1"/>
    </x:xf>
    <x:xf numFmtId="0" fontId="7" fillId="50" borderId="0" xfId="0" applyNumberFormat="1" applyFont="1" applyFill="1" applyBorder="1" applyAlignment="1">
      <x:alignment horizontal="center" vertical="center" wrapText="1"/>
    </x:xf>
    <x:xf numFmtId="0" fontId="5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202" fontId="7" fillId="50" borderId="0" xfId="0" applyNumberFormat="1" applyFont="1" applyFill="1" applyBorder="1" applyAlignment="1">
      <x:alignment horizontal="center" vertical="center" wrapText="1"/>
    </x:xf>
    <x:xf numFmtId="202" fontId="7" fillId="7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horizontal="left"/>
    </x:xf>
    <x:xf numFmtId="0" fontId="1" fillId="52" borderId="0" xfId="0" applyNumberFormat="1" applyFont="1" applyFill="1" applyBorder="1" applyAlignment="1">
      <x:alignment horizontal="left" vertical="center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0" fillId="54" borderId="0" xfId="0" applyNumberFormat="1" applyFont="1" applyFill="1" applyBorder="1"/>
    <x:xf numFmtId="0" fontId="7" fillId="54" borderId="0" xfId="0" applyNumberFormat="1" applyFont="1" applyFill="1" applyBorder="1"/>
    <x:xf numFmtId="0" fontId="7" fillId="54" borderId="0" xfId="0" applyNumberFormat="1" applyFont="1" applyFill="1" applyBorder="1" applyAlignment="1">
      <x:alignment wrapText="1"/>
    </x:xf>
    <x:xf numFmtId="0" fontId="7" fillId="54" borderId="0" xfId="0" applyNumberFormat="1" applyFont="1" applyFill="1" applyBorder="1" applyAlignment="1">
      <x:alignment horizontal="center" wrapText="1"/>
    </x:xf>
    <x:xf numFmtId="0" fontId="7" fillId="54" borderId="0" xfId="0" applyNumberFormat="1" applyFont="1" applyFill="1" applyBorder="1" applyAlignment="1">
      <x:alignment horizontal="center" vertical="center" wrapText="1"/>
    </x:xf>
    <x:xf numFmtId="0" fontId="5" fillId="55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/>
    <x:xf numFmtId="0" fontId="1" fillId="56" borderId="0" xfId="0" applyNumberFormat="1" applyFont="1" applyFill="1" applyBorder="1" applyAlignment="1">
      <x:alignment horizontal="left"/>
    </x:xf>
    <x:xf numFmtId="0" fontId="1" fillId="56" borderId="0" xfId="0" applyNumberFormat="1" applyFont="1" applyFill="1" applyBorder="1" applyAlignment="1">
      <x:alignment horizontal="left" vertical="center"/>
    </x:xf>
    <x:xf numFmtId="0" fontId="0" fillId="57" borderId="0" xfId="0" applyNumberFormat="1" applyFont="1" applyFill="1" applyBorder="1"/>
    <x:xf numFmtId="0" fontId="2" fillId="57" borderId="0" xfId="0" applyNumberFormat="1" applyFont="1" applyFill="1" applyBorder="1"/>
    <x:xf numFmtId="0" fontId="0" fillId="58" borderId="0" xfId="0" applyNumberFormat="1" applyFont="1" applyFill="1" applyBorder="1"/>
    <x:xf numFmtId="0" fontId="7" fillId="58" borderId="0" xfId="0" applyNumberFormat="1" applyFont="1" applyFill="1" applyBorder="1"/>
    <x:xf numFmtId="0" fontId="7" fillId="58" borderId="0" xfId="0" applyNumberFormat="1" applyFont="1" applyFill="1" applyBorder="1" applyAlignment="1">
      <x:alignment wrapText="1"/>
    </x:xf>
    <x:xf numFmtId="0" fontId="7" fillId="58" borderId="0" xfId="0" applyNumberFormat="1" applyFont="1" applyFill="1" applyBorder="1" applyAlignment="1">
      <x:alignment horizontal="center" wrapText="1"/>
    </x:xf>
    <x:xf numFmtId="0" fontId="7" fillId="58" borderId="0" xfId="0" applyNumberFormat="1" applyFont="1" applyFill="1" applyBorder="1" applyAlignment="1">
      <x:alignment horizontal="center" vertical="center" wrapText="1"/>
    </x:xf>
    <x:xf numFmtId="0" fontId="5" fillId="59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A64D00"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ca695577c40f8" /><Relationship Type="http://schemas.openxmlformats.org/officeDocument/2006/relationships/theme" Target="/xl/theme/theme1.xml" Id="R9e5401aaf4e149e7" /><Relationship Type="http://schemas.openxmlformats.org/officeDocument/2006/relationships/sheetMetadata" Target="/xl/metadata1.xml" Id="Ra04bf98464fa4b6a" /><Relationship Type="http://schemas.openxmlformats.org/officeDocument/2006/relationships/sharedStrings" Target="/xl/sharedStrings.xml" Id="Rd15ed0be99e840c0" /><Relationship Type="http://schemas.openxmlformats.org/officeDocument/2006/relationships/worksheet" Target="/xl/worksheets/sheet1.xml" Id="R10a8bf2939864b09" /><Relationship Type="http://schemas.openxmlformats.org/officeDocument/2006/relationships/worksheet" Target="/xl/worksheets/sheet2.xml" Id="R73620710487a4e59" /><Relationship Type="http://schemas.openxmlformats.org/officeDocument/2006/relationships/worksheet" Target="/xl/worksheets/sheet3.xml" Id="Reaea8f63e4be4884" /><Relationship Type="http://schemas.openxmlformats.org/officeDocument/2006/relationships/worksheet" Target="/xl/worksheets/sheet4.xml" Id="R5608e7b8227a4e9b" /><Relationship Type="http://schemas.openxmlformats.org/officeDocument/2006/relationships/worksheet" Target="/xl/worksheets/sheet5.xml" Id="R968b68e6e14d463e" /><Relationship Type="http://schemas.openxmlformats.org/officeDocument/2006/relationships/worksheet" Target="/xl/worksheets/sheet6.xml" Id="R0c6ede45c62440f4" /><Relationship Type="http://schemas.openxmlformats.org/officeDocument/2006/relationships/worksheet" Target="/xl/worksheets/sheet7.xml" Id="Rb22678a157254c78" /><Relationship Type="http://schemas.openxmlformats.org/officeDocument/2006/relationships/worksheet" Target="/xl/worksheets/sheet8.xml" Id="R49d964fe4e524afe" /><Relationship Type="http://schemas.openxmlformats.org/officeDocument/2006/relationships/worksheet" Target="/xl/worksheets/sheet9.xml" Id="Rcc06a1d35cd447e0" /><Relationship Type="http://schemas.openxmlformats.org/officeDocument/2006/relationships/worksheet" Target="/xl/worksheets/sheet10.xml" Id="R7cb9840b743c4409" /><Relationship Type="http://schemas.openxmlformats.org/officeDocument/2006/relationships/worksheet" Target="/xl/worksheets/sheet11.xml" Id="R9730abacc3254980" /><Relationship Type="http://schemas.openxmlformats.org/officeDocument/2006/relationships/worksheet" Target="/xl/worksheets/sheet12.xml" Id="R05c91fd7b867409d" /><Relationship Type="http://schemas.openxmlformats.org/officeDocument/2006/relationships/worksheet" Target="/xl/worksheets/sheet13.xml" Id="Re2e52079a6e54511" /><Relationship Type="http://schemas.openxmlformats.org/officeDocument/2006/relationships/worksheet" Target="/xl/worksheets/sheet14.xml" Id="R8641f4c1b5c04bb9" /><Relationship Type="http://schemas.openxmlformats.org/officeDocument/2006/relationships/worksheet" Target="/xl/worksheets/sheet15.xml" Id="Rc3ca1aca46aa4064" /><Relationship Type="http://schemas.openxmlformats.org/officeDocument/2006/relationships/worksheet" Target="/xl/worksheets/sheet16.xml" Id="R6cde439852ef4356" /><Relationship Type="http://schemas.openxmlformats.org/officeDocument/2006/relationships/worksheet" Target="/xl/worksheets/sheet17.xml" Id="Re0c9a588cd48492a" /><Relationship Type="http://schemas.openxmlformats.org/officeDocument/2006/relationships/worksheet" Target="/xl/worksheets/sheet18.xml" Id="Re2ce3f3175f24a92" /><Relationship Type="http://schemas.openxmlformats.org/officeDocument/2006/relationships/worksheet" Target="/xl/worksheets/sheet19.xml" Id="Rcb86e157a48f4a2b" /><Relationship Type="http://schemas.openxmlformats.org/officeDocument/2006/relationships/worksheet" Target="/xl/worksheets/sheet20.xml" Id="Rb7b495856d7e4df8" /><Relationship Type="http://schemas.openxmlformats.org/officeDocument/2006/relationships/worksheet" Target="/xl/worksheets/sheet21.xml" Id="R1b362230fabf4ad4" /><Relationship Type="http://schemas.openxmlformats.org/officeDocument/2006/relationships/worksheet" Target="/xl/worksheets/sheet22.xml" Id="Rbdd08a7fc5fd48d6" /><Relationship Type="http://schemas.openxmlformats.org/officeDocument/2006/relationships/worksheet" Target="/xl/worksheets/sheet23.xml" Id="Rbddf6f27fecf46b8" /><Relationship Type="http://schemas.openxmlformats.org/officeDocument/2006/relationships/worksheet" Target="/xl/worksheets/sheet24.xml" Id="R2f6ff0fe95614c7a" /><Relationship Type="http://schemas.openxmlformats.org/officeDocument/2006/relationships/worksheet" Target="/xl/worksheets/sheet25.xml" Id="Rb8f6b3b4d1d94319" /><Relationship Type="http://schemas.openxmlformats.org/officeDocument/2006/relationships/worksheet" Target="/xl/worksheets/sheet26.xml" Id="R58b9dfcd982b40cd" /><Relationship Type="http://schemas.openxmlformats.org/officeDocument/2006/relationships/worksheet" Target="/xl/worksheets/sheet27.xml" Id="R84630b704816414a" /><Relationship Type="http://schemas.openxmlformats.org/officeDocument/2006/relationships/worksheet" Target="/xl/worksheets/sheet28.xml" Id="Red04fe92606b4f56" /><Relationship Type="http://schemas.openxmlformats.org/officeDocument/2006/relationships/worksheet" Target="/xl/worksheets/sheet29.xml" Id="R93356e19a7e2464d" /><Relationship Type="http://schemas.openxmlformats.org/officeDocument/2006/relationships/worksheet" Target="/xl/worksheets/sheet30.xml" Id="R7236bd908acc4eaa" /><Relationship Type="http://schemas.openxmlformats.org/officeDocument/2006/relationships/worksheet" Target="/xl/worksheets/sheet31.xml" Id="R383fae2eb1c6477c" /><Relationship Type="http://schemas.openxmlformats.org/officeDocument/2006/relationships/worksheet" Target="/xl/worksheets/sheet32.xml" Id="Rc80162a662754843" /><Relationship Type="http://schemas.openxmlformats.org/officeDocument/2006/relationships/worksheet" Target="/xl/worksheets/sheet33.xml" Id="R7a82dfa0a36f499b" /><Relationship Type="http://schemas.openxmlformats.org/officeDocument/2006/relationships/worksheet" Target="/xl/worksheets/sheet34.xml" Id="R7111a384c78e4b36" /><Relationship Type="http://schemas.openxmlformats.org/officeDocument/2006/relationships/worksheet" Target="/xl/worksheets/sheet35.xml" Id="R3acef867abca459c" /><Relationship Type="http://schemas.openxmlformats.org/officeDocument/2006/relationships/worksheet" Target="/xl/worksheets/sheet36.xml" Id="R1e508aa0771344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9c7797b897405b" /><Relationship Type="http://schemas.openxmlformats.org/officeDocument/2006/relationships/chart" Target="/xl/drawings/charts/chart2.xml" Id="Ra9c1ad10f8c44a8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11602559d754a4a" /><Relationship Type="http://schemas.openxmlformats.org/officeDocument/2006/relationships/chart" Target="/xl/drawings/charts/chart4.xml" Id="Rb9977a7dcb7745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'Dashboard'!$D$18:$D$23</c:f>
              <c:strCache>
                <c:ptCount val="0"/>
              </c:strCache>
            </c:strRef>
          </c:cat>
          <c:val>
            <c:numRef>
              <c:f>'Dashboard'!$E$18:$E$23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'Dashboard'!$J$11:$J$16</c:f>
              <c:strCache>
                <c:ptCount val="0"/>
              </c:strCache>
            </c:strRef>
          </c:cat>
          <c:val>
            <c:numRef>
              <c:f>'Dashboard'!$K$11:$K$16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 MW</c:v>
          </c:tx>
          <c:cat>
            <c:strRef>
              <c:f>'Management Report'!$D$6:$D$13</c:f>
              <c:strCache>
                <c:ptCount val="0"/>
              </c:strCache>
            </c:strRef>
          </c:cat>
          <c:val>
            <c:numRef>
              <c:f>'Management Report'!$E$6:$E$13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'Management Report'!$G$6:$G$12</c:f>
              <c:strCache>
                <c:ptCount val="0"/>
              </c:strCache>
            </c:strRef>
          </c:cat>
          <c:val>
            <c:numRef>
              <c:f>'Management Report'!$H$6:$H$12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c7797b897405b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c1ad10f8c44a8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602559d754a4a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77a7dcb7745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nderMasterTable" displayName="TenderMasterTable" ref="A1:V501" headerRowCount="1">
  <x:tableColumns count="22">
    <x:tableColumn id="1" name="Tender ID"/>
    <x:tableColumn id="2" name="Category"/>
    <x:tableColumn id="3" name="Agency"/>
    <x:tableColumn id="4" name="State"/>
    <x:tableColumn id="5" name="Tender Number"/>
    <x:tableColumn id="6" name="Technology"/>
    <x:tableColumn id="7" name="Capacity MW"/>
    <x:tableColumn id="8" name="Storage Required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Technical Opening"/>
    <x:tableColumn id="16" name="Financial Opening"/>
    <x:tableColumn id="17" name="Status"/>
    <x:tableColumn id="18" name="Last Updated"/>
    <x:tableColumn id="19" name="Corrigendum Count"/>
    <x:tableColumn id="20" name="Tender URL"/>
    <x:tableColumn id="21" name="Document URL"/>
    <x:tableColumn id="22" name="Remarks"/>
  </x:tableColumns>
  <x:tableStyleInfo name="TableStyleMedium2" showRowStripes="1"/>
</x:table>
</file>

<file path=xl/tables/table2.xml><?xml version="1.0" encoding="utf-8"?>
<x:table xmlns:x="http://schemas.openxmlformats.org/spreadsheetml/2006/main" id="2" name="AgencyMasterTable" displayName="AgencyMasterTable" ref="A1:H34" headerRowCount="1">
  <x:tableColumns count="8">
    <x:tableColumn id="1" name="Category"/>
    <x:tableColumn id="2" name="Agency"/>
    <x:tableColumn id="3" name="State / Region"/>
    <x:tableColumn id="4" name="Enabled"/>
    <x:tableColumn id="5" name="Primary Tender Page"/>
    <x:tableColumn id="6" name="Secondary / eProcurement Page"/>
    <x:tableColumn id="7" name="Scan Method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pdateLogTable" displayName="UpdateLogTable" ref="A1:H501" headerRowCount="1">
  <x:tableColumns count="8">
    <x:tableColumn id="1" name="Timestamp"/>
    <x:tableColumn id="2" name="Agency"/>
    <x:tableColumn id="3" name="Tender ID"/>
    <x:tableColumn id="4" name="Action"/>
    <x:tableColumn id="5" name="Previous Value"/>
    <x:tableColumn id="6" name="New Value"/>
    <x:tableColumn id="7" name="Result"/>
    <x:tableColumn id="8" name="Error / Notes"/>
  </x:tableColumns>
  <x:tableStyleInfo name="TableStyleMedium2" showRowStripes="1"/>
</x:table>
</file>

<file path=xl/tables/table4.xml><?xml version="1.0" encoding="utf-8"?>
<x:table xmlns:x="http://schemas.openxmlformats.org/spreadsheetml/2006/main" id="4" name="TechnologyRulesTable" displayName="TechnologyRulesTable" ref="D4:F14" headerRowCount="1">
  <x:tableColumns count="3">
    <x:tableColumn id="1" name="Keyword"/>
    <x:tableColumn id="2" name="Mapped Technology"/>
    <x:tableColumn id="3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TenderIntakeTable" displayName="TenderIntakeTable" ref="A5:V205" headerRowCount="1">
  <x:tableColumns count="22">
    <x:tableColumn id="1" name="Tender ID"/>
    <x:tableColumn id="2" name="Category"/>
    <x:tableColumn id="3" name="Agency"/>
    <x:tableColumn id="4" name="State"/>
    <x:tableColumn id="5" name="Tender Number"/>
    <x:tableColumn id="6" name="Technology"/>
    <x:tableColumn id="7" name="Capacity MW"/>
    <x:tableColumn id="8" name="Storage Required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Technical Opening"/>
    <x:tableColumn id="16" name="Financial Opening"/>
    <x:tableColumn id="17" name="Status"/>
    <x:tableColumn id="18" name="Last Updated"/>
    <x:tableColumn id="19" name="Corrigendum Count"/>
    <x:tableColumn id="20" name="Tender URL"/>
    <x:tableColumn id="21" name="Document URL"/>
    <x:tableColumn id="22" name="Remarks"/>
  </x:tableColumns>
  <x:tableStyleInfo name="TableStyleMedium2" showRowStripes="1"/>
</x:table>
</file>

<file path=xl/tables/table6.xml><?xml version="1.0" encoding="utf-8"?>
<x:table xmlns:x="http://schemas.openxmlformats.org/spreadsheetml/2006/main" id="6" name="TenderHistoryTable" displayName="TenderHistoryTable" ref="A4:K504" headerRowCount="1">
  <x:tableColumns count="11">
    <x:tableColumn id="1" name="History ID"/>
    <x:tableColumn id="2" name="Timestamp"/>
    <x:tableColumn id="3" name="Tender ID"/>
    <x:tableColumn id="4" name="Agency"/>
    <x:tableColumn id="5" name="Tender Number"/>
    <x:tableColumn id="6" name="Change Type"/>
    <x:tableColumn id="7" name="Field Changed"/>
    <x:tableColumn id="8" name="Old Value"/>
    <x:tableColumn id="9" name="New Value"/>
    <x:tableColumn id="10" name="Source URL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RegistryTable" displayName="SourceRegistryTable" ref="A5:J13" headerRowCount="1">
  <x:tableColumns count="10">
    <x:tableColumn id="1" name="Category"/>
    <x:tableColumn id="2" name="Agency"/>
    <x:tableColumn id="3" name="Official Source URL"/>
    <x:tableColumn id="4" name="Source Type"/>
    <x:tableColumn id="5" name="Dedicated Connector"/>
    <x:tableColumn id="6" name="Connector Status"/>
    <x:tableColumn id="7" name="Last Test Date"/>
    <x:tableColumn id="8" name="Authentication"/>
    <x:tableColumn id="9" name="Expected Fields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ExtractionRulesTable" displayName="ExtractionRulesTable" ref="A4:G22" headerRowCount="1">
  <x:tableColumns count="7">
    <x:tableColumn id="1" name="Field"/>
    <x:tableColumn id="2" name="Pattern / Keyword"/>
    <x:tableColumn id="3" name="Output"/>
    <x:tableColumn id="4" name="Priority"/>
    <x:tableColumn id="5" name="Example Match"/>
    <x:tableColumn id="6" name="Enabled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onnectorRunsTable" displayName="ConnectorRunsTable" ref="A4:J504" headerRowCount="1">
  <x:tableColumns count="10">
    <x:tableColumn id="1" name="Run ID"/>
    <x:tableColumn id="2" name="Started"/>
    <x:tableColumn id="3" name="Finished"/>
    <x:tableColumn id="4" name="Agency"/>
    <x:tableColumn id="5" name="Source URL"/>
    <x:tableColumn id="6" name="Records Found"/>
    <x:tableColumn id="7" name="New"/>
    <x:tableColumn id="8" name="Updated"/>
    <x:tableColumn id="9" name="Errors"/>
    <x:tableColumn id="10" name="Result"/>
  </x:tableColumns>
  <x:tableStyleInfo name="TableStyleMedium2" showRowStripes="1"/>
</x:table>
</file>

<file path=xl/tables/table10.xml><?xml version="1.0" encoding="utf-8"?>
<x:table xmlns:x="http://schemas.openxmlformats.org/spreadsheetml/2006/main" id="10" name="DocumentQueueTable" displayName="DocumentQueueTable" ref="A5:N505" headerRowCount="1">
  <x:tableColumns count="14">
    <x:tableColumn id="1" name="Queue ID"/>
    <x:tableColumn id="2" name="Tender ID"/>
    <x:tableColumn id="3" name="Agency"/>
    <x:tableColumn id="4" name="Tender Number"/>
    <x:tableColumn id="5" name="Document Type"/>
    <x:tableColumn id="6" name="Document URL"/>
    <x:tableColumn id="7" name="Local File"/>
    <x:tableColumn id="8" name="Download Status"/>
    <x:tableColumn id="9" name="Extraction Status"/>
    <x:tableColumn id="10" name="Pages"/>
    <x:tableColumn id="11" name="Text Characters"/>
    <x:tableColumn id="12" name="Document Hash"/>
    <x:tableColumn id="13" name="Last Attempt"/>
    <x:tableColumn id="14" name="Error / Notes"/>
  </x:tableColumns>
  <x:tableStyleInfo name="TableStyleMedium2" showRowStripes="1"/>
</x:table>
</file>

<file path=xl/tables/table11.xml><?xml version="1.0" encoding="utf-8"?>
<x:table xmlns:x="http://schemas.openxmlformats.org/spreadsheetml/2006/main" id="11" name="PDFExtractionTable" displayName="PDFExtractionTable" ref="A4:S504" headerRowCount="1">
  <x:tableColumns count="19">
    <x:tableColumn id="1" name="Extraction ID"/>
    <x:tableColumn id="2" name="Queue ID"/>
    <x:tableColumn id="3" name="Tender ID"/>
    <x:tableColumn id="4" name="Agency"/>
    <x:tableColumn id="5" name="Document Type"/>
    <x:tableColumn id="6" name="Technology"/>
    <x:tableColumn id="7" name="Capacity MW"/>
    <x:tableColumn id="8" name="Energy MWh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Opening Date"/>
    <x:tableColumn id="16" name="PPA Tenure Years"/>
    <x:tableColumn id="17" name="Confidence %"/>
    <x:tableColumn id="18" name="Extracted On"/>
    <x:tableColumn id="19" name="Review Status"/>
  </x:tableColumns>
  <x:tableStyleInfo name="TableStyleMedium2" showRowStripes="1"/>
</x:table>
</file>

<file path=xl/tables/table12.xml><?xml version="1.0" encoding="utf-8"?>
<x:table xmlns:x="http://schemas.openxmlformats.org/spreadsheetml/2006/main" id="12" name="ChangeReviewTable" displayName="ChangeReviewTable" ref="A5:P505" headerRowCount="1">
  <x:tableColumns count="16">
    <x:tableColumn id="1" name="Review ID"/>
    <x:tableColumn id="2" name="Tender ID"/>
    <x:tableColumn id="3" name="Agency"/>
    <x:tableColumn id="4" name="Tender Number"/>
    <x:tableColumn id="5" name="Change Source"/>
    <x:tableColumn id="6" name="Field"/>
    <x:tableColumn id="7" name="Current Value"/>
    <x:tableColumn id="8" name="Proposed Value"/>
    <x:tableColumn id="9" name="Change Type"/>
    <x:tableColumn id="10" name="Confidence %"/>
    <x:tableColumn id="11" name="Detected On"/>
    <x:tableColumn id="12" name="Decision"/>
    <x:tableColumn id="13" name="Reviewer Notes"/>
    <x:tableColumn id="14" name="Source URL"/>
    <x:tableColumn id="15" name="Applied On"/>
    <x:tableColumn id="16" name="Apply Result"/>
  </x:tableColumns>
  <x:tableStyleInfo name="TableStyleMedium2" showRowStripes="1"/>
</x:table>
</file>

<file path=xl/tables/table13.xml><?xml version="1.0" encoding="utf-8"?>
<x:table xmlns:x="http://schemas.openxmlformats.org/spreadsheetml/2006/main" id="13" name="TenderSnapshotsTable" displayName="TenderSnapshotsTable" ref="A4:L504" headerRowCount="1">
  <x:tableColumns count="12">
    <x:tableColumn id="1" name="Snapshot ID"/>
    <x:tableColumn id="2" name="Tender ID"/>
    <x:tableColumn id="3" name="Agency"/>
    <x:tableColumn id="4" name="Tender Number"/>
    <x:tableColumn id="5" name="Captured On"/>
    <x:tableColumn id="6" name="Source Type"/>
    <x:tableColumn id="7" name="Source URL"/>
    <x:tableColumn id="8" name="Status"/>
    <x:tableColumn id="9" name="Submission Date"/>
    <x:tableColumn id="10" name="Corrigendum Count"/>
    <x:tableColumn id="11" name="Fingerprint"/>
    <x:tableColumn id="12" name="Raw Snapshot File"/>
  </x:tableColumns>
  <x:tableStyleInfo name="TableStyleMedium2" showRowStripes="1"/>
</x:table>
</file>

<file path=xl/tables/table14.xml><?xml version="1.0" encoding="utf-8"?>
<x:table xmlns:x="http://schemas.openxmlformats.org/spreadsheetml/2006/main" id="14" name="ImportBatchTable" displayName="ImportBatchTable" ref="A14:L514" headerRowCount="1">
  <x:tableColumns count="12">
    <x:tableColumn id="1" name="Batch ID"/>
    <x:tableColumn id="2" name="File Name"/>
    <x:tableColumn id="3" name="File Type"/>
    <x:tableColumn id="4" name="Agency"/>
    <x:tableColumn id="5" name="Received On"/>
    <x:tableColumn id="6" name="Records Read"/>
    <x:tableColumn id="7" name="Valid"/>
    <x:tableColumn id="8" name="Rejected"/>
    <x:tableColumn id="9" name="New"/>
    <x:tableColumn id="10" name="Updated"/>
    <x:tableColumn id="11" name="Review Items"/>
    <x:tableColumn id="12" name="Batch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ValidationErrorsTable" displayName="ValidationErrorsTable" ref="A4:K504" headerRowCount="1">
  <x:tableColumns count="11">
    <x:tableColumn id="1" name="Error ID"/>
    <x:tableColumn id="2" name="Batch ID"/>
    <x:tableColumn id="3" name="Row Number"/>
    <x:tableColumn id="4" name="Agency"/>
    <x:tableColumn id="5" name="Tender Number"/>
    <x:tableColumn id="6" name="Field"/>
    <x:tableColumn id="7" name="Invalid Value"/>
    <x:tableColumn id="8" name="Validation Rule"/>
    <x:tableColumn id="9" name="Severity"/>
    <x:tableColumn id="10" name="Resolution"/>
    <x:tableColumn id="11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WritebackAuditTable" displayName="WritebackAuditTable" ref="A4:M1004" headerRowCount="1">
  <x:tableColumns count="13">
    <x:tableColumn id="1" name="Audit ID"/>
    <x:tableColumn id="2" name="Timestamp"/>
    <x:tableColumn id="3" name="Operation"/>
    <x:tableColumn id="4" name="Tender ID"/>
    <x:tableColumn id="5" name="Agency"/>
    <x:tableColumn id="6" name="Tender Number"/>
    <x:tableColumn id="7" name="Source Batch / Review"/>
    <x:tableColumn id="8" name="Field"/>
    <x:tableColumn id="9" name="Old Value"/>
    <x:tableColumn id="10" name="New Value"/>
    <x:tableColumn id="11" name="Result"/>
    <x:tableColumn id="12" name="Workbook Row"/>
    <x:tableColumn id="1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AgencyCoverageTable" displayName="AgencyCoverageTable" ref="A4:H16" headerRowCount="1">
  <x:tableColumns count="8">
    <x:tableColumn id="1" name="Category"/>
    <x:tableColumn id="2" name="Agency"/>
    <x:tableColumn id="3" name="Connector Type"/>
    <x:tableColumn id="4" name="Version Added"/>
    <x:tableColumn id="5" name="Live Ready"/>
    <x:tableColumn id="6" name="PDF Support"/>
    <x:tableColumn id="7" name="Change Detection"/>
    <x:tableColumn id="8" name="Status / Notes"/>
  </x:tableColumns>
  <x:tableStyleInfo name="TableStyleMedium2" showRowStripes="1"/>
</x:table>
</file>

<file path=xl/tables/table18.xml><?xml version="1.0" encoding="utf-8"?>
<x:table xmlns:x="http://schemas.openxmlformats.org/spreadsheetml/2006/main" id="18" name="ExecutionRunsTable" displayName="ExecutionRunsTable" ref="A18:L518" headerRowCount="1">
  <x:tableColumns count="12">
    <x:tableColumn id="1" name="Execution ID"/>
    <x:tableColumn id="2" name="Started"/>
    <x:tableColumn id="3" name="Finished"/>
    <x:tableColumn id="4" name="Mode"/>
    <x:tableColumn id="5" name="Input Files"/>
    <x:tableColumn id="6" name="Rows Read"/>
    <x:tableColumn id="7" name="Inserted"/>
    <x:tableColumn id="8" name="Updated"/>
    <x:tableColumn id="9" name="Skipped"/>
    <x:tableColumn id="10" name="Reviews Applied"/>
    <x:tableColumn id="11" name="Errors"/>
    <x:tableColumn id="12" name="Backup File"/>
  </x:tableColumns>
  <x:tableStyleInfo name="TableStyleMedium2" showRowStripes="1"/>
</x:table>
</file>

<file path=xl/tables/table19.xml><?xml version="1.0" encoding="utf-8"?>
<x:table xmlns:x="http://schemas.openxmlformats.org/spreadsheetml/2006/main" id="19" name="DailySummaryTable" displayName="DailySummaryTable" ref="A4:K370" headerRowCount="1">
  <x:tableColumns count="11">
    <x:tableColumn id="1" name="Update Date"/>
    <x:tableColumn id="2" name="New Tenders"/>
    <x:tableColumn id="3" name="Updated Tenders"/>
    <x:tableColumn id="4" name="Corrigenda"/>
    <x:tableColumn id="5" name="Extensions"/>
    <x:tableColumn id="6" name="Closures"/>
    <x:tableColumn id="7" name="Errors"/>
    <x:tableColumn id="8" name="Active Capacity MW"/>
    <x:tableColumn id="9" name="Urgent Deadlines"/>
    <x:tableColumn id="10" name="Agencies Scanned"/>
    <x:tableColumn id="11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V7CoverageTable" displayName="V7CoverageTable" ref="A4:H16" headerRowCount="1">
  <x:tableColumns count="8">
    <x:tableColumn id="1" name="Agency"/>
    <x:tableColumn id="2" name="Records Populated"/>
    <x:tableColumn id="3" name="Official Page Reached"/>
    <x:tableColumn id="4" name="Deadline Available"/>
    <x:tableColumn id="5" name="Technical Fields Available"/>
    <x:tableColumn id="6" name="Portal Restriction"/>
    <x:tableColumn id="7" name="Current Result"/>
    <x:tableColumn id="8" name="Next Action"/>
  </x:tableColumns>
  <x:tableStyleInfo name="TableStyleMedium2" showRowStripes="1"/>
</x:table>
</file>

<file path=xl/tables/table21.xml><?xml version="1.0" encoding="utf-8"?>
<x:table xmlns:x="http://schemas.openxmlformats.org/spreadsheetml/2006/main" id="21" name="ManualVerificationTable" displayName="ManualVerificationTable" ref="A4:J14" headerRowCount="1">
  <x:tableColumns count="10">
    <x:tableColumn id="1" name="Priority"/>
    <x:tableColumn id="2" name="Category"/>
    <x:tableColumn id="3" name="Agency"/>
    <x:tableColumn id="4" name="Likely Portal"/>
    <x:tableColumn id="5" name="Reason Not Populated"/>
    <x:tableColumn id="6" name="Required Action"/>
    <x:tableColumn id="7" name="Last Attempt"/>
    <x:tableColumn id="8" name="Status"/>
    <x:tableColumn id="9" name="Owner"/>
    <x:tableColumn id="10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SourceEvidenceTable" displayName="SourceEvidenceTable" ref="A4:H10" headerRowCount="1">
  <x:tableColumns count="8">
    <x:tableColumn id="1" name="Evidence ID"/>
    <x:tableColumn id="2" name="Agency"/>
    <x:tableColumn id="3" name="Tender ID / Reference"/>
    <x:tableColumn id="4" name="Official URL"/>
    <x:tableColumn id="5" name="Evidence Captured"/>
    <x:tableColumn id="6" name="Verified Facts"/>
    <x:tableColumn id="7" name="Evidence Level"/>
    <x:tableColumn id="8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ExclusionLogTable" displayName="ExclusionLogTable" ref="A5:H15" headerRowCount="1">
  <x:tableColumns count="8">
    <x:tableColumn id="1" name="Tender ID"/>
    <x:tableColumn id="2" name="Agency"/>
    <x:tableColumn id="3" name="Tender Number"/>
    <x:tableColumn id="4" name="Technology"/>
    <x:tableColumn id="5" name="Capacity MW"/>
    <x:tableColumn id="6" name="Status"/>
    <x:tableColumn id="7" name="Exclusion Reason"/>
    <x:tableColumn id="8" name="Source URL"/>
  </x:tableColumns>
  <x:tableStyleInfo name="TableStyleMedium2" showRowStripes="1"/>
</x:table>
</file>

<file path=xl/tables/table24.xml><?xml version="1.0" encoding="utf-8"?>
<x:table xmlns:x="http://schemas.openxmlformats.org/spreadsheetml/2006/main" id="24" name="AutomationStatusRunsTable" displayName="AutomationStatusRunsTable" ref="F4:J504" headerRowCount="1">
  <x:tableColumns count="5">
    <x:tableColumn id="1" name="Run ID"/>
    <x:tableColumn id="2" name="Started"/>
    <x:tableColumn id="3" name="Finished"/>
    <x:tableColumn id="4" name="Records Active"/>
    <x:tableColumn id="5" name="Result"/>
  </x:tableColumns>
  <x:tableStyleInfo name="TableStyleMedium2" showRowStripes="1"/>
</x:table>
</file>

<file path=xl/tables/table25.xml><?xml version="1.0" encoding="utf-8"?>
<x:table xmlns:x="http://schemas.openxmlformats.org/spreadsheetml/2006/main" id="25" name="ConnectorHealthTable" displayName="ConnectorHealthTable" ref="A5:K36" headerRowCount="1">
  <x:tableColumns count="11">
    <x:tableColumn id="1" name="Category"/>
    <x:tableColumn id="2" name="Agency"/>
    <x:tableColumn id="3" name="Connector Module"/>
    <x:tableColumn id="4" name="Source URL"/>
    <x:tableColumn id="5" name="Connector Type"/>
    <x:tableColumn id="6" name="Last Run"/>
    <x:tableColumn id="7" name="Records Found"/>
    <x:tableColumn id="8" name="Accepted"/>
    <x:tableColumn id="9" name="Rejected"/>
    <x:tableColumn id="10" name="Status"/>
    <x:tableColumn id="11" name="Error / Notes"/>
  </x:tableColumns>
  <x:tableStyleInfo name="TableStyleMedium2" showRowStripes="1"/>
</x:table>
</file>

<file path=xl/tables/table26.xml><?xml version="1.0" encoding="utf-8"?>
<x:table xmlns:x="http://schemas.openxmlformats.org/spreadsheetml/2006/main" id="26" name="ClauseExtractionQATable" displayName="ClauseExtractionQATable" ref="A4:L504" headerRowCount="1">
  <x:tableColumns count="12">
    <x:tableColumn id="1" name="Extraction ID"/>
    <x:tableColumn id="2" name="Tender ID"/>
    <x:tableColumn id="3" name="Agency"/>
    <x:tableColumn id="4" name="Field"/>
    <x:tableColumn id="5" name="Extracted Value"/>
    <x:tableColumn id="6" name="Unit"/>
    <x:tableColumn id="7" name="Confidence %"/>
    <x:tableColumn id="8" name="Evidence Snippet"/>
    <x:tableColumn id="9" name="Source Document"/>
    <x:tableColumn id="10" name="Page"/>
    <x:tableColumn id="11" name="Review Decision"/>
    <x:tableColumn id="12" name="Reviewer Notes"/>
  </x:tableColumns>
  <x:tableStyleInfo name="TableStyleMedium2" showRowStripes="1"/>
</x:table>
</file>

<file path=xl/tables/table27.xml><?xml version="1.0" encoding="utf-8"?>
<x:table xmlns:x="http://schemas.openxmlformats.org/spreadsheetml/2006/main" id="27" name="PLFRuleLibraryTable" displayName="PLFRuleLibraryTable" ref="A4:H14" headerRowCount="1">
  <x:tableColumns count="8">
    <x:tableColumn id="1" name="Field"/>
    <x:tableColumn id="2" name="Pattern Family"/>
    <x:tableColumn id="3" name="Extraction Target"/>
    <x:tableColumn id="4" name="Unit"/>
    <x:tableColumn id="5" name="Priority"/>
    <x:tableColumn id="6" name="Validation Range"/>
    <x:tableColumn id="7" name="Applies To"/>
    <x:tableColumn id="8" name="Notes"/>
  </x:tableColumns>
  <x:tableStyleInfo name="TableStyleMedium2" showRowStripes="1"/>
</x:table>
</file>

<file path=xl/tables/table28.xml><?xml version="1.0" encoding="utf-8"?>
<x:table xmlns:x="http://schemas.openxmlformats.org/spreadsheetml/2006/main" id="28" name="V14ReadinessTable" displayName="V14ReadinessTable" ref="A5:H13" headerRowCount="1">
  <x:tableColumns count="8">
    <x:tableColumn id="1" name="Control"/>
    <x:tableColumn id="2" name="Purpose"/>
    <x:tableColumn id="3" name="Pass Condition"/>
    <x:tableColumn id="4" name="Runtime Evidence"/>
    <x:tableColumn id="5" name="Owner"/>
    <x:tableColumn id="6" name="Frequency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3bd152ab534f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59a103749042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393ebfb09e46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a956f65783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5d532cccd44c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b0c482efabb4f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ea051a5450746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fe285b11cb140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c47a3f3f46643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f6f051e7d6f4d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cb3b977e7e457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1f964f62af142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af097fa277b40f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d3adee060fdf4a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deb4524d4f8d4da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c8d367b6a83141b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af6cfd42adaa48a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e829fecdf85f411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4bf3fad60155450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.xml" Id="R9e08a6c3f6864f0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0e7f10a2a1414a6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5673f0574405467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043ace0d3af54cf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d85c6b02f0f04ad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38b7de41d9aa423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4.xml" Id="R13bd9cbfc31d4ac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5.xml" Id="R5529a749a301488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6.xml" Id="Rdd674c47458e433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7.xml" Id="R4e5ad3b4bd26404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8.xml" Id="R9138e5437a57484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82" t="str">
        <x:v>Renewable Energy Tender Tracker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62"/>
      <x:c r="P1" s="62"/>
      <x:c r="Q1" s="62"/>
      <x:c r="R1" s="62"/>
      <x:c r="S1" s="62"/>
      <x:c r="T1" s="62"/>
      <x:c r="U1" s="62"/>
      <x:c r="V1" s="6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>
      <x:c r="A3" s="83" t="str">
        <x:v>Workbook foundation with agency master, tender database, status tracking, and update-control area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>
      <x:c r="A4" s="84" t="str">
        <x:v>Active Tenders</x:v>
      </x:c>
      <x:c r="B4" s="37"/>
      <x:c r="C4" s="37"/>
      <x:c r="D4" s="84" t="str">
        <x:v>New Today</x:v>
      </x:c>
      <x:c r="E4" s="37"/>
      <x:c r="F4" s="37"/>
      <x:c r="G4" s="84" t="str">
        <x:v>Corrigenda</x:v>
      </x:c>
      <x:c r="H4" s="37"/>
      <x:c r="I4" s="37"/>
      <x:c r="J4" s="84" t="str">
        <x:v>Closing in 7 Days</x:v>
      </x:c>
      <x:c r="K4" s="37"/>
      <x:c r="L4" s="37"/>
      <x:c r="M4" s="37"/>
      <x:c r="N4" s="37"/>
    </x:row>
    <x:row r="5">
      <x:c r="A5" s="92" t="n">
        <x:f>COUNTIF('Master Tenders'!Q:Q,"Open")+COUNTIF('Master Tenders'!Q:Q,"Extended")</x:f>
        <x:v>3</x:v>
      </x:c>
      <x:c r="B5" s="92"/>
      <x:c r="C5" s="92"/>
      <x:c r="D5" s="92" t="n">
        <x:f>COUNTIFS('Master Tenders'!R:R,TODAY(),'Master Tenders'!Q:Q,"New")</x:f>
        <x:v>0</x:v>
      </x:c>
      <x:c r="E5" s="92"/>
      <x:c r="F5" s="92"/>
      <x:c r="G5" s="92" t="n">
        <x:f>COUNTIF('Master Tenders'!Q:Q,"Corrigendum")</x:f>
        <x:v>1</x:v>
      </x:c>
      <x:c r="H5" s="92"/>
      <x:c r="I5" s="92"/>
      <x:c r="J5" s="92" t="n">
        <x:f>COUNTIFS('Master Tenders'!N:N,"&gt;="&amp;TODAY(),'Master Tenders'!N:N,"&lt;="&amp;TODAY()+7)</x:f>
        <x:v>2</x:v>
      </x:c>
      <x:c r="K5" s="92"/>
      <x:c r="L5" s="92"/>
      <x:c r="M5" s="37"/>
      <x:c r="N5" s="37"/>
    </x:row>
    <x:row r="6">
      <x:c r="A6" s="92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37"/>
      <x:c r="N6" s="37"/>
    </x:row>
    <x:row r="7">
      <x:c r="A7" s="92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37"/>
      <x:c r="N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</x:row>
    <x:row r="9">
      <x:c r="A9" s="86" t="str">
        <x:v>Update Control</x:v>
      </x:c>
      <x:c r="B9" s="86"/>
      <x:c r="C9" s="86"/>
      <x:c r="D9" s="86"/>
      <x:c r="E9" s="86"/>
      <x:c r="F9" s="86"/>
      <x:c r="G9" s="86"/>
      <x:c r="H9" s="86"/>
      <x:c r="I9" s="37"/>
      <x:c r="J9" s="86" t="str">
        <x:v>Technology Summary</x:v>
      </x:c>
      <x:c r="K9" s="86"/>
      <x:c r="L9" s="86"/>
      <x:c r="M9" s="86"/>
      <x:c r="N9" s="86"/>
    </x:row>
    <x:row r="10">
      <x:c r="A10" s="36" t="str">
        <x:v>Last Update</x:v>
      </x:c>
      <x:c r="B10" s="37" t="str"/>
      <x:c r="C10" s="37"/>
      <x:c r="D10" s="37"/>
      <x:c r="E10" s="37"/>
      <x:c r="F10" s="37"/>
      <x:c r="G10" s="37"/>
      <x:c r="H10" s="37"/>
      <x:c r="I10" s="37"/>
      <x:c r="J10" s="44" t="str">
        <x:v>Technology</x:v>
      </x:c>
      <x:c r="K10" s="44" t="str">
        <x:v>Count</x:v>
      </x:c>
      <x:c r="L10" s="37"/>
      <x:c r="M10" s="37"/>
      <x:c r="N10" s="37"/>
    </x:row>
    <x:row r="11">
      <x:c r="A11" s="36" t="str">
        <x:v>Update Mode</x:v>
      </x:c>
      <x:c r="B11" s="37" t="str">
        <x:v>Manual / External Script</x:v>
      </x:c>
      <x:c r="C11" s="37"/>
      <x:c r="D11" s="37"/>
      <x:c r="E11" s="37"/>
      <x:c r="F11" s="37"/>
      <x:c r="G11" s="37"/>
      <x:c r="H11" s="37"/>
      <x:c r="I11" s="37"/>
      <x:c r="J11" s="87" t="str">
        <x:v>Solar</x:v>
      </x:c>
      <x:c r="K11" s="87" t="n">
        <x:f>COUNTIF('Master Tenders'!F:F,"Solar")</x:f>
        <x:v>0</x:v>
      </x:c>
      <x:c r="L11" s="37"/>
      <x:c r="M11" s="37"/>
      <x:c r="N11" s="37"/>
    </x:row>
    <x:row r="12">
      <x:c r="A12" s="36" t="str">
        <x:v>Workbook Status</x:v>
      </x:c>
      <x:c r="B12" s="37" t="str">
        <x:v>Ready</x:v>
      </x:c>
      <x:c r="C12" s="37"/>
      <x:c r="D12" s="37"/>
      <x:c r="E12" s="37"/>
      <x:c r="F12" s="37"/>
      <x:c r="G12" s="37"/>
      <x:c r="H12" s="37"/>
      <x:c r="I12" s="37"/>
      <x:c r="J12" s="87" t="str">
        <x:v>Solar + BESS</x:v>
      </x:c>
      <x:c r="K12" s="87" t="n">
        <x:f>COUNTIF('Master Tenders'!F:F,"Solar + BESS")</x:f>
        <x:v>0</x:v>
      </x:c>
      <x:c r="L12" s="37"/>
      <x:c r="M12" s="37"/>
      <x:c r="N12" s="37"/>
    </x:row>
    <x:row r="13">
      <x:c r="A13" s="36" t="str">
        <x:v>Instructions</x:v>
      </x:c>
      <x:c r="B13" s="37" t="str">
        <x:v>Use the VBA module in the package to create an Update Tenders button.</x:v>
      </x:c>
      <x:c r="C13" s="37"/>
      <x:c r="D13" s="37"/>
      <x:c r="E13" s="37"/>
      <x:c r="F13" s="37"/>
      <x:c r="G13" s="37"/>
      <x:c r="H13" s="37"/>
      <x:c r="I13" s="37"/>
      <x:c r="J13" s="87" t="str">
        <x:v>FDRE</x:v>
      </x:c>
      <x:c r="K13" s="87" t="n">
        <x:f>COUNTIF('Master Tenders'!F:F,"FDRE")</x:f>
        <x:v>2</x:v>
      </x:c>
      <x:c r="L13" s="37"/>
      <x:c r="M13" s="37"/>
      <x:c r="N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87" t="str">
        <x:v>Wind</x:v>
      </x:c>
      <x:c r="K14" s="87" t="n">
        <x:f>COUNTIF('Master Tenders'!F:F,"Wind")</x:f>
        <x:v>0</x:v>
      </x:c>
      <x:c r="L14" s="37"/>
      <x:c r="M14" s="37"/>
      <x:c r="N14" s="37"/>
    </x:row>
    <x:row r="15">
      <x:c r="A15" s="88" t="str">
        <x:v>Operational Checks</x:v>
      </x:c>
      <x:c r="B15" s="88"/>
      <x:c r="C15" s="88"/>
      <x:c r="D15" s="88"/>
      <x:c r="E15" s="88"/>
      <x:c r="F15" s="88"/>
      <x:c r="G15" s="88"/>
      <x:c r="H15" s="88"/>
      <x:c r="I15" s="88"/>
      <x:c r="J15" s="88" t="str">
        <x:v>Hybrid</x:v>
      </x:c>
      <x:c r="K15" s="88" t="n">
        <x:f>COUNTIF('Master Tenders'!F:F,"Hybrid")</x:f>
        <x:v>0</x:v>
      </x:c>
      <x:c r="L15" s="88"/>
      <x:c r="M15" s="88"/>
      <x:c r="N15" s="88"/>
    </x:row>
    <x:row r="16">
      <x:c r="A16" s="69" t="str">
        <x:v>Metric</x:v>
      </x:c>
      <x:c r="B16" s="69" t="str">
        <x:v>Value</x:v>
      </x:c>
      <x:c r="C16" s="37"/>
      <x:c r="D16" s="69" t="str">
        <x:v>Status Summary</x:v>
      </x:c>
      <x:c r="E16" s="69"/>
      <x:c r="F16" s="69"/>
      <x:c r="G16" s="37"/>
      <x:c r="H16" s="37"/>
      <x:c r="I16" s="37"/>
      <x:c r="J16" s="87" t="str">
        <x:v>BESS</x:v>
      </x:c>
      <x:c r="K16" s="87" t="n">
        <x:f>COUNTIF('Master Tenders'!F:F,"BESS")</x:f>
        <x:v>2</x:v>
      </x:c>
      <x:c r="L16" s="37"/>
      <x:c r="M16" s="37"/>
      <x:c r="N16" s="37"/>
    </x:row>
    <x:row r="17">
      <x:c r="A17" s="89" t="str">
        <x:v>Duplicate Records</x:v>
      </x:c>
      <x:c r="B17" s="93" t="n">
        <x:f>COUNTIF('Master Tenders'!Z:Z,"Duplicate")</x:f>
        <x:v>0</x:v>
      </x:c>
      <x:c r="C17" s="37"/>
      <x:c r="D17" s="69" t="str">
        <x:v>Status</x:v>
      </x:c>
      <x:c r="E17" s="69" t="str">
        <x:v>Count</x:v>
      </x:c>
      <x:c r="F17" s="37"/>
      <x:c r="G17" s="37"/>
      <x:c r="H17" s="37"/>
      <x:c r="I17" s="37"/>
      <x:c r="J17" s="37"/>
      <x:c r="K17" s="37"/>
      <x:c r="L17" s="37"/>
      <x:c r="M17" s="37"/>
      <x:c r="N17" s="37"/>
    </x:row>
    <x:row r="18">
      <x:c r="A18" s="89" t="str">
        <x:v>Urgent Deadlines</x:v>
      </x:c>
      <x:c r="B18" s="93" t="n">
        <x:f>COUNTIF('Master Tenders'!X:X,"Urgent")</x:f>
        <x:v>1</x:v>
      </x:c>
      <x:c r="C18" s="37"/>
      <x:c r="D18" s="89" t="str">
        <x:v>New</x:v>
      </x:c>
      <x:c r="E18" s="93" t="n">
        <x:f>COUNTIF('Master Tenders'!Q:Q,"New")</x:f>
        <x:v>0</x:v>
      </x:c>
      <x:c r="F18" s="37"/>
      <x:c r="G18" s="37"/>
      <x:c r="H18" s="37"/>
      <x:c r="I18" s="37"/>
      <x:c r="J18" s="37"/>
      <x:c r="K18" s="37"/>
      <x:c r="L18" s="37"/>
      <x:c r="M18" s="37"/>
      <x:c r="N18" s="37"/>
    </x:row>
    <x:row r="19">
      <x:c r="A19" s="89" t="str">
        <x:v>Expired but Open</x:v>
      </x:c>
      <x:c r="B19" s="93" t="n">
        <x:f>COUNTIFS('Master Tenders'!X:X,"Expired",'Master Tenders'!Q:Q,"Open")</x:f>
        <x:v>0</x:v>
      </x:c>
      <x:c r="C19" s="37"/>
      <x:c r="D19" s="89" t="str">
        <x:v>Open</x:v>
      </x:c>
      <x:c r="E19" s="93" t="n">
        <x:f>COUNTIF('Master Tenders'!Q:Q,"Open")</x:f>
        <x:v>2</x:v>
      </x:c>
      <x:c r="F19" s="37"/>
      <x:c r="G19" s="37"/>
      <x:c r="H19" s="37"/>
      <x:c r="I19" s="37"/>
      <x:c r="J19" s="37"/>
      <x:c r="K19" s="37"/>
      <x:c r="L19" s="37"/>
      <x:c r="M19" s="37"/>
      <x:c r="N19" s="37"/>
    </x:row>
    <x:row r="20">
      <x:c r="A20" s="89" t="str">
        <x:v>Enabled Agencies</x:v>
      </x:c>
      <x:c r="B20" s="93" t="n">
        <x:f>COUNTIF('Agency Master'!D:D,"Yes")</x:f>
        <x:v>32</x:v>
      </x:c>
      <x:c r="C20" s="37"/>
      <x:c r="D20" s="89" t="str">
        <x:v>Extended</x:v>
      </x:c>
      <x:c r="E20" s="93" t="n">
        <x:f>COUNTIF('Master Tenders'!Q:Q,"Extended")</x:f>
        <x:v>1</x:v>
      </x:c>
      <x:c r="F20" s="37"/>
      <x:c r="G20" s="37"/>
      <x:c r="H20" s="37"/>
      <x:c r="I20" s="37"/>
      <x:c r="J20" s="37"/>
      <x:c r="K20" s="37"/>
      <x:c r="L20" s="37"/>
      <x:c r="M20" s="37"/>
      <x:c r="N20" s="37"/>
    </x:row>
    <x:row r="21">
      <x:c r="A21" s="37"/>
      <x:c r="B21" s="37"/>
      <x:c r="C21" s="37"/>
      <x:c r="D21" s="89" t="str">
        <x:v>Corrigendum</x:v>
      </x:c>
      <x:c r="E21" s="93" t="n">
        <x:f>COUNTIF('Master Tenders'!Q:Q,"Corrigendum")</x:f>
        <x:v>1</x:v>
      </x:c>
      <x:c r="F21" s="37"/>
      <x:c r="G21" s="37"/>
      <x:c r="H21" s="37"/>
      <x:c r="I21" s="37"/>
      <x:c r="J21" s="37"/>
      <x:c r="K21" s="37"/>
      <x:c r="L21" s="37"/>
      <x:c r="M21" s="37"/>
      <x:c r="N21" s="37"/>
    </x:row>
    <x:row r="22">
      <x:c r="A22" s="37"/>
      <x:c r="B22" s="37"/>
      <x:c r="C22" s="37"/>
      <x:c r="D22" s="89" t="str">
        <x:v>Closed</x:v>
      </x:c>
      <x:c r="E22" s="93" t="n">
        <x:f>COUNTIF('Master Tenders'!Q:Q,"Closed")</x:f>
        <x:v>0</x:v>
      </x:c>
      <x:c r="F22" s="37"/>
      <x:c r="G22" s="37"/>
      <x:c r="H22" s="37"/>
      <x:c r="I22" s="37"/>
      <x:c r="J22" s="37"/>
      <x:c r="K22" s="37"/>
      <x:c r="L22" s="37"/>
      <x:c r="M22" s="37"/>
      <x:c r="N22" s="37"/>
    </x:row>
    <x:row r="23">
      <x:c r="A23" s="37"/>
      <x:c r="B23" s="37"/>
      <x:c r="C23" s="37"/>
      <x:c r="D23" s="89" t="str">
        <x:v>Awarded</x:v>
      </x:c>
      <x:c r="E23" s="93" t="n">
        <x:f>COUNTIF('Master Tenders'!Q:Q,"Awarded")</x:f>
        <x:v>0</x:v>
      </x:c>
      <x:c r="F23" s="37"/>
      <x:c r="G23" s="37"/>
      <x:c r="H23" s="37"/>
      <x:c r="I23" s="37"/>
      <x:c r="J23" s="37"/>
      <x:c r="K23" s="37"/>
      <x:c r="L23" s="37"/>
      <x:c r="M23" s="37"/>
      <x:c r="N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</x:row>
    <x:row r="25">
      <x:c r="A25" s="107" t="str">
        <x:v>Connector Readiness</x:v>
      </x:c>
      <x:c r="B25" s="107"/>
      <x:c r="C25" s="107"/>
      <x:c r="D25" s="124" t="str">
        <x:v>Document &amp; Review Pipeline</x:v>
      </x:c>
      <x:c r="E25" s="124"/>
      <x:c r="F25" s="124"/>
      <x:c r="G25" s="138" t="str">
        <x:v>Import &amp; Write-Back</x:v>
      </x:c>
      <x:c r="H25" s="138"/>
      <x:c r="I25" s="138"/>
      <x:c r="J25" s="152" t="str">
        <x:v>V6 Operations</x:v>
      </x:c>
      <x:c r="K25" s="152"/>
      <x:c r="L25" s="152"/>
      <x:c r="M25" s="152"/>
      <x:c r="N25" s="152"/>
    </x:row>
    <x:row r="26">
      <x:c r="A26" s="104" t="str">
        <x:v>Metric</x:v>
      </x:c>
      <x:c r="B26" s="104" t="str">
        <x:v>Value</x:v>
      </x:c>
      <x:c r="C26" s="37"/>
      <x:c r="D26" s="122" t="str">
        <x:v>Metric</x:v>
      </x:c>
      <x:c r="E26" s="122" t="str">
        <x:v>Value</x:v>
      </x:c>
      <x:c r="F26" s="37"/>
      <x:c r="G26" s="137" t="str">
        <x:v>Metric</x:v>
      </x:c>
      <x:c r="H26" s="137" t="str">
        <x:v>Value</x:v>
      </x:c>
      <x:c r="I26" s="37"/>
      <x:c r="J26" s="151" t="str">
        <x:v>Metric</x:v>
      </x:c>
      <x:c r="K26" s="151" t="str">
        <x:v>Value</x:v>
      </x:c>
      <x:c r="L26" s="37"/>
      <x:c r="M26" s="37"/>
      <x:c r="N26" s="37"/>
    </x:row>
    <x:row r="27">
      <x:c r="A27" s="37" t="str">
        <x:v>Dedicated Connectors</x:v>
      </x:c>
      <x:c r="B27" s="109" t="n">
        <x:f>COUNTIF('Source Registry'!E:E,"Yes")</x:f>
        <x:v>4</x:v>
      </x:c>
      <x:c r="C27" s="37"/>
      <x:c r="D27" s="37" t="str">
        <x:v>Documents Pending</x:v>
      </x:c>
      <x:c r="E27" s="109" t="n">
        <x:f>COUNTIF('Document Queue'!H:H,"Pending")</x:f>
        <x:v>0</x:v>
      </x:c>
      <x:c r="F27" s="37"/>
      <x:c r="G27" s="37" t="str">
        <x:v>Pending Import Batches</x:v>
      </x:c>
      <x:c r="H27" s="109" t="n">
        <x:f>COUNTIF('Import Control'!L:L,"Pending")</x:f>
        <x:v>0</x:v>
      </x:c>
      <x:c r="I27" s="37"/>
      <x:c r="J27" s="37" t="str">
        <x:v>Execution Runs</x:v>
      </x:c>
      <x:c r="K27" s="56" t="n">
        <x:f>COUNTA('Execution Control'!A:A)-1</x:f>
        <x:v>13</x:v>
      </x:c>
      <x:c r="L27" s="37"/>
      <x:c r="M27" s="37"/>
      <x:c r="N27" s="37"/>
    </x:row>
    <x:row r="28">
      <x:c r="A28" s="37" t="str">
        <x:v>Generic / Planned</x:v>
      </x:c>
      <x:c r="B28" s="109" t="n">
        <x:f>COUNTIF('Source Registry'!E:E,"No")</x:f>
        <x:v>4</x:v>
      </x:c>
      <x:c r="C28" s="37"/>
      <x:c r="D28" s="37" t="str">
        <x:v>Documents Extracted</x:v>
      </x:c>
      <x:c r="E28" s="109" t="n">
        <x:f>COUNTIF('Document Queue'!I:I,"Extracted")</x:f>
        <x:v>0</x:v>
      </x:c>
      <x:c r="F28" s="37"/>
      <x:c r="G28" s="37" t="str">
        <x:v>Imported Batches</x:v>
      </x:c>
      <x:c r="H28" s="109" t="n">
        <x:f>COUNTIF('Import Control'!L:L,"Imported")</x:f>
        <x:v>0</x:v>
      </x:c>
      <x:c r="I28" s="37"/>
      <x:c r="J28" s="37" t="str">
        <x:v>Backups Created</x:v>
      </x:c>
      <x:c r="K28" s="56" t="n">
        <x:f>COUNTIF('Execution Control'!L:L,"&lt;&gt;")-1</x:f>
        <x:v>0</x:v>
      </x:c>
      <x:c r="L28" s="37"/>
      <x:c r="M28" s="37"/>
      <x:c r="N28" s="37"/>
    </x:row>
    <x:row r="29">
      <x:c r="A29" s="37" t="str">
        <x:v>Last Connector Tests</x:v>
      </x:c>
      <x:c r="B29" s="109" t="n">
        <x:f>COUNT('Source Registry'!G:G)</x:f>
        <x:v>4</x:v>
      </x:c>
      <x:c r="C29" s="37"/>
      <x:c r="D29" s="37" t="str">
        <x:v>PDF Results Pending Review</x:v>
      </x:c>
      <x:c r="E29" s="109" t="n">
        <x:f>COUNTIF('PDF Extraction Results'!S:S,"Pending Review")</x:f>
        <x:v>0</x:v>
      </x:c>
      <x:c r="F29" s="37"/>
      <x:c r="G29" s="37" t="str">
        <x:v>Validation Errors</x:v>
      </x:c>
      <x:c r="H29" s="109" t="n">
        <x:f>COUNTIF('Validation Errors'!J:J,"Pending")</x:f>
        <x:v>0</x:v>
      </x:c>
      <x:c r="I29" s="37"/>
      <x:c r="J29" s="37" t="str">
        <x:v>Daily Summaries</x:v>
      </x:c>
      <x:c r="K29" s="56" t="n">
        <x:f>COUNTA('Daily Summary'!A:A)-1</x:f>
        <x:v>1</x:v>
      </x:c>
      <x:c r="L29" s="37"/>
      <x:c r="M29" s="37"/>
      <x:c r="N29" s="37"/>
    </x:row>
    <x:row r="30">
      <x:c r="A30" s="37" t="str">
        <x:v>Live Sample Records</x:v>
      </x:c>
      <x:c r="B30" s="109" t="n">
        <x:f>COUNTIF('Master Tenders'!V:V,"*Live-source sample*")+COUNTIF('Master Tenders'!V:V,"*official NTPC*")</x:f>
        <x:v>0</x:v>
      </x:c>
      <x:c r="C30" s="37"/>
      <x:c r="D30" s="37" t="str">
        <x:v>Changes Pending Decision</x:v>
      </x:c>
      <x:c r="E30" s="109" t="n">
        <x:f>COUNTIF('Change Review'!L:L,"Pending")</x:f>
        <x:v>0</x:v>
      </x:c>
      <x:c r="F30" s="37"/>
      <x:c r="G30" s="37" t="str">
        <x:v>Successful Write-Backs</x:v>
      </x:c>
      <x:c r="H30" s="109" t="n">
        <x:f>COUNTIF('Writeback Audit'!K:K,"Success")</x:f>
        <x:v>0</x:v>
      </x:c>
      <x:c r="I30" s="37"/>
      <x:c r="J30" s="37" t="str">
        <x:v>V6 Connectors</x:v>
      </x:c>
      <x:c r="K30" s="56" t="n">
        <x:f>COUNTIF('Agency Coverage'!D:D,"V6")</x:f>
        <x:v>9</x:v>
      </x:c>
      <x:c r="L30" s="37"/>
      <x:c r="M30" s="37"/>
      <x:c r="N30" s="37"/>
    </x:row>
    <x:row r="31">
      <x:c r="A31" s="37"/>
      <x:c r="B31" s="37"/>
      <x:c r="C31" s="37"/>
      <x:c r="D31" s="37" t="str">
        <x:v>Approved Changes</x:v>
      </x:c>
      <x:c r="E31" s="109" t="n">
        <x:f>COUNTIF('Change Review'!L:L,"Approve")</x:f>
        <x:v>0</x:v>
      </x:c>
      <x:c r="F31" s="37"/>
      <x:c r="G31" s="37" t="str">
        <x:v>Failed Write-Backs</x:v>
      </x:c>
      <x:c r="H31" s="109" t="n">
        <x:f>COUNTIF('Writeback Audit'!K:K,"Failed")</x:f>
        <x:v>0</x:v>
      </x:c>
      <x:c r="I31" s="37"/>
      <x:c r="J31" s="37" t="str">
        <x:v>Total Capacity MW</x:v>
      </x:c>
      <x:c r="K31" s="56" t="n">
        <x:f>SUM('Master Tenders'!G:G)</x:f>
        <x:v>3965</x:v>
      </x:c>
      <x:c r="L31" s="37"/>
      <x:c r="M31" s="37"/>
      <x:c r="N31" s="37"/>
    </x:row>
    <x:row r="32">
      <x:c r="A32" s="37"/>
      <x:c r="B32" s="37"/>
      <x:c r="C32" s="37"/>
      <x:c r="D32" s="37"/>
      <x:c r="E32" s="37"/>
      <x:c r="F32" s="37"/>
      <x:c r="G32" s="37" t="str">
        <x:v>State Connectors Added</x:v>
      </x:c>
      <x:c r="H32" s="109" t="n">
        <x:f>COUNTIFS('Agency Coverage'!D:D,"V5",'Agency Coverage'!A:A,"&lt;&gt;Central")</x:f>
        <x:v>3</x:v>
      </x:c>
      <x:c r="I32" s="37"/>
      <x:c r="J32" s="37" t="str">
        <x:v>Storage Capacity MW</x:v>
      </x:c>
      <x:c r="K32" s="56" t="n">
        <x:f>SUMIFS('Master Tenders'!G:G,'Master Tenders'!H:H,"Yes")</x:f>
        <x:v>3965</x:v>
      </x:c>
      <x:c r="L32" s="37"/>
      <x:c r="M32" s="37"/>
      <x:c r="N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</x:row>
    <x:row r="34">
      <x:c r="A34" s="164" t="str">
        <x:v>V7 Live Snapshot</x:v>
      </x:c>
      <x:c r="B34" s="164"/>
      <x:c r="C34" s="164"/>
      <x:c r="D34" s="179" t="str">
        <x:v>V8 Evidence &amp; Coverage</x:v>
      </x:c>
      <x:c r="E34" s="179"/>
      <x:c r="F34" s="179"/>
      <x:c r="G34" s="193" t="str">
        <x:v>V9 Eligibility Filter</x:v>
      </x:c>
      <x:c r="H34" s="193"/>
      <x:c r="I34" s="193"/>
      <x:c r="J34" s="207" t="str">
        <x:v>V10 Active-Tender Rules</x:v>
      </x:c>
      <x:c r="K34" s="207"/>
      <x:c r="L34" s="207"/>
      <x:c r="M34" s="207"/>
      <x:c r="N34" s="207"/>
    </x:row>
    <x:row r="35">
      <x:c r="A35" s="162" t="str">
        <x:v>Metric</x:v>
      </x:c>
      <x:c r="B35" s="162" t="str">
        <x:v>Value</x:v>
      </x:c>
      <x:c r="C35" s="37"/>
      <x:c r="D35" s="172" t="str">
        <x:v>Metric</x:v>
      </x:c>
      <x:c r="E35" s="172" t="str">
        <x:v>Value</x:v>
      </x:c>
      <x:c r="F35" s="37"/>
      <x:c r="G35" s="192" t="str">
        <x:v>Metric</x:v>
      </x:c>
      <x:c r="H35" s="192" t="str">
        <x:v>Value</x:v>
      </x:c>
      <x:c r="I35" s="37"/>
      <x:c r="J35" s="200" t="str">
        <x:v>Metric</x:v>
      </x:c>
      <x:c r="K35" s="200" t="str">
        <x:v>Value</x:v>
      </x:c>
      <x:c r="L35" s="37"/>
      <x:c r="M35" s="37"/>
      <x:c r="N35" s="37"/>
    </x:row>
    <x:row r="36">
      <x:c r="A36" s="37" t="str">
        <x:v>Verified tender records</x:v>
      </x:c>
      <x:c r="B36" s="37" t="n">
        <x:f>COUNTA('Master Tenders'!A2:A19)</x:f>
        <x:v>4</x:v>
      </x:c>
      <x:c r="C36" s="37"/>
      <x:c r="D36" s="37" t="str">
        <x:v>Total verified records</x:v>
      </x:c>
      <x:c r="E36" s="109" t="n">
        <x:f>COUNTA('Master Tenders'!A2:A27)</x:f>
        <x:v>4</x:v>
      </x:c>
      <x:c r="F36" s="37"/>
      <x:c r="G36" s="37" t="str">
        <x:v>Eligible records</x:v>
      </x:c>
      <x:c r="H36" s="109" t="n">
        <x:v>16</x:v>
      </x:c>
      <x:c r="I36" s="37"/>
      <x:c r="J36" s="37" t="str">
        <x:v>Active eligible tenders</x:v>
      </x:c>
      <x:c r="K36" s="37" t="n">
        <x:v>8</x:v>
      </x:c>
      <x:c r="L36" s="37"/>
      <x:c r="M36" s="37"/>
      <x:c r="N36" s="37"/>
    </x:row>
    <x:row r="37">
      <x:c r="A37" s="37" t="str">
        <x:v>Agencies populated</x:v>
      </x:c>
      <x:c r="B37" s="37" t="n">
        <x:f>COUNTA(UNIQUE(FILTER('Master Tenders'!C2:C19,'Master Tenders'!C2:C19&lt;&gt;"")))</x:f>
        <x:v>3</x:v>
      </x:c>
      <x:c r="C37" s="37"/>
      <x:c r="D37" s="37" t="str">
        <x:v>Agencies populated</x:v>
      </x:c>
      <x:c r="E37" s="109" t="n">
        <x:f>COUNTA(UNIQUE(FILTER('Master Tenders'!C2:C27,'Master Tenders'!C2:C27&lt;&gt;"")))</x:f>
        <x:v>3</x:v>
      </x:c>
      <x:c r="F37" s="37"/>
      <x:c r="G37" s="37" t="str">
        <x:v>Excluded records</x:v>
      </x:c>
      <x:c r="H37" s="109" t="n">
        <x:v>10</x:v>
      </x:c>
      <x:c r="I37" s="37"/>
      <x:c r="J37" s="37" t="str">
        <x:v>Closed/expired removed</x:v>
      </x:c>
      <x:c r="K37" s="37" t="n">
        <x:v>8</x:v>
      </x:c>
      <x:c r="L37" s="37"/>
      <x:c r="M37" s="37"/>
      <x:c r="N37" s="37"/>
    </x:row>
    <x:row r="38">
      <x:c r="A38" s="37" t="str">
        <x:v>Open / Extended</x:v>
      </x:c>
      <x:c r="B38" s="37" t="n">
        <x:f>COUNTIF('Master Tenders'!Q2:Q19,"Open")+COUNTIF('Master Tenders'!Q2:Q19,"Extended")</x:f>
        <x:v>3</x:v>
      </x:c>
      <x:c r="C38" s="37"/>
      <x:c r="D38" s="37" t="str">
        <x:v>Current opportunities</x:v>
      </x:c>
      <x:c r="E38" s="109" t="n">
        <x:f>COUNTIF('Master Tenders'!AF2:AF27,"Current Opportunity")</x:f>
        <x:v>3</x:v>
      </x:c>
      <x:c r="F38" s="37"/>
      <x:c r="G38" s="37" t="str">
        <x:v>Minimum capacity MW</x:v>
      </x:c>
      <x:c r="H38" s="109" t="n">
        <x:v>100</x:v>
      </x:c>
      <x:c r="I38" s="37"/>
      <x:c r="J38" s="37" t="str">
        <x:v>Notification date column</x:v>
      </x:c>
      <x:c r="K38" s="37" t="str">
        <x:v>Added</x:v>
      </x:c>
      <x:c r="L38" s="37"/>
      <x:c r="M38" s="37"/>
      <x:c r="N38" s="37"/>
    </x:row>
    <x:row r="39">
      <x:c r="A39" s="37" t="str">
        <x:v>Storage-linked MW</x:v>
      </x:c>
      <x:c r="B39" s="37" t="n">
        <x:f>SUMIFS('Master Tenders'!G2:G19,'Master Tenders'!H2:H19,"Yes")</x:f>
        <x:v>3965</x:v>
      </x:c>
      <x:c r="C39" s="37"/>
      <x:c r="D39" s="37" t="str">
        <x:v>Needs status check</x:v>
      </x:c>
      <x:c r="E39" s="109" t="n">
        <x:f>COUNTIF('Master Tenders'!AF2:AF27,"Needs Status Check")</x:f>
        <x:v>1</x:v>
      </x:c>
      <x:c r="F39" s="37"/>
      <x:c r="G39" s="37" t="str">
        <x:v>Rooftop excluded</x:v>
      </x:c>
      <x:c r="H39" s="109" t="str">
        <x:v>Yes</x:v>
      </x:c>
      <x:c r="I39" s="37"/>
      <x:c r="J39" s="37" t="str">
        <x:v>Corrigendum dates in Master</x:v>
      </x:c>
      <x:c r="K39" s="37" t="str">
        <x:v>Added</x:v>
      </x:c>
      <x:c r="L39" s="37"/>
      <x:c r="M39" s="37"/>
      <x:c r="N39" s="37"/>
    </x:row>
    <x:row r="40">
      <x:c r="A40" s="37" t="str">
        <x:v>Manual verification agencies</x:v>
      </x:c>
      <x:c r="B40" s="37" t="n">
        <x:f>COUNTA('Manual Verification Queue'!C5:C14)</x:f>
        <x:v>10</x:v>
      </x:c>
      <x:c r="C40" s="37"/>
      <x:c r="D40" s="37" t="str">
        <x:v>High evidence records</x:v>
      </x:c>
      <x:c r="E40" s="109" t="n">
        <x:f>COUNTIF('Master Tenders'!AE2:AE27,"&gt;=5")</x:f>
        <x:v>3</x:v>
      </x:c>
      <x:c r="F40" s="37"/>
      <x:c r="G40" s="37" t="str">
        <x:v>KUSUM excluded</x:v>
      </x:c>
      <x:c r="H40" s="109" t="str">
        <x:v>Yes</x:v>
      </x:c>
      <x:c r="I40" s="37"/>
      <x:c r="J40" s="37" t="str">
        <x:v>Separate corrigendum sheet</x:v>
      </x:c>
      <x:c r="K40" s="37" t="str">
        <x:v>Removed</x:v>
      </x:c>
      <x:c r="L40" s="37"/>
      <x:c r="M40" s="37"/>
      <x:c r="N40" s="37"/>
    </x:row>
    <x:row r="41">
      <x:c r="A41" s="37" t="str">
        <x:v>Snapshot date</x:v>
      </x:c>
      <x:c r="B41" s="57" t="n">
        <x:v>46236</x:v>
      </x:c>
      <x:c r="C41" s="37"/>
      <x:c r="D41" s="37" t="str">
        <x:v>NHPC records added</x:v>
      </x:c>
      <x:c r="E41" s="109" t="n">
        <x:f>COUNTIF('Master Tenders'!C2:C27,"NHPC")</x:f>
        <x:v>0</x:v>
      </x:c>
      <x:c r="F41" s="37"/>
      <x:c r="G41" s="37" t="str">
        <x:v>Unknown capacity excluded</x:v>
      </x:c>
      <x:c r="H41" s="109" t="str">
        <x:v>Yes</x:v>
      </x:c>
      <x:c r="I41" s="37"/>
      <x:c r="J41" s="37" t="str">
        <x:v>Separate closed sheet</x:v>
      </x:c>
      <x:c r="K41" s="37" t="str">
        <x:v>Removed</x:v>
      </x:c>
      <x:c r="L41" s="37"/>
      <x:c r="M41" s="37"/>
      <x:c r="N41" s="37"/>
    </x:row>
    <x:row r="42">
      <x:c r="A42" s="37"/>
      <x:c r="B42" s="37"/>
      <x:c r="C42" s="37"/>
      <x:c r="D42" s="37" t="str">
        <x:v>MP / Rajasthan records</x:v>
      </x:c>
      <x:c r="E42" s="109" t="n">
        <x:f>COUNTIF('Master Tenders'!B2:B27,"Madhya Pradesh")+COUNTIF('Master Tenders'!B2:B27,"Rajasthan")</x:f>
        <x:v>0</x:v>
      </x:c>
      <x:c r="F42" s="37"/>
      <x:c r="G42" s="37" t="str">
        <x:v>Eligible current opportunities</x:v>
      </x:c>
      <x:c r="H42" s="109" t="n">
        <x:f>COUNTIF('Master Tenders'!AF2:AF17,"Current Opportunity")</x:f>
        <x:v>3</x:v>
      </x:c>
      <x:c r="I42" s="37"/>
      <x:c r="J42" s="37" t="str">
        <x:v>Snapshot date</x:v>
      </x:c>
      <x:c r="K42" s="57" t="n">
        <x:v>46236</x:v>
      </x:c>
      <x:c r="L42" s="37"/>
      <x:c r="M42" s="37"/>
      <x:c r="N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</x:row>
    <x:row r="44">
      <x:c r="A44" s="220" t="str">
        <x:v>V11 Procurement-Clause Review</x:v>
      </x:c>
      <x:c r="B44" s="220"/>
      <x:c r="C44" s="220"/>
      <x:c r="D44" s="233" t="str">
        <x:v>V12 GitHub Automation</x:v>
      </x:c>
      <x:c r="E44" s="233"/>
      <x:c r="F44" s="233"/>
      <x:c r="G44" s="249" t="str">
        <x:v>V13 Production Controls</x:v>
      </x:c>
      <x:c r="H44" s="249"/>
      <x:c r="I44" s="249"/>
      <x:c r="J44" s="263" t="str">
        <x:v>V14 Clean Release</x:v>
      </x:c>
      <x:c r="K44" s="263"/>
      <x:c r="L44" s="263"/>
      <x:c r="M44" s="263"/>
      <x:c r="N44" s="263"/>
    </x:row>
    <x:row r="45">
      <x:c r="A45" s="213" t="str">
        <x:v>Metric</x:v>
      </x:c>
      <x:c r="B45" s="213" t="str">
        <x:v>Value</x:v>
      </x:c>
      <x:c r="C45" s="37"/>
      <x:c r="D45" s="232" t="str">
        <x:v>Metric</x:v>
      </x:c>
      <x:c r="E45" s="232" t="str">
        <x:v>Value</x:v>
      </x:c>
      <x:c r="F45" s="37"/>
      <x:c r="G45" s="248" t="str">
        <x:v>Metric</x:v>
      </x:c>
      <x:c r="H45" s="248" t="str">
        <x:v>Value</x:v>
      </x:c>
      <x:c r="I45" s="37"/>
      <x:c r="J45" s="262" t="str">
        <x:v>Metric</x:v>
      </x:c>
      <x:c r="K45" s="262" t="str">
        <x:v>Value</x:v>
      </x:c>
      <x:c r="L45" s="37"/>
      <x:c r="M45" s="37"/>
      <x:c r="N45" s="37"/>
    </x:row>
    <x:row r="46">
      <x:c r="A46" s="37" t="str">
        <x:v>Eligible procurement tenders</x:v>
      </x:c>
      <x:c r="B46" s="109" t="n">
        <x:v>4</x:v>
      </x:c>
      <x:c r="C46" s="37"/>
      <x:c r="D46" s="37" t="str">
        <x:v>Version</x:v>
      </x:c>
      <x:c r="E46" s="37" t="str">
        <x:v>12.0</x:v>
      </x:c>
      <x:c r="F46" s="37"/>
      <x:c r="G46" s="37" t="str">
        <x:v>Dedicated connectors</x:v>
      </x:c>
      <x:c r="H46" s="37" t="n">
        <x:v>31</x:v>
      </x:c>
      <x:c r="I46" s="37"/>
      <x:c r="J46" s="37" t="str">
        <x:v>Repository package</x:v>
      </x:c>
      <x:c r="K46" s="37" t="str">
        <x:v>GitHub-ready</x:v>
      </x:c>
      <x:c r="L46" s="37"/>
      <x:c r="M46" s="37"/>
      <x:c r="N46" s="37"/>
    </x:row>
    <x:row r="47">
      <x:c r="A47" s="37" t="str">
        <x:v>Supply/install/O&amp;M removed</x:v>
      </x:c>
      <x:c r="B47" s="109" t="n">
        <x:v>2</x:v>
      </x:c>
      <x:c r="C47" s="37"/>
      <x:c r="D47" s="37" t="str">
        <x:v>Daily schedule</x:v>
      </x:c>
      <x:c r="E47" s="37" t="str">
        <x:v>08:00 IST</x:v>
      </x:c>
      <x:c r="F47" s="37"/>
      <x:c r="G47" s="37" t="str">
        <x:v>Connector health sheet</x:v>
      </x:c>
      <x:c r="H47" s="37" t="str">
        <x:v>Added</x:v>
      </x:c>
      <x:c r="I47" s="37"/>
      <x:c r="J47" s="37" t="str">
        <x:v>Workflow</x:v>
      </x:c>
      <x:c r="K47" s="37" t="str">
        <x:v>Validated structure</x:v>
      </x:c>
      <x:c r="L47" s="37"/>
      <x:c r="M47" s="37"/>
      <x:c r="N47" s="37"/>
    </x:row>
    <x:row r="48">
      <x:c r="A48" s="37" t="str">
        <x:v>Expired legacy records removed</x:v>
      </x:c>
      <x:c r="B48" s="109" t="n">
        <x:v>2</x:v>
      </x:c>
      <x:c r="C48" s="37"/>
      <x:c r="D48" s="37" t="str">
        <x:v>Workflow enabled</x:v>
      </x:c>
      <x:c r="E48" s="37" t="str">
        <x:v>After repository setup</x:v>
      </x:c>
      <x:c r="F48" s="37"/>
      <x:c r="G48" s="37" t="str">
        <x:v>PLF rule library</x:v>
      </x:c>
      <x:c r="H48" s="37" t="str">
        <x:v>Added</x:v>
      </x:c>
      <x:c r="I48" s="37"/>
      <x:c r="J48" s="37" t="str">
        <x:v>PLF parser tests</x:v>
      </x:c>
      <x:c r="K48" s="37" t="str">
        <x:v>Expanded</x:v>
      </x:c>
      <x:c r="L48" s="37"/>
      <x:c r="M48" s="37"/>
      <x:c r="N48" s="37"/>
    </x:row>
    <x:row r="49">
      <x:c r="A49" s="37" t="str">
        <x:v>Detailed RfS verified</x:v>
      </x:c>
      <x:c r="B49" s="109" t="n">
        <x:v>2</x:v>
      </x:c>
      <x:c r="C49" s="37"/>
      <x:c r="D49" s="37" t="str">
        <x:v>Automatic workbook commit</x:v>
      </x:c>
      <x:c r="E49" s="37" t="str">
        <x:v>Yes</x:v>
      </x:c>
      <x:c r="F49" s="37"/>
      <x:c r="G49" s="37" t="str">
        <x:v>Clause QA workflow</x:v>
      </x:c>
      <x:c r="H49" s="37" t="str">
        <x:v>Added</x:v>
      </x:c>
      <x:c r="I49" s="37"/>
      <x:c r="J49" s="37" t="str">
        <x:v>Evidence snippets</x:v>
      </x:c>
      <x:c r="K49" s="37" t="str">
        <x:v>Page-aware</x:v>
      </x:c>
      <x:c r="L49" s="37"/>
      <x:c r="M49" s="37"/>
      <x:c r="N49" s="37"/>
    </x:row>
    <x:row r="50">
      <x:c r="A50" s="37" t="str">
        <x:v>BESS document review pending</x:v>
      </x:c>
      <x:c r="B50" s="109" t="n">
        <x:v>2</x:v>
      </x:c>
      <x:c r="C50" s="37"/>
      <x:c r="D50" s="37" t="str">
        <x:v>Automatic closed removal</x:v>
      </x:c>
      <x:c r="E50" s="37" t="str">
        <x:v>Yes</x:v>
      </x:c>
      <x:c r="F50" s="37"/>
      <x:c r="G50" s="37" t="str">
        <x:v>Retries / backoff</x:v>
      </x:c>
      <x:c r="H50" s="37" t="str">
        <x:v>Enabled</x:v>
      </x:c>
      <x:c r="I50" s="37"/>
      <x:c r="J50" s="37" t="str">
        <x:v>Connector health JSON</x:v>
      </x:c>
      <x:c r="K50" s="37" t="str">
        <x:v>Guaranteed output</x:v>
      </x:c>
      <x:c r="L50" s="37"/>
      <x:c r="M50" s="37"/>
      <x:c r="N50" s="37"/>
    </x:row>
    <x:row r="51">
      <x:c r="A51" t="str">
        <x:v>External energy rules captured</x:v>
      </x:c>
      <x:c r="B51" s="70" t="n">
        <x:v>2</x:v>
      </x:c>
      <x:c r="D51" t="str">
        <x:v>Same-row corrigenda</x:v>
      </x:c>
      <x:c r="E51" t="str">
        <x:v>Yes</x:v>
      </x:c>
      <x:c r="G51" t="str">
        <x:v>HTML + PDF extraction</x:v>
      </x:c>
      <x:c r="H51" t="str">
        <x:v>Enabled</x:v>
      </x:c>
      <x:c r="J51" t="str">
        <x:v>Dry-run safety</x:v>
      </x:c>
      <x:c r="K51" t="str">
        <x:v>Push defaults to dry-run</x:v>
      </x:c>
    </x:row>
    <x:row r="52">
      <x:c r="A52" t="str">
        <x:v>Penalty rules captured</x:v>
      </x:c>
      <x:c r="B52" s="70" t="n">
        <x:v>2</x:v>
      </x:c>
      <x:c r="D52" t="str">
        <x:v>Restricted portal handling</x:v>
      </x:c>
      <x:c r="E52" t="str">
        <x:v>Manual queue</x:v>
      </x:c>
      <x:c r="G52" t="str">
        <x:v>Confidence scoring</x:v>
      </x:c>
      <x:c r="H52" t="str">
        <x:v>Enabled</x:v>
      </x:c>
      <x:c r="J52" t="str">
        <x:v>Live schedule</x:v>
      </x:c>
      <x:c r="K52" t="str">
        <x:v>08:00 IST</x:v>
      </x:c>
    </x:row>
    <x:row r="53">
      <x:c r="G53" t="str">
        <x:v>Production claim</x:v>
      </x:c>
      <x:c r="H53" t="str">
        <x:v>Requires live source testing</x:v>
      </x:c>
      <x:c r="J53" t="str">
        <x:v>Production approval</x:v>
      </x:c>
      <x:c r="K53" t="str">
        <x:v>After connector live tests</x:v>
      </x:c>
    </x:row>
  </x:sheetData>
  <x:mergeCells>
    <x:mergeCell ref="A1:N2"/>
    <x:mergeCell ref="A3:N3"/>
    <x:mergeCell ref="A5:C7"/>
    <x:mergeCell ref="D5:F7"/>
    <x:mergeCell ref="G5:I7"/>
    <x:mergeCell ref="J5:L7"/>
    <x:mergeCell ref="A9:H9"/>
    <x:mergeCell ref="J9:N9"/>
    <x:mergeCell ref="A15:N15"/>
    <x:mergeCell ref="D16:F16"/>
    <x:mergeCell ref="A25:F25"/>
    <x:mergeCell ref="D25:I25"/>
    <x:mergeCell ref="G25:N25"/>
    <x:mergeCell ref="J25:N25"/>
    <x:mergeCell ref="A34:F34"/>
    <x:mergeCell ref="D34:I34"/>
    <x:mergeCell ref="G34:N34"/>
    <x:mergeCell ref="J34:N34"/>
    <x:mergeCell ref="A44:F44"/>
    <x:mergeCell ref="D44:I44"/>
    <x:mergeCell ref="G44:N44"/>
    <x:mergeCell ref="J44:N44"/>
  </x:mergeCells>
  <x:pageMargins left="0.7" right="0.7" top="0.75" bottom="0.75" header="0.3" footer="0.3"/>
  <x:drawing xmlns:r="http://schemas.openxmlformats.org/officeDocument/2006/relationships" r:id="R613bd152ab534ff7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3" hidden="0" customWidth="1"/>
    <x:col min="10" max="10" width="25" hidden="0" customWidth="1"/>
    <x:col min="11" max="11" width="1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6" hidden="0" customWidth="1"/>
    <x:col min="19" max="19" width="14" hidden="0" customWidth="1"/>
    <x:col min="20" max="20" width="32" hidden="0" customWidth="1"/>
    <x:col min="21" max="21" width="32" hidden="0" customWidth="1"/>
    <x:col min="22" max="22" width="34" hidden="0" customWidth="1"/>
    <x:col min="23" max="23" width="14" hidden="0" customWidth="1"/>
    <x:col min="24" max="24" width="16" hidden="0" customWidth="1"/>
    <x:col min="25" max="25" width="28" hidden="0" customWidth="1"/>
    <x:col min="26" max="26" width="15" hidden="0" customWidth="1"/>
    <x:col min="27" max="27" width="38" hidden="0" customWidth="1"/>
    <x:col min="28" max="28" width="20" hidden="0" customWidth="1"/>
    <x:col min="29" max="29" width="20" hidden="0" customWidth="1"/>
    <x:col min="30" max="30" width="18" hidden="0" customWidth="1"/>
    <x:col min="31" max="31" width="14" hidden="0" customWidth="1"/>
    <x:col min="32" max="32" width="22" hidden="0" customWidth="1"/>
    <x:col min="33" max="33" width="20" hidden="0" customWidth="1"/>
    <x:col min="34" max="34" width="28" hidden="0" customWidth="1"/>
    <x:col min="35" max="35" width="22" hidden="0" customWidth="1"/>
    <x:col min="36" max="36" width="48" hidden="0" customWidth="1"/>
    <x:col min="37" max="37" width="24" hidden="0" customWidth="1"/>
    <x:col min="38" max="38" width="38" hidden="0" customWidth="1"/>
    <x:col min="39" max="39" width="36" hidden="0" customWidth="1"/>
    <x:col min="40" max="40" width="38" hidden="0" customWidth="1"/>
    <x:col min="41" max="41" width="38" hidden="0" customWidth="1"/>
    <x:col min="42" max="42" width="34" hidden="0" customWidth="1"/>
    <x:col min="43" max="43" width="48" hidden="0" customWidth="1"/>
    <x:col min="44" max="44" width="28" hidden="0" customWidth="1"/>
    <x:col min="45" max="45" width="22" hidden="0" customWidth="1"/>
    <x:col min="46" max="46" width="44" hidden="0" customWidth="1"/>
    <x:col min="47" max="47" width="42" hidden="0" customWidth="1"/>
    <x:col min="48" max="48" width="48" hidden="0" customWidth="1"/>
    <x:col min="49" max="49" width="30" hidden="0" customWidth="1"/>
    <x:col min="50" max="50" width="24" hidden="0" customWidth="1"/>
    <x:col min="51" max="51" width="24" hidden="0" customWidth="1"/>
    <x:col min="52" max="52" width="24" hidden="0" customWidth="1"/>
  </x:cols>
  <x:sheetData>
    <x:row r="1">
      <x:c r="A1" s="44" t="str">
        <x:v>Tender ID</x:v>
      </x:c>
      <x:c r="B1" s="44" t="str">
        <x:v>Category</x:v>
      </x:c>
      <x:c r="C1" s="44" t="str">
        <x:v>Agency</x:v>
      </x:c>
      <x:c r="D1" s="44" t="str">
        <x:v>State</x:v>
      </x:c>
      <x:c r="E1" s="44" t="str">
        <x:v>Tender Number</x:v>
      </x:c>
      <x:c r="F1" s="44" t="str">
        <x:v>Technology</x:v>
      </x:c>
      <x:c r="G1" s="44" t="str">
        <x:v>Capacity MW</x:v>
      </x:c>
      <x:c r="H1" s="44" t="str">
        <x:v>Storage Required</x:v>
      </x:c>
      <x:c r="I1" s="44" t="str">
        <x:v>Storage Hours</x:v>
      </x:c>
      <x:c r="J1" s="44" t="str">
        <x:v>Dispatch Condition</x:v>
      </x:c>
      <x:c r="K1" s="44" t="str">
        <x:v>Minimum PLF %</x:v>
      </x:c>
      <x:c r="L1" s="44" t="str">
        <x:v>EMD</x:v>
      </x:c>
      <x:c r="M1" s="44" t="str">
        <x:v>BG / PBG Conditions</x:v>
      </x:c>
      <x:c r="N1" s="44" t="str">
        <x:v>Bid Submission Date</x:v>
      </x:c>
      <x:c r="O1" s="44" t="str">
        <x:v>Technical Opening</x:v>
      </x:c>
      <x:c r="P1" s="44" t="str">
        <x:v>Financial Opening</x:v>
      </x:c>
      <x:c r="Q1" s="44" t="str">
        <x:v>Status</x:v>
      </x:c>
      <x:c r="R1" s="44" t="str">
        <x:v>Last Updated</x:v>
      </x:c>
      <x:c r="S1" s="44" t="str">
        <x:v>Corrigendum Count</x:v>
      </x:c>
      <x:c r="T1" s="44" t="str">
        <x:v>Tender URL</x:v>
      </x:c>
      <x:c r="U1" s="44" t="str">
        <x:v>Document URL</x:v>
      </x:c>
      <x:c r="V1" s="44" t="str">
        <x:v>Remarks</x:v>
      </x:c>
      <x:c r="W1" s="69" t="str">
        <x:v>Days to Deadline</x:v>
      </x:c>
      <x:c r="X1" s="69" t="str">
        <x:v>Deadline Alert</x:v>
      </x:c>
      <x:c r="Y1" s="69" t="str">
        <x:v>Duplicate Key</x:v>
      </x:c>
      <x:c r="Z1" s="69" t="str">
        <x:v>Duplicate Flag</x:v>
      </x:c>
      <x:c r="AA1" s="69" t="str">
        <x:v>Change Fingerprint</x:v>
      </x:c>
      <x:c r="AB1" s="158" t="str">
        <x:v>Verified On</x:v>
      </x:c>
      <x:c r="AC1" s="158" t="str">
        <x:v>Source Quality</x:v>
      </x:c>
      <x:c r="AD1" s="158" t="str">
        <x:v>Data Completeness</x:v>
      </x:c>
      <x:c r="AE1" s="172" t="str">
        <x:v>Evidence Score</x:v>
      </x:c>
      <x:c r="AF1" s="172" t="str">
        <x:v>Opportunity Class</x:v>
      </x:c>
      <x:c r="AG1" s="200" t="str">
        <x:v>Tender Notification Date</x:v>
      </x:c>
      <x:c r="AH1" s="200" t="str">
        <x:v>Corrigendum Date(s)</x:v>
      </x:c>
      <x:c r="AI1" s="200" t="str">
        <x:v>Latest Corrigendum Date</x:v>
      </x:c>
      <x:c r="AJ1" s="200" t="str">
        <x:v>Corrigendum Details</x:v>
      </x:c>
      <x:c r="AK1" s="213" t="str">
        <x:v>Procurement Model</x:v>
      </x:c>
      <x:c r="AL1" s="213" t="str">
        <x:v>Supply Window / Dispatch Selection</x:v>
      </x:c>
      <x:c r="AM1" s="213" t="str">
        <x:v>Daily Supply Obligation</x:v>
      </x:c>
      <x:c r="AN1" s="213" t="str">
        <x:v>Monthly Minimum / Reconciliation</x:v>
      </x:c>
      <x:c r="AO1" s="213" t="str">
        <x:v>Annual PLF / CUF / Energy Requirement</x:v>
      </x:c>
      <x:c r="AP1" s="213" t="str">
        <x:v>Allowed Shortfall / Availability Tolerance</x:v>
      </x:c>
      <x:c r="AQ1" s="213" t="str">
        <x:v>Under-Supply Penalty</x:v>
      </x:c>
      <x:c r="AR1" s="213" t="str">
        <x:v>External / Exchange Energy Allowed</x:v>
      </x:c>
      <x:c r="AS1" s="213" t="str">
        <x:v>Maximum External Energy</x:v>
      </x:c>
      <x:c r="AT1" s="213" t="str">
        <x:v>Charging / External Energy Conditions</x:v>
      </x:c>
      <x:c r="AU1" s="213" t="str">
        <x:v>Third-Party / Merchant Use</x:v>
      </x:c>
      <x:c r="AV1" s="213" t="str">
        <x:v>Detailed Source Document</x:v>
      </x:c>
      <x:c r="AW1" s="213" t="str">
        <x:v>Technical Review Status</x:v>
      </x:c>
      <x:c r="AX1" s="236" t="str">
        <x:v>First Seen By Automation</x:v>
      </x:c>
      <x:c r="AY1" s="236" t="str">
        <x:v>Last Seen By Automation</x:v>
      </x:c>
      <x:c r="AZ1" s="232" t="str">
        <x:v>Source Record Hash</x:v>
      </x:c>
    </x:row>
    <x:row r="2">
      <x:c r="A2" s="37" t="str">
        <x:v>SECI000249</x:v>
      </x:c>
      <x:c r="B2" s="37" t="str">
        <x:v>Central</x:v>
      </x:c>
      <x:c r="C2" s="37" t="str">
        <x:v>SECI</x:v>
      </x:c>
      <x:c r="D2" s="37" t="str">
        <x:v>All India</x:v>
      </x:c>
      <x:c r="E2" s="37" t="str">
        <x:v>SECI/C&amp;P/IPP/13/0002/26-27</x:v>
      </x:c>
      <x:c r="F2" s="37" t="str">
        <x:v>FDRE</x:v>
      </x:c>
      <x:c r="G2" s="56" t="n">
        <x:v>500</x:v>
      </x:c>
      <x:c r="H2" s="37" t="str">
        <x:v>Yes</x:v>
      </x:c>
      <x:c r="I2" s="37" t="n">
        <x:v>2</x:v>
      </x:c>
      <x:c r="J2" s="37" t="str">
        <x:v>Assured peak supply under CfD</x:v>
      </x:c>
      <x:c r="K2" s="56"/>
      <x:c r="L2" s="37" t="str">
        <x:v>As per RfS</x:v>
      </x:c>
      <x:c r="M2" s="37" t="str">
        <x:v>As per RfS</x:v>
      </x:c>
      <x:c r="N2" s="105" t="n">
        <x:v>46237.75</x:v>
      </x:c>
      <x:c r="O2" s="105"/>
      <x:c r="P2" s="105" t="n">
        <x:v>46240.416666666664</x:v>
      </x:c>
      <x:c r="Q2" s="105" t="str">
        <x:v>Open</x:v>
      </x:c>
      <x:c r="R2" s="105" t="n">
        <x:v>46236</x:v>
      </x:c>
      <x:c r="S2" s="37" t="n">
        <x:v>0</x:v>
      </x:c>
      <x:c r="T2" s="37" t="str">
        <x:v>https://www.seci.co.in/tenders/</x:v>
      </x:c>
      <x:c r="U2" s="37"/>
      <x:c r="V2" s="37" t="str">
        <x:v>1000 MWh = 500 MW x 2 hours</x:v>
      </x:c>
      <x:c r="W2" s="70" t="n">
        <x:f>IF(N2="","",N2-TODAY())</x:f>
        <x:v>1.75</x:v>
      </x:c>
      <x:c r="X2" t="str">
        <x:f>IF(W2="","",IF(W2&lt;0,"Expired",IF(W2&lt;=3,"Urgent",IF(W2&lt;=7,"Due in 7 Days","Normal"))))</x:f>
        <x:v>Urgent</x:v>
      </x:c>
      <x:c r="Y2" t="str">
        <x:f>IF(COUNTA(C2,E2)=0,"",UPPER(TRIM(C2&amp;"|"&amp;E2)))</x:f>
        <x:v>SECI|SECI/C&amp;P/IPP/13/0002/26-27</x:v>
      </x:c>
      <x:c r="Z2" t="str">
        <x:f>IF(Y2="","",IF(COUNTIF($Y$2:$Y$501,Y2)&gt;1,"Duplicate","Unique"))</x:f>
        <x:v>Unique</x:v>
      </x:c>
      <x:c r="AA2" t="str">
        <x:f>IF(A2="","",C2&amp;"|"&amp;E2&amp;"|"&amp;TEXT(N2,"yyyymmdd")&amp;"|"&amp;Q2&amp;"|"&amp;S2&amp;"|"&amp;TEXT(AI2,"yyyymmdd"))</x:f>
        <x:v>SECI|SECI/C&amp;P/IPP/13/0002/26-27|20260803|Open|0|20260717</x:v>
      </x:c>
      <x:c r="AB2" s="52" t="n">
        <x:v>46236</x:v>
      </x:c>
      <x:c r="AC2" s="52" t="str">
        <x:v>Official agency page</x:v>
      </x:c>
      <x:c r="AD2" s="52" t="str">
        <x:v>Core fields</x:v>
      </x:c>
      <x:c r="AE2" s="52" t="n">
        <x:f>IF(A2="","",IF(AC2="Official agency page",3,IF(AC2="Official government portal",3,IF(AC2="Official tender document",4,1)))+IF(AD2="Core fields",2,1))</x:f>
        <x:v>5</x:v>
      </x:c>
      <x:c r="AF2" s="52" t="str">
        <x:f>IF(A2="","",IF(OR(Q2="Open",Q2="Extended"),"Current Opportunity",IF(Q2="Corrigendum","Needs Status Check",IF(Q2="Evaluation","Under Evaluation","Historical / Closed"))))</x:f>
        <x:v>Current Opportunity</x:v>
      </x:c>
      <x:c r="AG2" s="52" t="n">
        <x:v>46131</x:v>
      </x:c>
      <x:c r="AH2" s="52" t="str">
        <x:v>2026-07-17</x:v>
      </x:c>
      <x:c r="AI2" s="52" t="n">
        <x:v>46220</x:v>
      </x:c>
      <x:c r="AJ2" t="str">
        <x:v>Amendment-01 uploaded 17-Jul-2026; revised RfS dated 15-Jul-2026</x:v>
      </x:c>
      <x:c r="AK2" t="str">
        <x:v>Contract for Difference (CfD); power sold through exchanges</x:v>
      </x:c>
      <x:c r="AL2" t="str">
        <x:v>RPD chooses any 2 hours daily between 18:00 and 24:00, within non-solar hours</x:v>
      </x:c>
      <x:c r="AM2" t="str">
        <x:v>2 MWh per MW contracted capacity per day; for 500 MW = 1,000 MWh/day</x:v>
      </x:c>
      <x:c r="AN2" t="str">
        <x:v>No monthly PLF stated. Performance tested weekly; penalties recovered monthly</x:v>
      </x:c>
      <x:c r="AO2" t="str">
        <x:v>100% of annual scheduled energy must be renewable. No annual PLF/CUF percentage stated</x:v>
      </x:c>
      <x:c r="AP2" t="str">
        <x:v>Up to 10% weekly shortfall permitted; minimum 90% of 14 MWh/MW per contract week</x:v>
      </x:c>
      <x:c r="AQ2" t="str">
        <x:v>Beyond 10% weekly shortfall: 1.5 × [highest applicable exchange MCP during non-solar hours minus strike price] × shortfall; no penalty when reference rate is below strike price; no CfD settlement for shortfall</x:v>
      </x:c>
      <x:c r="AR2" t="str">
        <x:v>Yes — green-market sources or bilateral RE agreements permitted</x:v>
      </x:c>
      <x:c r="AS2" t="str">
        <x:v>Up to 25% of total annual required energy</x:v>
      </x:c>
      <x:c r="AT2" t="str">
        <x:v>External RE can directly meet peak supply or charge ESS. Charging energy is not counted; only discharged energy counts. External-energy excess above 25% receives no CfD settlement</x:v>
      </x:c>
      <x:c r="AU2" t="str">
        <x:v>ESS may be used for merchant/third-party or exchange sale after completing the day’s 2 MWh/MW peak obligation; premature merchant sale attracts an additional penalty</x:v>
      </x:c>
      <x:c r="AV2" t="str">
        <x:v>https://www.seci.co.in/uploads/tenders/Revised_RfS_for_1000_MWh_assured_Peak_Supply_under_CfD_Mechanism_%28CfD-I%29.pdf</x:v>
      </x:c>
      <x:c r="AW2" t="str">
        <x:v>Verified from revised official RfS</x:v>
      </x:c>
    </x:row>
    <x:row r="3">
      <x:c r="A3" s="37" t="str">
        <x:v>SECI000258</x:v>
      </x:c>
      <x:c r="B3" s="37" t="str">
        <x:v>Central</x:v>
      </x:c>
      <x:c r="C3" s="37" t="str">
        <x:v>SECI</x:v>
      </x:c>
      <x:c r="D3" s="37" t="str">
        <x:v>All India</x:v>
      </x:c>
      <x:c r="E3" s="37" t="str">
        <x:v>SECI/C&amp;P/IPP/13/0006/26-27</x:v>
      </x:c>
      <x:c r="F3" s="37" t="str">
        <x:v>FDRE</x:v>
      </x:c>
      <x:c r="G3" s="56" t="n">
        <x:v>1200</x:v>
      </x:c>
      <x:c r="H3" s="37" t="str">
        <x:v>Yes</x:v>
      </x:c>
      <x:c r="I3" s="56" t="n">
        <x:v>4</x:v>
      </x:c>
      <x:c r="J3" s="37" t="str">
        <x:v>Assured peak supply</x:v>
      </x:c>
      <x:c r="K3" s="56"/>
      <x:c r="L3" s="37" t="str">
        <x:v>As per RfS</x:v>
      </x:c>
      <x:c r="M3" s="37" t="str">
        <x:v>As per RfS</x:v>
      </x:c>
      <x:c r="N3" s="105" t="n">
        <x:v>46241.75</x:v>
      </x:c>
      <x:c r="O3" s="105"/>
      <x:c r="P3" s="105" t="n">
        <x:v>46246.416666666664</x:v>
      </x:c>
      <x:c r="Q3" s="105" t="str">
        <x:v>Extended</x:v>
      </x:c>
      <x:c r="R3" s="105" t="n">
        <x:v>46236</x:v>
      </x:c>
      <x:c r="S3" s="37" t="n">
        <x:v>1</x:v>
      </x:c>
      <x:c r="T3" s="37" t="str">
        <x:v>https://www.seci.co.in/tender-details/Ymd_</x:v>
      </x:c>
      <x:c r="U3" s="37"/>
      <x:c r="V3" s="37" t="str">
        <x:v>Amendment-01 listed; online deadline passed, offline date 04-Aug-2026</x:v>
      </x:c>
      <x:c r="W3" s="70" t="n">
        <x:f>IF(N3="","",N3-TODAY())</x:f>
        <x:v>5.75</x:v>
      </x:c>
      <x:c r="X3" t="str">
        <x:f>IF(W3="","",IF(W3&lt;0,"Expired",IF(W3&lt;=3,"Urgent",IF(W3&lt;=7,"Due in 7 Days","Normal"))))</x:f>
        <x:v>Due in 7 Days</x:v>
      </x:c>
      <x:c r="Y3" t="str">
        <x:f>IF(COUNTA(C3,E3)=0,"",UPPER(TRIM(C3&amp;"|"&amp;E3)))</x:f>
        <x:v>SECI|SECI/C&amp;P/IPP/13/0006/26-27</x:v>
      </x:c>
      <x:c r="Z3" t="str">
        <x:f>IF(Y3="","",IF(COUNTIF($Y$2:$Y$501,Y3)&gt;1,"Duplicate","Unique"))</x:f>
        <x:v>Unique</x:v>
      </x:c>
      <x:c r="AA3" t="str">
        <x:f>IF(A3="","",C3&amp;"|"&amp;E3&amp;"|"&amp;TEXT(N3,"yyyymmdd")&amp;"|"&amp;Q3&amp;"|"&amp;S3&amp;"|"&amp;TEXT(AI3,"yyyymmdd"))</x:f>
        <x:v>SECI|SECI/C&amp;P/IPP/13/0006/26-27|20260807|Extended|1|20260708</x:v>
      </x:c>
      <x:c r="AB3" s="52" t="n">
        <x:v>46236</x:v>
      </x:c>
      <x:c r="AC3" s="52" t="str">
        <x:v>Official agency page</x:v>
      </x:c>
      <x:c r="AD3" s="52" t="str">
        <x:v>Core fields</x:v>
      </x:c>
      <x:c r="AE3" s="52" t="n">
        <x:f>IF(A3="","",IF(AC3="Official agency page",3,IF(AC3="Official government portal",3,IF(AC3="Official tender document",4,1)))+IF(AD3="Core fields",2,1))</x:f>
        <x:v>5</x:v>
      </x:c>
      <x:c r="AF3" s="52" t="str">
        <x:f>IF(A3="","",IF(OR(Q3="Open",Q3="Extended"),"Current Opportunity",IF(Q3="Corrigendum","Needs Status Check",IF(Q3="Evaluation","Under Evaluation","Historical / Closed"))))</x:f>
        <x:v>Current Opportunity</x:v>
      </x:c>
      <x:c r="AG3" s="52" t="n">
        <x:v>46178</x:v>
      </x:c>
      <x:c r="AH3" s="52" t="str">
        <x:v>2026-07-08</x:v>
      </x:c>
      <x:c r="AI3" s="52" t="n">
        <x:v>46211</x:v>
      </x:c>
      <x:c r="AJ3" t="str">
        <x:v>Amendment-01 uploaded 08-Jul-2026</x:v>
      </x:c>
      <x:c r="AK3" t="str">
        <x:v>Tariff-based competitive bidding with PPA/PSA</x:v>
      </x:c>
      <x:c r="AL3" t="str">
        <x:v>Buying Entity selects 4 hours daily across evening-to-next-morning non-solar peak hours; at least one continuous hour</x:v>
      </x:c>
      <x:c r="AM3" t="str">
        <x:v>4 MWh per MW contracted capacity per day; for 1,200 MW = 4,800 MWh/day</x:v>
      </x:c>
      <x:c r="AN3" t="str">
        <x:v>Monthly reconciliation. Minimum effective supply = 90% of monthly scheduled peak-energy requirement before penalty applies</x:v>
      </x:c>
      <x:c r="AO3" t="str">
        <x:v>100% annual offered energy must be renewable. No annual PLF/CUF percentage stated</x:v>
      </x:c>
      <x:c r="AP3" t="str">
        <x:v>Monthly shortfall up to 10% below required peak energy permitted</x:v>
      </x:c>
      <x:c r="AQ3" t="str">
        <x:v>Shortfall beyond 10% monthly: 1.5 × PPA tariff × energy shortfall</x:v>
      </x:c>
      <x:c r="AR3" t="str">
        <x:v>Yes — green-market sources or bilateral RE agreements permitted</x:v>
      </x:c>
      <x:c r="AS3" t="str">
        <x:v>Up to 5% of total annual required energy</x:v>
      </x:c>
      <x:c r="AT3" t="str">
        <x:v>External RE may directly meet peak requirements or charge ESS. Only discharged ESS energy counts toward the 5%; excess above 5% is unpaid and excluded from performance</x:v>
      </x:c>
      <x:c r="AU3" t="str">
        <x:v>ESS may be used outside peak hours for third-party/exchange sale after PPA obligations. Sale before fulfilling obligations attracts 1.5 × highest DAM/GDAM/RTM market rate per kWh, in addition to shortfall penalty</x:v>
      </x:c>
      <x:c r="AV3" t="str">
        <x:v>https://www.seci.co.in/uploads/tenders/RfS_for_4800_MWh_Peak_Supply_%28FDRE-IX%29-_final_upload.pdf</x:v>
      </x:c>
      <x:c r="AW3" t="str">
        <x:v>Verified from official RfS; latest SECI page shows revised bid dates</x:v>
      </x:c>
    </x:row>
    <x:row r="4">
      <x:c r="A4" s="37" t="str">
        <x:v>SJVN-BESS2</x:v>
      </x:c>
      <x:c r="B4" s="37" t="str">
        <x:v>Central</x:v>
      </x:c>
      <x:c r="C4" s="37" t="str">
        <x:v>SJVN</x:v>
      </x:c>
      <x:c r="D4" s="37" t="str">
        <x:v>Haryana</x:v>
      </x:c>
      <x:c r="E4" s="37" t="str">
        <x:v>SJVN/CCDelhi/REIA/2026/BESS-2</x:v>
      </x:c>
      <x:c r="F4" s="37" t="str">
        <x:v>BESS</x:v>
      </x:c>
      <x:c r="G4" s="56" t="n">
        <x:v>265</x:v>
      </x:c>
      <x:c r="H4" s="37" t="str">
        <x:v>Yes</x:v>
      </x:c>
      <x:c r="I4" s="56" t="n">
        <x:v>2</x:v>
      </x:c>
      <x:c r="J4" s="37" t="str">
        <x:v>Standalone BESS under VGF and TBCB</x:v>
      </x:c>
      <x:c r="K4" s="56"/>
      <x:c r="L4" s="37"/>
      <x:c r="M4" s="37" t="str">
        <x:v>As per RfS</x:v>
      </x:c>
      <x:c r="N4" s="105" t="n">
        <x:v>46255</x:v>
      </x:c>
      <x:c r="O4" s="105"/>
      <x:c r="P4" s="105"/>
      <x:c r="Q4" s="105" t="str">
        <x:v>Open</x:v>
      </x:c>
      <x:c r="R4" s="105" t="n">
        <x:v>46236</x:v>
      </x:c>
      <x:c r="S4" s="37" t="n">
        <x:v>0</x:v>
      </x:c>
      <x:c r="T4" s="37" t="str">
        <x:v>https://sjvn.nic.in/en/tender</x:v>
      </x:c>
      <x:c r="U4" s="37"/>
      <x:c r="V4" s="37" t="str">
        <x:v>265 MW / 530 MWh BESS in Haryana</x:v>
      </x:c>
      <x:c r="W4" s="70" t="n">
        <x:f>IF(N4="","",N4-TODAY())</x:f>
        <x:v>19</x:v>
      </x:c>
      <x:c r="X4" t="str">
        <x:f>IF(W4="","",IF(W4&lt;0,"Expired",IF(W4&lt;=3,"Urgent",IF(W4&lt;=7,"Due in 7 Days","Normal"))))</x:f>
        <x:v>Normal</x:v>
      </x:c>
      <x:c r="Y4" t="str">
        <x:f>IF(COUNTA(C4,E4)=0,"",UPPER(TRIM(C4&amp;"|"&amp;E4)))</x:f>
        <x:v>SJVN|SJVN/CCDELHI/REIA/2026/BESS-2</x:v>
      </x:c>
      <x:c r="Z4" t="str">
        <x:f>IF(Y4="","",IF(COUNTIF($Y$2:$Y$501,Y4)&gt;1,"Duplicate","Unique"))</x:f>
        <x:v>Unique</x:v>
      </x:c>
      <x:c r="AA4" t="str">
        <x:f>IF(A4="","",C4&amp;"|"&amp;E4&amp;"|"&amp;TEXT(N4,"yyyymmdd")&amp;"|"&amp;Q4&amp;"|"&amp;S4&amp;"|"&amp;TEXT(AI4,"yyyymmdd"))</x:f>
        <x:v>SJVN|SJVN/CCDelhi/REIA/2026/BESS-2|20260821|Open|0|</x:v>
      </x:c>
      <x:c r="AB4" s="52" t="n">
        <x:v>46236</x:v>
      </x:c>
      <x:c r="AC4" s="52" t="str">
        <x:v>Official agency page</x:v>
      </x:c>
      <x:c r="AD4" s="52" t="str">
        <x:v>Core fields</x:v>
      </x:c>
      <x:c r="AE4" s="52" t="n">
        <x:f>IF(A4="","",IF(AC4="Official agency page",3,IF(AC4="Official government portal",3,IF(AC4="Official tender document",4,1)))+IF(AD4="Core fields",2,1))</x:f>
        <x:v>5</x:v>
      </x:c>
      <x:c r="AF4" s="52" t="str">
        <x:f>IF(A4="","",IF(OR(Q4="Open",Q4="Extended"),"Current Opportunity",IF(Q4="Corrigendum","Needs Status Check",IF(Q4="Evaluation","Under Evaluation","Historical / Closed"))))</x:f>
        <x:v>Current Opportunity</x:v>
      </x:c>
      <x:c r="AG4" s="52" t="n">
        <x:v>46227</x:v>
      </x:c>
      <x:c r="AH4" s="52"/>
      <x:c r="AI4" s="52"/>
      <x:c r="AJ4" t="str">
        <x:v>No corrigendum identified in the captured official listing.</x:v>
      </x:c>
      <x:c r="AK4" t="str">
        <x:v>Standalone BESS under VGF and tariff-based competitive bidding</x:v>
      </x:c>
      <x:c r="AL4" t="str">
        <x:v>Dispatch schedule and availability obligations governed by RfS/BESSA/BESPA</x:v>
      </x:c>
      <x:c r="AM4" t="str">
        <x:v>Not verified from accessible document text</x:v>
      </x:c>
      <x:c r="AN4" t="str">
        <x:v>PLF is not applicable to standalone BESS; monthly availability/energy obligations require document review</x:v>
      </x:c>
      <x:c r="AO4" t="str">
        <x:v>Annual PLF/CUF not applicable; annual availability/cycle obligations require document review</x:v>
      </x:c>
      <x:c r="AP4" t="str">
        <x:v>Not verified from accessible document text</x:v>
      </x:c>
      <x:c r="AQ4" t="str">
        <x:v>Not verified from accessible document text</x:v>
      </x:c>
      <x:c r="AR4" t="str">
        <x:v>Charging-source provision not verified from accessible document text</x:v>
      </x:c>
      <x:c r="AS4" t="str">
        <x:v>Not verified</x:v>
      </x:c>
      <x:c r="AT4" t="str">
        <x:v>Official RfS PDF was listed but could not be reliably fetched in this review</x:v>
      </x:c>
      <x:c r="AU4" t="str">
        <x:v>Merchant-use rights not verified</x:v>
      </x:c>
      <x:c r="AV4" t="str">
        <x:v>https://sjvn.nic.in/sites/default/files/2026-07/RfS%20BESS%202%20240726.pdf</x:v>
      </x:c>
      <x:c r="AW4" t="str">
        <x:v>Document-level review pending; no assumptions inserted</x:v>
      </x:c>
    </x:row>
    <x:row r="5">
      <x:c r="A5" s="37" t="str">
        <x:v>MSEDCL-BESS-2000</x:v>
      </x:c>
      <x:c r="B5" s="37" t="str">
        <x:v>Maharashtra</x:v>
      </x:c>
      <x:c r="C5" s="37" t="str">
        <x:v>MSEDCL</x:v>
      </x:c>
      <x:c r="D5" s="37" t="str">
        <x:v>Maharashtra</x:v>
      </x:c>
      <x:c r="E5" s="37" t="str">
        <x:v>RfS-2000MW-4000MWh-BESS-2026</x:v>
      </x:c>
      <x:c r="F5" s="37" t="str">
        <x:v>BESS</x:v>
      </x:c>
      <x:c r="G5" s="56" t="n">
        <x:v>2000</x:v>
      </x:c>
      <x:c r="H5" s="37" t="str">
        <x:v>Yes</x:v>
      </x:c>
      <x:c r="I5" s="56" t="n">
        <x:v>2</x:v>
      </x:c>
      <x:c r="J5" s="37" t="str">
        <x:v>Tariff-based competitive bidding</x:v>
      </x:c>
      <x:c r="K5" s="56"/>
      <x:c r="L5" s="37"/>
      <x:c r="M5" s="37" t="str">
        <x:v>As per RfS</x:v>
      </x:c>
      <x:c r="N5" s="105"/>
      <x:c r="O5" s="105"/>
      <x:c r="P5" s="105"/>
      <x:c r="Q5" s="105" t="str">
        <x:v>Corrigendum</x:v>
      </x:c>
      <x:c r="R5" s="105" t="n">
        <x:v>46236</x:v>
      </x:c>
      <x:c r="S5" s="37" t="n">
        <x:v>2</x:v>
      </x:c>
      <x:c r="T5" s="37" t="str">
        <x:v>https://www.mahadiscom.in/en/supplier/tenders/</x:v>
      </x:c>
      <x:c r="U5" s="37"/>
      <x:c r="V5" s="37" t="str">
        <x:v>Corrigendum-2 published 22-Jul-2026; deadline not visible on listing</x:v>
      </x:c>
      <x:c r="W5" s="70" t="str">
        <x:f>IF(N5="","",N5-TODAY())</x:f>
      </x:c>
      <x:c r="X5" t="str">
        <x:f>IF(W5="","",IF(W5&lt;0,"Expired",IF(W5&lt;=3,"Urgent",IF(W5&lt;=7,"Due in 7 Days","Normal"))))</x:f>
      </x:c>
      <x:c r="Y5" t="str">
        <x:f>IF(COUNTA(C5,E5)=0,"",UPPER(TRIM(C5&amp;"|"&amp;E5)))</x:f>
        <x:v>MSEDCL|RFS-2000MW-4000MWH-BESS-2026</x:v>
      </x:c>
      <x:c r="Z5" t="str">
        <x:f>IF(Y5="","",IF(COUNTIF($Y$2:$Y$501,Y5)&gt;1,"Duplicate","Unique"))</x:f>
        <x:v>Unique</x:v>
      </x:c>
      <x:c r="AA5" t="str">
        <x:f>IF(A5="","",C5&amp;"|"&amp;E5&amp;"|"&amp;TEXT(N5,"yyyymmdd")&amp;"|"&amp;Q5&amp;"|"&amp;S5&amp;"|"&amp;TEXT(AI5,"yyyymmdd"))</x:f>
        <x:v>MSEDCL|RfS-2000MW-4000MWh-BESS-2026||Corrigendum|2|20260722</x:v>
      </x:c>
      <x:c r="AB5" s="52" t="n">
        <x:v>46236</x:v>
      </x:c>
      <x:c r="AC5" s="52" t="str">
        <x:v>Official agency page</x:v>
      </x:c>
      <x:c r="AD5" s="52" t="str">
        <x:v>Partial</x:v>
      </x:c>
      <x:c r="AE5" s="52" t="n">
        <x:f>IF(A5="","",IF(AC5="Official agency page",3,IF(AC5="Official government portal",3,IF(AC5="Official tender document",4,1)))+IF(AD5="Core fields",2,1))</x:f>
        <x:v>4</x:v>
      </x:c>
      <x:c r="AF5" s="52" t="str">
        <x:f>IF(A5="","",IF(OR(Q5="Open",Q5="Extended"),"Current Opportunity",IF(Q5="Corrigendum","Needs Status Check",IF(Q5="Evaluation","Under Evaluation","Historical / Closed"))))</x:f>
        <x:v>Needs Status Check</x:v>
      </x:c>
      <x:c r="AG5" s="52" t="n">
        <x:v>46203</x:v>
      </x:c>
      <x:c r="AH5" s="52" t="str">
        <x:v>2026-07-07; 2026-07-22</x:v>
      </x:c>
      <x:c r="AI5" s="52" t="n">
        <x:v>46225</x:v>
      </x:c>
      <x:c r="AJ5" t="str">
        <x:v>Addendum-1 and Addendum-2 published 07-Jul-2026; Corrigendum-2 published 22-Jul-2026</x:v>
      </x:c>
      <x:c r="AK5" t="str">
        <x:v>Standalone BESS under tariff-based competitive bidding</x:v>
      </x:c>
      <x:c r="AL5" t="str">
        <x:v>Dispatch/charging schedule governed by RfS and BESPA</x:v>
      </x:c>
      <x:c r="AM5" t="str">
        <x:v>PLF is not applicable to standalone BESS; daily cycle and availability obligations require current 2026 RfS review</x:v>
      </x:c>
      <x:c r="AN5" t="str">
        <x:v>Monthly availability/payment condition not verified from accessible current document text</x:v>
      </x:c>
      <x:c r="AO5" t="str">
        <x:v>Annual PLF/CUF not applicable; annual availability requirement not verified</x:v>
      </x:c>
      <x:c r="AP5" t="str">
        <x:v>Not verified from accessible current 2026 document text</x:v>
      </x:c>
      <x:c r="AQ5" t="str">
        <x:v>Not verified from accessible current 2026 document text</x:v>
      </x:c>
      <x:c r="AR5" t="str">
        <x:v>Charging source and grid/exchange charging permission not verified</x:v>
      </x:c>
      <x:c r="AS5" t="str">
        <x:v>Not verified</x:v>
      </x:c>
      <x:c r="AT5" t="str">
        <x:v>Current 2026 tender and corrigenda are visible on MSEDCL, but detailed clauses require opening the RfS/corrigendum PDF</x:v>
      </x:c>
      <x:c r="AU5" t="str">
        <x:v>Merchant-use rights not verified</x:v>
      </x:c>
      <x:c r="AV5" t="str">
        <x:v>https://www.mahadiscom.in/en/supplier/tenders/</x:v>
      </x:c>
      <x:c r="AW5" t="str">
        <x:v>Tender confirmed; commercial clause extraction pending</x:v>
      </x:c>
    </x:row>
    <x:row r="6">
      <x:c r="A6" s="37"/>
      <x:c r="B6" s="37"/>
      <x:c r="C6" s="37"/>
      <x:c r="D6" s="37"/>
      <x:c r="E6" s="37"/>
      <x:c r="F6" s="37"/>
      <x:c r="G6" s="56"/>
      <x:c r="H6" s="37"/>
      <x:c r="I6" s="56"/>
      <x:c r="J6" s="37"/>
      <x:c r="K6" s="56"/>
      <x:c r="L6" s="37"/>
      <x:c r="M6" s="37"/>
      <x:c r="N6" s="105"/>
      <x:c r="O6" s="105"/>
      <x:c r="P6" s="105"/>
      <x:c r="Q6" s="105"/>
      <x:c r="R6" s="105"/>
      <x:c r="S6" s="37"/>
      <x:c r="T6" s="37"/>
      <x:c r="U6" s="37"/>
      <x:c r="V6" s="37"/>
      <x:c r="W6" s="70"/>
      <x:c r="X6"/>
      <x:c r="Y6"/>
      <x:c r="Z6"/>
      <x:c r="AA6"/>
      <x:c r="AB6" s="52"/>
      <x:c r="AC6"/>
      <x:c r="AD6"/>
      <x:c r="AE6"/>
      <x:c r="AF6"/>
      <x:c r="AG6" s="52"/>
      <x:c r="AH6" s="52"/>
      <x:c r="AI6" s="52"/>
      <x:c r="AJ6"/>
    </x:row>
    <x:row r="7">
      <x:c r="A7" s="37"/>
      <x:c r="B7" s="37"/>
      <x:c r="C7" s="37"/>
      <x:c r="D7" s="37"/>
      <x:c r="E7" s="37"/>
      <x:c r="F7" s="37"/>
      <x:c r="G7" s="56"/>
      <x:c r="H7" s="37"/>
      <x:c r="I7" s="56"/>
      <x:c r="J7" s="37"/>
      <x:c r="K7" s="56"/>
      <x:c r="L7" s="37"/>
      <x:c r="M7" s="37"/>
      <x:c r="N7" s="105"/>
      <x:c r="O7" s="105"/>
      <x:c r="P7" s="105"/>
      <x:c r="Q7" s="105"/>
      <x:c r="R7" s="105"/>
      <x:c r="S7" s="37"/>
      <x:c r="T7" s="37"/>
      <x:c r="U7" s="37"/>
      <x:c r="V7" s="37"/>
      <x:c r="W7" s="70"/>
      <x:c r="X7"/>
      <x:c r="Y7"/>
      <x:c r="Z7"/>
      <x:c r="AA7"/>
      <x:c r="AB7" s="52"/>
      <x:c r="AC7"/>
      <x:c r="AD7"/>
      <x:c r="AE7"/>
      <x:c r="AF7"/>
      <x:c r="AG7" s="52"/>
      <x:c r="AH7" s="52"/>
      <x:c r="AI7" s="52"/>
      <x:c r="AJ7"/>
    </x:row>
    <x:row r="8">
      <x:c r="A8" s="37"/>
      <x:c r="B8" s="37"/>
      <x:c r="C8" s="37"/>
      <x:c r="D8" s="37"/>
      <x:c r="E8" s="37"/>
      <x:c r="F8" s="37"/>
      <x:c r="G8" s="56"/>
      <x:c r="H8" s="37"/>
      <x:c r="I8" s="37"/>
      <x:c r="J8" s="37"/>
      <x:c r="K8" s="56"/>
      <x:c r="L8" s="37"/>
      <x:c r="M8" s="37"/>
      <x:c r="N8" s="105"/>
      <x:c r="O8" s="105"/>
      <x:c r="P8" s="105"/>
      <x:c r="Q8" s="105"/>
      <x:c r="R8" s="105"/>
      <x:c r="S8" s="37"/>
      <x:c r="T8" s="37"/>
      <x:c r="U8" s="37"/>
      <x:c r="V8" s="37"/>
      <x:c r="W8" s="70"/>
      <x:c r="X8"/>
      <x:c r="Y8"/>
      <x:c r="Z8"/>
      <x:c r="AA8"/>
      <x:c r="AB8" s="52"/>
      <x:c r="AC8"/>
      <x:c r="AD8"/>
      <x:c r="AE8"/>
      <x:c r="AF8"/>
      <x:c r="AG8" s="52"/>
      <x:c r="AH8" s="52"/>
      <x:c r="AI8" s="52"/>
      <x:c r="AJ8"/>
    </x:row>
    <x:row r="9">
      <x:c r="A9" s="37"/>
      <x:c r="B9" s="37"/>
      <x:c r="C9" s="37"/>
      <x:c r="D9" s="37"/>
      <x:c r="E9" s="37"/>
      <x:c r="F9" s="37"/>
      <x:c r="G9" s="56"/>
      <x:c r="H9" s="37"/>
      <x:c r="I9" s="37"/>
      <x:c r="J9" s="37"/>
      <x:c r="K9" s="56"/>
      <x:c r="L9" s="37"/>
      <x:c r="M9" s="37"/>
      <x:c r="N9" s="105"/>
      <x:c r="O9" s="105"/>
      <x:c r="P9" s="105"/>
      <x:c r="Q9" s="105"/>
      <x:c r="R9" s="105"/>
      <x:c r="S9" s="37"/>
      <x:c r="T9" s="37"/>
      <x:c r="U9" s="37"/>
      <x:c r="V9" s="37"/>
      <x:c r="W9" s="70"/>
      <x:c r="X9"/>
      <x:c r="Y9"/>
      <x:c r="Z9"/>
      <x:c r="AA9"/>
      <x:c r="AB9" s="52"/>
      <x:c r="AC9"/>
      <x:c r="AD9"/>
      <x:c r="AE9"/>
      <x:c r="AF9"/>
      <x:c r="AG9" s="52"/>
      <x:c r="AH9" s="52"/>
      <x:c r="AI9" s="52"/>
      <x:c r="AJ9"/>
    </x:row>
    <x:row r="10">
      <x:c r="A10" s="37"/>
      <x:c r="B10" s="37"/>
      <x:c r="C10" s="37"/>
      <x:c r="D10" s="37"/>
      <x:c r="E10" s="37"/>
      <x:c r="F10" s="37"/>
      <x:c r="G10" s="56"/>
      <x:c r="H10" s="37"/>
      <x:c r="I10" s="37"/>
      <x:c r="J10" s="37"/>
      <x:c r="K10" s="56"/>
      <x:c r="L10" s="37"/>
      <x:c r="M10" s="37"/>
      <x:c r="N10" s="105"/>
      <x:c r="O10" s="105"/>
      <x:c r="P10" s="105"/>
      <x:c r="Q10" s="105"/>
      <x:c r="R10" s="105"/>
      <x:c r="S10" s="37"/>
      <x:c r="T10" s="37"/>
      <x:c r="U10" s="37"/>
      <x:c r="V10" s="37"/>
      <x:c r="W10" s="70"/>
      <x:c r="X10"/>
      <x:c r="Y10"/>
      <x:c r="Z10"/>
      <x:c r="AA10"/>
      <x:c r="AB10" s="52"/>
      <x:c r="AC10"/>
      <x:c r="AD10"/>
      <x:c r="AE10"/>
      <x:c r="AF10"/>
    </x:row>
    <x:row r="11">
      <x:c r="A11" s="37"/>
      <x:c r="B11" s="37"/>
      <x:c r="C11" s="37"/>
      <x:c r="D11" s="37"/>
      <x:c r="E11" s="37"/>
      <x:c r="F11" s="37"/>
      <x:c r="G11" s="56"/>
      <x:c r="H11" s="37"/>
      <x:c r="I11" s="37"/>
      <x:c r="J11" s="37"/>
      <x:c r="K11" s="56"/>
      <x:c r="L11" s="37"/>
      <x:c r="M11" s="37"/>
      <x:c r="N11" s="105"/>
      <x:c r="O11" s="105"/>
      <x:c r="P11" s="105"/>
      <x:c r="Q11" s="105"/>
      <x:c r="R11" s="105"/>
      <x:c r="S11" s="37"/>
      <x:c r="T11" s="37"/>
      <x:c r="U11" s="37"/>
      <x:c r="V11" s="37"/>
      <x:c r="W11" s="70"/>
      <x:c r="X11"/>
      <x:c r="Y11"/>
      <x:c r="Z11"/>
      <x:c r="AA11"/>
      <x:c r="AB11" s="52"/>
      <x:c r="AC11"/>
      <x:c r="AD11"/>
      <x:c r="AE11"/>
      <x:c r="AF11"/>
    </x:row>
    <x:row r="12">
      <x:c r="A12" s="37"/>
      <x:c r="B12" s="37"/>
      <x:c r="C12" s="37"/>
      <x:c r="D12" s="37"/>
      <x:c r="E12" s="37"/>
      <x:c r="F12" s="37"/>
      <x:c r="G12" s="56"/>
      <x:c r="H12" s="37"/>
      <x:c r="I12" s="37"/>
      <x:c r="J12" s="37"/>
      <x:c r="K12" s="56"/>
      <x:c r="L12" s="37"/>
      <x:c r="M12" s="37"/>
      <x:c r="N12" s="105"/>
      <x:c r="O12" s="105"/>
      <x:c r="P12" s="105"/>
      <x:c r="Q12" s="105"/>
      <x:c r="R12" s="105"/>
      <x:c r="S12" s="37"/>
      <x:c r="T12" s="37"/>
      <x:c r="U12" s="37"/>
      <x:c r="V12" s="37"/>
      <x:c r="W12" s="70"/>
      <x:c r="X12"/>
      <x:c r="Y12"/>
      <x:c r="Z12"/>
      <x:c r="AA12"/>
      <x:c r="AB12" s="52"/>
      <x:c r="AC12"/>
      <x:c r="AD12"/>
      <x:c r="AE12"/>
      <x:c r="AF12"/>
    </x:row>
    <x:row r="13">
      <x:c r="A13" s="37"/>
      <x:c r="B13" s="37"/>
      <x:c r="C13" s="37"/>
      <x:c r="D13" s="37"/>
      <x:c r="E13" s="37"/>
      <x:c r="F13" s="37"/>
      <x:c r="G13" s="56"/>
      <x:c r="H13" s="37"/>
      <x:c r="I13" s="37"/>
      <x:c r="J13" s="37"/>
      <x:c r="K13" s="56"/>
      <x:c r="L13" s="37"/>
      <x:c r="M13" s="37"/>
      <x:c r="N13" s="105"/>
      <x:c r="O13" s="105"/>
      <x:c r="P13" s="105"/>
      <x:c r="Q13" s="105"/>
      <x:c r="R13" s="105"/>
      <x:c r="S13" s="37"/>
      <x:c r="T13" s="37"/>
      <x:c r="U13" s="37"/>
      <x:c r="V13" s="37"/>
      <x:c r="W13" s="70"/>
      <x:c r="X13"/>
      <x:c r="Y13"/>
      <x:c r="Z13"/>
      <x:c r="AA13"/>
      <x:c r="AB13" s="52"/>
      <x:c r="AC13"/>
      <x:c r="AD13"/>
      <x:c r="AE13"/>
      <x:c r="AF13"/>
    </x:row>
    <x:row r="14">
      <x:c r="A14" s="37"/>
      <x:c r="B14" s="37"/>
      <x:c r="C14" s="37"/>
      <x:c r="D14" s="37"/>
      <x:c r="E14" s="37"/>
      <x:c r="F14" s="37"/>
      <x:c r="G14" s="56"/>
      <x:c r="H14" s="37"/>
      <x:c r="I14" s="37"/>
      <x:c r="J14" s="37"/>
      <x:c r="K14" s="56"/>
      <x:c r="L14" s="37"/>
      <x:c r="M14" s="37"/>
      <x:c r="N14" s="105"/>
      <x:c r="O14" s="105"/>
      <x:c r="P14" s="105"/>
      <x:c r="Q14" s="105"/>
      <x:c r="R14" s="105"/>
      <x:c r="S14" s="37"/>
      <x:c r="T14" s="37"/>
      <x:c r="U14" s="37"/>
      <x:c r="V14" s="37"/>
      <x:c r="W14" s="70"/>
      <x:c r="X14"/>
      <x:c r="Y14"/>
      <x:c r="Z14"/>
      <x:c r="AA14"/>
      <x:c r="AB14" s="52"/>
      <x:c r="AC14"/>
      <x:c r="AD14"/>
      <x:c r="AE14"/>
      <x:c r="AF14"/>
    </x:row>
    <x:row r="15">
      <x:c r="A15" s="37"/>
      <x:c r="B15" s="37"/>
      <x:c r="C15" s="37"/>
      <x:c r="D15" s="37"/>
      <x:c r="E15" s="37"/>
      <x:c r="F15" s="37"/>
      <x:c r="G15" s="56"/>
      <x:c r="H15" s="37"/>
      <x:c r="I15" s="37"/>
      <x:c r="J15" s="37"/>
      <x:c r="K15" s="56"/>
      <x:c r="L15" s="37"/>
      <x:c r="M15" s="37"/>
      <x:c r="N15" s="105"/>
      <x:c r="O15" s="105"/>
      <x:c r="P15" s="105"/>
      <x:c r="Q15" s="105"/>
      <x:c r="R15" s="105"/>
      <x:c r="S15" s="37"/>
      <x:c r="T15" s="37"/>
      <x:c r="U15" s="37"/>
      <x:c r="V15" s="37"/>
      <x:c r="W15" s="70"/>
      <x:c r="X15"/>
      <x:c r="Y15"/>
      <x:c r="Z15"/>
      <x:c r="AA15"/>
      <x:c r="AB15" s="52"/>
      <x:c r="AC15"/>
      <x:c r="AD15"/>
      <x:c r="AE15"/>
      <x:c r="AF15"/>
    </x:row>
    <x:row r="16">
      <x:c r="A16" s="37"/>
      <x:c r="B16" s="37"/>
      <x:c r="C16" s="37"/>
      <x:c r="D16" s="37"/>
      <x:c r="E16" s="37"/>
      <x:c r="F16" s="37"/>
      <x:c r="G16" s="56"/>
      <x:c r="H16" s="37"/>
      <x:c r="I16" s="37"/>
      <x:c r="J16" s="37"/>
      <x:c r="K16" s="56"/>
      <x:c r="L16" s="37"/>
      <x:c r="M16" s="37"/>
      <x:c r="N16" s="105"/>
      <x:c r="O16" s="105"/>
      <x:c r="P16" s="105"/>
      <x:c r="Q16" s="105"/>
      <x:c r="R16" s="105"/>
      <x:c r="S16" s="37"/>
      <x:c r="T16" s="37"/>
      <x:c r="U16" s="37"/>
      <x:c r="V16" s="37"/>
      <x:c r="W16" s="70"/>
      <x:c r="X16"/>
      <x:c r="Y16"/>
      <x:c r="Z16"/>
      <x:c r="AA16"/>
      <x:c r="AB16" s="52"/>
      <x:c r="AC16"/>
      <x:c r="AD16"/>
      <x:c r="AE16"/>
      <x:c r="AF16"/>
    </x:row>
    <x:row r="17">
      <x:c r="A17" s="37"/>
      <x:c r="B17" s="37"/>
      <x:c r="C17" s="37"/>
      <x:c r="D17" s="37"/>
      <x:c r="E17" s="37"/>
      <x:c r="F17" s="37"/>
      <x:c r="G17" s="56"/>
      <x:c r="H17" s="37"/>
      <x:c r="I17" s="37"/>
      <x:c r="J17" s="37"/>
      <x:c r="K17" s="56"/>
      <x:c r="L17" s="37"/>
      <x:c r="M17" s="37"/>
      <x:c r="N17" s="105"/>
      <x:c r="O17" s="105"/>
      <x:c r="P17" s="105"/>
      <x:c r="Q17" s="105"/>
      <x:c r="R17" s="105"/>
      <x:c r="S17" s="37"/>
      <x:c r="T17" s="37"/>
      <x:c r="U17" s="37"/>
      <x:c r="V17" s="37"/>
      <x:c r="W17" s="70"/>
      <x:c r="X17"/>
      <x:c r="Y17"/>
      <x:c r="Z17"/>
      <x:c r="AA17"/>
      <x:c r="AB17" s="52"/>
      <x:c r="AC17"/>
      <x:c r="AD17"/>
      <x:c r="AE17"/>
      <x:c r="AF17"/>
    </x:row>
    <x:row r="18">
      <x:c r="A18" s="37"/>
      <x:c r="B18" s="37"/>
      <x:c r="C18" s="37"/>
      <x:c r="D18" s="37"/>
      <x:c r="E18" s="37"/>
      <x:c r="F18" s="37"/>
      <x:c r="G18" s="56"/>
      <x:c r="H18" s="37"/>
      <x:c r="I18" s="37"/>
      <x:c r="J18" s="37"/>
      <x:c r="K18" s="56"/>
      <x:c r="L18" s="37"/>
      <x:c r="M18" s="37"/>
      <x:c r="N18" s="105"/>
      <x:c r="O18" s="105"/>
      <x:c r="P18" s="105"/>
      <x:c r="Q18" s="105"/>
      <x:c r="R18" s="105"/>
      <x:c r="S18" s="37"/>
      <x:c r="T18" s="37"/>
      <x:c r="U18" s="37"/>
      <x:c r="V18" s="37"/>
      <x:c r="W18" s="70"/>
      <x:c r="X18"/>
      <x:c r="Y18"/>
      <x:c r="Z18"/>
      <x:c r="AA18"/>
      <x:c r="AB18" s="52"/>
      <x:c r="AC18"/>
      <x:c r="AD18"/>
      <x:c r="AE18"/>
      <x:c r="AF18"/>
    </x:row>
    <x:row r="19">
      <x:c r="A19" s="37"/>
      <x:c r="B19" s="37"/>
      <x:c r="C19" s="37"/>
      <x:c r="D19" s="37"/>
      <x:c r="E19" s="37"/>
      <x:c r="F19" s="37"/>
      <x:c r="G19" s="56"/>
      <x:c r="H19" s="37"/>
      <x:c r="I19" s="37"/>
      <x:c r="J19" s="37"/>
      <x:c r="K19" s="56"/>
      <x:c r="L19" s="37"/>
      <x:c r="M19" s="37"/>
      <x:c r="N19" s="105"/>
      <x:c r="O19" s="105"/>
      <x:c r="P19" s="105"/>
      <x:c r="Q19" s="105"/>
      <x:c r="R19" s="105"/>
      <x:c r="S19" s="37"/>
      <x:c r="T19" s="37"/>
      <x:c r="U19" s="37"/>
      <x:c r="V19" s="37"/>
      <x:c r="W19" s="70"/>
      <x:c r="X19"/>
      <x:c r="Y19"/>
      <x:c r="Z19"/>
      <x:c r="AA19"/>
      <x:c r="AB19" s="52"/>
      <x:c r="AC19"/>
      <x:c r="AD19"/>
      <x:c r="AE19"/>
      <x:c r="AF19"/>
    </x:row>
    <x:row r="20">
      <x:c r="A20" s="37"/>
      <x:c r="B20" s="37"/>
      <x:c r="C20" s="37"/>
      <x:c r="D20" s="37"/>
      <x:c r="E20" s="37"/>
      <x:c r="F20" s="37"/>
      <x:c r="G20" s="56"/>
      <x:c r="H20" s="37"/>
      <x:c r="I20" s="37"/>
      <x:c r="J20" s="37"/>
      <x:c r="K20" s="56"/>
      <x:c r="L20" s="37"/>
      <x:c r="M20" s="37"/>
      <x:c r="N20" s="105"/>
      <x:c r="O20" s="105"/>
      <x:c r="P20" s="105"/>
      <x:c r="Q20" s="105"/>
      <x:c r="R20" s="105"/>
      <x:c r="S20" s="37"/>
      <x:c r="T20" s="37"/>
      <x:c r="U20" s="37"/>
      <x:c r="V20" s="37"/>
      <x:c r="W20" s="70"/>
      <x:c r="X20"/>
      <x:c r="Y20"/>
      <x:c r="Z20"/>
      <x:c r="AA20"/>
      <x:c r="AB20" s="52"/>
      <x:c r="AC20"/>
      <x:c r="AD20"/>
      <x:c r="AE20"/>
      <x:c r="AF20"/>
    </x:row>
    <x:row r="21">
      <x:c r="A21" s="37"/>
      <x:c r="B21" s="37"/>
      <x:c r="C21" s="37"/>
      <x:c r="D21" s="37"/>
      <x:c r="E21" s="37"/>
      <x:c r="F21" s="37"/>
      <x:c r="G21" s="56"/>
      <x:c r="H21" s="37"/>
      <x:c r="I21" s="37"/>
      <x:c r="J21" s="37"/>
      <x:c r="K21" s="56"/>
      <x:c r="L21" s="37"/>
      <x:c r="M21" s="37"/>
      <x:c r="N21" s="105"/>
      <x:c r="O21" s="105"/>
      <x:c r="P21" s="105"/>
      <x:c r="Q21" s="105"/>
      <x:c r="R21" s="105"/>
      <x:c r="S21" s="37"/>
      <x:c r="T21" s="37"/>
      <x:c r="U21" s="37"/>
      <x:c r="V21" s="37"/>
      <x:c r="W21" s="70"/>
      <x:c r="X21"/>
      <x:c r="Y21"/>
      <x:c r="Z21"/>
      <x:c r="AA21"/>
      <x:c r="AB21" s="52"/>
      <x:c r="AC21"/>
      <x:c r="AD21"/>
      <x:c r="AE21"/>
      <x:c r="AF21"/>
    </x:row>
    <x:row r="22">
      <x:c r="A22" s="37"/>
      <x:c r="B22" s="37"/>
      <x:c r="C22" s="37"/>
      <x:c r="D22" s="37"/>
      <x:c r="E22" s="37"/>
      <x:c r="F22" s="37"/>
      <x:c r="G22" s="56"/>
      <x:c r="H22" s="37"/>
      <x:c r="I22" s="37"/>
      <x:c r="J22" s="37"/>
      <x:c r="K22" s="56"/>
      <x:c r="L22" s="37"/>
      <x:c r="M22" s="37"/>
      <x:c r="N22" s="105"/>
      <x:c r="O22" s="105"/>
      <x:c r="P22" s="105"/>
      <x:c r="Q22" s="105"/>
      <x:c r="R22" s="105"/>
      <x:c r="S22" s="37"/>
      <x:c r="T22" s="37"/>
      <x:c r="U22" s="37"/>
      <x:c r="V22" s="37"/>
      <x:c r="W22" s="70"/>
      <x:c r="X22"/>
      <x:c r="Y22"/>
      <x:c r="Z22"/>
      <x:c r="AA22"/>
      <x:c r="AB22" s="52"/>
      <x:c r="AC22"/>
      <x:c r="AD22"/>
      <x:c r="AE22"/>
      <x:c r="AF22"/>
    </x:row>
    <x:row r="23">
      <x:c r="A23" s="37"/>
      <x:c r="B23" s="37"/>
      <x:c r="C23" s="37"/>
      <x:c r="D23" s="37"/>
      <x:c r="E23" s="37"/>
      <x:c r="F23" s="37"/>
      <x:c r="G23" s="56"/>
      <x:c r="H23" s="37"/>
      <x:c r="I23" s="37"/>
      <x:c r="J23" s="37"/>
      <x:c r="K23" s="56"/>
      <x:c r="L23" s="37"/>
      <x:c r="M23" s="37"/>
      <x:c r="N23" s="105"/>
      <x:c r="O23" s="105"/>
      <x:c r="P23" s="105"/>
      <x:c r="Q23" s="105"/>
      <x:c r="R23" s="105"/>
      <x:c r="S23" s="37"/>
      <x:c r="T23" s="37"/>
      <x:c r="U23" s="37"/>
      <x:c r="V23" s="37"/>
      <x:c r="W23" s="70"/>
      <x:c r="X23"/>
      <x:c r="Y23"/>
      <x:c r="Z23"/>
      <x:c r="AA23"/>
      <x:c r="AB23" s="52"/>
      <x:c r="AC23"/>
      <x:c r="AD23"/>
      <x:c r="AE23"/>
      <x:c r="AF23"/>
    </x:row>
    <x:row r="24">
      <x:c r="A24" s="37"/>
      <x:c r="B24" s="37"/>
      <x:c r="C24" s="37"/>
      <x:c r="D24" s="37"/>
      <x:c r="E24" s="37"/>
      <x:c r="F24" s="37"/>
      <x:c r="G24" s="56"/>
      <x:c r="H24" s="37"/>
      <x:c r="I24" s="37"/>
      <x:c r="J24" s="37"/>
      <x:c r="K24" s="56"/>
      <x:c r="L24" s="37"/>
      <x:c r="M24" s="37"/>
      <x:c r="N24" s="105"/>
      <x:c r="O24" s="105"/>
      <x:c r="P24" s="105"/>
      <x:c r="Q24" s="105"/>
      <x:c r="R24" s="105"/>
      <x:c r="S24" s="37"/>
      <x:c r="T24" s="37"/>
      <x:c r="U24" s="37"/>
      <x:c r="V24" s="37"/>
      <x:c r="W24" s="70"/>
      <x:c r="X24"/>
      <x:c r="Y24"/>
      <x:c r="Z24"/>
      <x:c r="AA24"/>
      <x:c r="AB24" s="52"/>
      <x:c r="AC24"/>
      <x:c r="AD24"/>
      <x:c r="AE24"/>
      <x:c r="AF24"/>
    </x:row>
    <x:row r="25">
      <x:c r="A25" s="37"/>
      <x:c r="B25" s="37"/>
      <x:c r="C25" s="37"/>
      <x:c r="D25" s="37"/>
      <x:c r="E25" s="37"/>
      <x:c r="F25" s="37"/>
      <x:c r="G25" s="56"/>
      <x:c r="H25" s="37"/>
      <x:c r="I25" s="37"/>
      <x:c r="J25" s="37"/>
      <x:c r="K25" s="56"/>
      <x:c r="L25" s="37"/>
      <x:c r="M25" s="37"/>
      <x:c r="N25" s="105"/>
      <x:c r="O25" s="105"/>
      <x:c r="P25" s="105"/>
      <x:c r="Q25" s="105"/>
      <x:c r="R25" s="105"/>
      <x:c r="S25" s="37"/>
      <x:c r="T25" s="37"/>
      <x:c r="U25" s="37"/>
      <x:c r="V25" s="37"/>
      <x:c r="W25" s="70"/>
      <x:c r="X25"/>
      <x:c r="Y25"/>
      <x:c r="Z25"/>
      <x:c r="AA25"/>
      <x:c r="AB25" s="52"/>
      <x:c r="AC25"/>
      <x:c r="AD25"/>
      <x:c r="AE25"/>
      <x:c r="AF25"/>
    </x:row>
    <x:row r="26">
      <x:c r="A26" s="37"/>
      <x:c r="B26" s="37"/>
      <x:c r="C26" s="37"/>
      <x:c r="D26" s="37"/>
      <x:c r="E26" s="37"/>
      <x:c r="F26" s="37"/>
      <x:c r="G26" s="56"/>
      <x:c r="H26" s="37"/>
      <x:c r="I26" s="37"/>
      <x:c r="J26" s="37"/>
      <x:c r="K26" s="56"/>
      <x:c r="L26" s="37"/>
      <x:c r="M26" s="37"/>
      <x:c r="N26" s="105"/>
      <x:c r="O26" s="105"/>
      <x:c r="P26" s="105"/>
      <x:c r="Q26" s="105"/>
      <x:c r="R26" s="105"/>
      <x:c r="S26" s="37"/>
      <x:c r="T26" s="37"/>
      <x:c r="U26" s="37"/>
      <x:c r="V26" s="37"/>
      <x:c r="W26" s="70"/>
      <x:c r="X26"/>
      <x:c r="Y26"/>
      <x:c r="Z26"/>
      <x:c r="AA26"/>
      <x:c r="AB26" s="52"/>
      <x:c r="AC26"/>
      <x:c r="AD26"/>
      <x:c r="AE26"/>
      <x:c r="AF26"/>
    </x:row>
    <x:row r="27">
      <x:c r="A27" s="37"/>
      <x:c r="B27" s="37"/>
      <x:c r="C27" s="37"/>
      <x:c r="D27" s="37"/>
      <x:c r="E27" s="37"/>
      <x:c r="F27" s="37"/>
      <x:c r="G27" s="56"/>
      <x:c r="H27" s="37"/>
      <x:c r="I27" s="37"/>
      <x:c r="J27" s="37"/>
      <x:c r="K27" s="56"/>
      <x:c r="L27" s="37"/>
      <x:c r="M27" s="37"/>
      <x:c r="N27" s="105"/>
      <x:c r="O27" s="105"/>
      <x:c r="P27" s="105"/>
      <x:c r="Q27" s="105"/>
      <x:c r="R27" s="105"/>
      <x:c r="S27" s="37"/>
      <x:c r="T27" s="37"/>
      <x:c r="U27" s="37"/>
      <x:c r="V27" s="37"/>
      <x:c r="W27" s="70"/>
      <x:c r="X27"/>
      <x:c r="Y27"/>
      <x:c r="Z27"/>
      <x:c r="AA27"/>
      <x:c r="AB27" s="52"/>
      <x:c r="AC27"/>
      <x:c r="AD27"/>
      <x:c r="AE27"/>
      <x:c r="AF27"/>
    </x:row>
    <x:row r="28">
      <x:c r="A28" s="37"/>
      <x:c r="B28" s="37"/>
      <x:c r="C28" s="37"/>
      <x:c r="D28" s="37"/>
      <x:c r="E28" s="37"/>
      <x:c r="F28" s="37"/>
      <x:c r="G28" s="56"/>
      <x:c r="H28" s="37"/>
      <x:c r="I28" s="37"/>
      <x:c r="J28" s="37"/>
      <x:c r="K28" s="56"/>
      <x:c r="L28" s="37"/>
      <x:c r="M28" s="37"/>
      <x:c r="N28" s="57"/>
      <x:c r="O28" s="57"/>
      <x:c r="P28" s="57"/>
      <x:c r="Q28" s="57"/>
      <x:c r="R28" s="57"/>
      <x:c r="S28" s="37"/>
      <x:c r="T28" s="37"/>
      <x:c r="U28" s="37"/>
      <x:c r="V28" s="37"/>
      <x:c r="W28" s="70"/>
      <x:c r="X28"/>
      <x:c r="Y28"/>
      <x:c r="Z28"/>
      <x:c r="AA28"/>
    </x:row>
    <x:row r="29">
      <x:c r="A29" s="37"/>
      <x:c r="B29" s="37"/>
      <x:c r="C29" s="37"/>
      <x:c r="D29" s="37"/>
      <x:c r="E29" s="37"/>
      <x:c r="F29" s="37"/>
      <x:c r="G29" s="56"/>
      <x:c r="H29" s="37"/>
      <x:c r="I29" s="37"/>
      <x:c r="J29" s="37"/>
      <x:c r="K29" s="56"/>
      <x:c r="L29" s="37"/>
      <x:c r="M29" s="37"/>
      <x:c r="N29" s="57"/>
      <x:c r="O29" s="57"/>
      <x:c r="P29" s="57"/>
      <x:c r="Q29" s="57"/>
      <x:c r="R29" s="57"/>
      <x:c r="S29" s="37"/>
      <x:c r="T29" s="37"/>
      <x:c r="U29" s="37"/>
      <x:c r="V29" s="37"/>
      <x:c r="W29" s="70"/>
      <x:c r="X29"/>
      <x:c r="Y29"/>
      <x:c r="Z29"/>
      <x:c r="AA29"/>
    </x:row>
    <x:row r="30">
      <x:c r="A30" s="37"/>
      <x:c r="B30" s="37"/>
      <x:c r="C30" s="37"/>
      <x:c r="D30" s="37"/>
      <x:c r="E30" s="37"/>
      <x:c r="F30" s="37"/>
      <x:c r="G30" s="56"/>
      <x:c r="H30" s="37"/>
      <x:c r="I30" s="37"/>
      <x:c r="J30" s="37"/>
      <x:c r="K30" s="56"/>
      <x:c r="L30" s="37"/>
      <x:c r="M30" s="37"/>
      <x:c r="N30" s="57"/>
      <x:c r="O30" s="57"/>
      <x:c r="P30" s="57"/>
      <x:c r="Q30" s="57"/>
      <x:c r="R30" s="57"/>
      <x:c r="S30" s="37"/>
      <x:c r="T30" s="37"/>
      <x:c r="U30" s="37"/>
      <x:c r="V30" s="37"/>
      <x:c r="W30" s="70"/>
      <x:c r="X30"/>
      <x:c r="Y30"/>
      <x:c r="Z30"/>
      <x:c r="AA30"/>
    </x:row>
    <x:row r="31">
      <x:c r="A31" s="37"/>
      <x:c r="B31" s="37"/>
      <x:c r="C31" s="37"/>
      <x:c r="D31" s="37"/>
      <x:c r="E31" s="37"/>
      <x:c r="F31" s="37"/>
      <x:c r="G31" s="56"/>
      <x:c r="H31" s="37"/>
      <x:c r="I31" s="37"/>
      <x:c r="J31" s="37"/>
      <x:c r="K31" s="56"/>
      <x:c r="L31" s="37"/>
      <x:c r="M31" s="37"/>
      <x:c r="N31" s="57"/>
      <x:c r="O31" s="57"/>
      <x:c r="P31" s="57"/>
      <x:c r="Q31" s="57"/>
      <x:c r="R31" s="57"/>
      <x:c r="S31" s="37"/>
      <x:c r="T31" s="37"/>
      <x:c r="U31" s="37"/>
      <x:c r="V31" s="37"/>
      <x:c r="W31" s="70"/>
      <x:c r="X31"/>
      <x:c r="Y31"/>
      <x:c r="Z31"/>
      <x:c r="AA31"/>
    </x:row>
    <x:row r="32">
      <x:c r="A32" s="37"/>
      <x:c r="B32" s="37"/>
      <x:c r="C32" s="37"/>
      <x:c r="D32" s="37"/>
      <x:c r="E32" s="37"/>
      <x:c r="F32" s="37"/>
      <x:c r="G32" s="56"/>
      <x:c r="H32" s="37"/>
      <x:c r="I32" s="37"/>
      <x:c r="J32" s="37"/>
      <x:c r="K32" s="56"/>
      <x:c r="L32" s="37"/>
      <x:c r="M32" s="37"/>
      <x:c r="N32" s="57"/>
      <x:c r="O32" s="57"/>
      <x:c r="P32" s="57"/>
      <x:c r="Q32" s="57"/>
      <x:c r="R32" s="57"/>
      <x:c r="S32" s="37"/>
      <x:c r="T32" s="37"/>
      <x:c r="U32" s="37"/>
      <x:c r="V32" s="37"/>
      <x:c r="W32" s="70"/>
      <x:c r="X32"/>
      <x:c r="Y32"/>
      <x:c r="Z32"/>
      <x:c r="AA32"/>
    </x:row>
    <x:row r="33">
      <x:c r="A33" s="37"/>
      <x:c r="B33" s="37"/>
      <x:c r="C33" s="37"/>
      <x:c r="D33" s="37"/>
      <x:c r="E33" s="37"/>
      <x:c r="F33" s="37"/>
      <x:c r="G33" s="56"/>
      <x:c r="H33" s="37"/>
      <x:c r="I33" s="37"/>
      <x:c r="J33" s="37"/>
      <x:c r="K33" s="56"/>
      <x:c r="L33" s="37"/>
      <x:c r="M33" s="37"/>
      <x:c r="N33" s="57"/>
      <x:c r="O33" s="57"/>
      <x:c r="P33" s="57"/>
      <x:c r="Q33" s="57"/>
      <x:c r="R33" s="57"/>
      <x:c r="S33" s="37"/>
      <x:c r="T33" s="37"/>
      <x:c r="U33" s="37"/>
      <x:c r="V33" s="37"/>
      <x:c r="W33" s="70"/>
      <x:c r="X33"/>
      <x:c r="Y33"/>
      <x:c r="Z33"/>
      <x:c r="AA33"/>
    </x:row>
    <x:row r="34">
      <x:c r="A34" s="37"/>
      <x:c r="B34" s="37"/>
      <x:c r="C34" s="37"/>
      <x:c r="D34" s="37"/>
      <x:c r="E34" s="37"/>
      <x:c r="F34" s="37"/>
      <x:c r="G34" s="56"/>
      <x:c r="H34" s="37"/>
      <x:c r="I34" s="37"/>
      <x:c r="J34" s="37"/>
      <x:c r="K34" s="56"/>
      <x:c r="L34" s="37"/>
      <x:c r="M34" s="37"/>
      <x:c r="N34" s="57"/>
      <x:c r="O34" s="57"/>
      <x:c r="P34" s="57"/>
      <x:c r="Q34" s="57"/>
      <x:c r="R34" s="57"/>
      <x:c r="S34" s="37"/>
      <x:c r="T34" s="37"/>
      <x:c r="U34" s="37"/>
      <x:c r="V34" s="37"/>
      <x:c r="W34" s="70"/>
      <x:c r="X34"/>
      <x:c r="Y34"/>
      <x:c r="Z34"/>
      <x:c r="AA34"/>
    </x:row>
    <x:row r="35">
      <x:c r="A35" s="37"/>
      <x:c r="B35" s="37"/>
      <x:c r="C35" s="37"/>
      <x:c r="D35" s="37"/>
      <x:c r="E35" s="37"/>
      <x:c r="F35" s="37"/>
      <x:c r="G35" s="56"/>
      <x:c r="H35" s="37"/>
      <x:c r="I35" s="37"/>
      <x:c r="J35" s="37"/>
      <x:c r="K35" s="56"/>
      <x:c r="L35" s="37"/>
      <x:c r="M35" s="37"/>
      <x:c r="N35" s="57"/>
      <x:c r="O35" s="57"/>
      <x:c r="P35" s="57"/>
      <x:c r="Q35" s="57"/>
      <x:c r="R35" s="57"/>
      <x:c r="S35" s="37"/>
      <x:c r="T35" s="37"/>
      <x:c r="U35" s="37"/>
      <x:c r="V35" s="37"/>
      <x:c r="W35" s="70"/>
      <x:c r="X35"/>
      <x:c r="Y35"/>
      <x:c r="Z35"/>
      <x:c r="AA35"/>
    </x:row>
    <x:row r="36">
      <x:c r="A36" s="37"/>
      <x:c r="B36" s="37"/>
      <x:c r="C36" s="37"/>
      <x:c r="D36" s="37"/>
      <x:c r="E36" s="37"/>
      <x:c r="F36" s="37"/>
      <x:c r="G36" s="56"/>
      <x:c r="H36" s="37"/>
      <x:c r="I36" s="37"/>
      <x:c r="J36" s="37"/>
      <x:c r="K36" s="56"/>
      <x:c r="L36" s="37"/>
      <x:c r="M36" s="37"/>
      <x:c r="N36" s="57"/>
      <x:c r="O36" s="57"/>
      <x:c r="P36" s="57"/>
      <x:c r="Q36" s="57"/>
      <x:c r="R36" s="57"/>
      <x:c r="S36" s="37"/>
      <x:c r="T36" s="37"/>
      <x:c r="U36" s="37"/>
      <x:c r="V36" s="37"/>
      <x:c r="W36" s="70"/>
      <x:c r="X36"/>
      <x:c r="Y36"/>
      <x:c r="Z36"/>
      <x:c r="AA36"/>
    </x:row>
    <x:row r="37">
      <x:c r="A37" s="37"/>
      <x:c r="B37" s="37"/>
      <x:c r="C37" s="37"/>
      <x:c r="D37" s="37"/>
      <x:c r="E37" s="37"/>
      <x:c r="F37" s="37"/>
      <x:c r="G37" s="56"/>
      <x:c r="H37" s="37"/>
      <x:c r="I37" s="37"/>
      <x:c r="J37" s="37"/>
      <x:c r="K37" s="56"/>
      <x:c r="L37" s="37"/>
      <x:c r="M37" s="37"/>
      <x:c r="N37" s="57"/>
      <x:c r="O37" s="57"/>
      <x:c r="P37" s="57"/>
      <x:c r="Q37" s="57"/>
      <x:c r="R37" s="57"/>
      <x:c r="S37" s="37"/>
      <x:c r="T37" s="37"/>
      <x:c r="U37" s="37"/>
      <x:c r="V37" s="37"/>
      <x:c r="W37" s="70"/>
      <x:c r="X37"/>
      <x:c r="Y37"/>
      <x:c r="Z37"/>
      <x:c r="AA37"/>
    </x:row>
    <x:row r="38">
      <x:c r="A38" s="37"/>
      <x:c r="B38" s="37"/>
      <x:c r="C38" s="37"/>
      <x:c r="D38" s="37"/>
      <x:c r="E38" s="37"/>
      <x:c r="F38" s="37"/>
      <x:c r="G38" s="56"/>
      <x:c r="H38" s="37"/>
      <x:c r="I38" s="37"/>
      <x:c r="J38" s="37"/>
      <x:c r="K38" s="56"/>
      <x:c r="L38" s="37"/>
      <x:c r="M38" s="37"/>
      <x:c r="N38" s="57"/>
      <x:c r="O38" s="57"/>
      <x:c r="P38" s="57"/>
      <x:c r="Q38" s="57"/>
      <x:c r="R38" s="57"/>
      <x:c r="S38" s="37"/>
      <x:c r="T38" s="37"/>
      <x:c r="U38" s="37"/>
      <x:c r="V38" s="37"/>
      <x:c r="W38" s="70"/>
      <x:c r="X38"/>
      <x:c r="Y38"/>
      <x:c r="Z38"/>
      <x:c r="AA38"/>
    </x:row>
    <x:row r="39">
      <x:c r="A39" s="37"/>
      <x:c r="B39" s="37"/>
      <x:c r="C39" s="37"/>
      <x:c r="D39" s="37"/>
      <x:c r="E39" s="37"/>
      <x:c r="F39" s="37"/>
      <x:c r="G39" s="56"/>
      <x:c r="H39" s="37"/>
      <x:c r="I39" s="37"/>
      <x:c r="J39" s="37"/>
      <x:c r="K39" s="56"/>
      <x:c r="L39" s="37"/>
      <x:c r="M39" s="37"/>
      <x:c r="N39" s="57"/>
      <x:c r="O39" s="57"/>
      <x:c r="P39" s="57"/>
      <x:c r="Q39" s="57"/>
      <x:c r="R39" s="57"/>
      <x:c r="S39" s="37"/>
      <x:c r="T39" s="37"/>
      <x:c r="U39" s="37"/>
      <x:c r="V39" s="37"/>
      <x:c r="W39" s="70"/>
      <x:c r="X39"/>
      <x:c r="Y39"/>
      <x:c r="Z39"/>
      <x:c r="AA39"/>
    </x:row>
    <x:row r="40">
      <x:c r="A40" s="37"/>
      <x:c r="B40" s="37"/>
      <x:c r="C40" s="37"/>
      <x:c r="D40" s="37"/>
      <x:c r="E40" s="37"/>
      <x:c r="F40" s="37"/>
      <x:c r="G40" s="56"/>
      <x:c r="H40" s="37"/>
      <x:c r="I40" s="37"/>
      <x:c r="J40" s="37"/>
      <x:c r="K40" s="56"/>
      <x:c r="L40" s="37"/>
      <x:c r="M40" s="37"/>
      <x:c r="N40" s="57"/>
      <x:c r="O40" s="57"/>
      <x:c r="P40" s="57"/>
      <x:c r="Q40" s="57"/>
      <x:c r="R40" s="57"/>
      <x:c r="S40" s="37"/>
      <x:c r="T40" s="37"/>
      <x:c r="U40" s="37"/>
      <x:c r="V40" s="37"/>
      <x:c r="W40" s="70"/>
      <x:c r="X40"/>
      <x:c r="Y40"/>
      <x:c r="Z40"/>
      <x:c r="AA40"/>
    </x:row>
    <x:row r="41">
      <x:c r="A41" s="37"/>
      <x:c r="B41" s="37"/>
      <x:c r="C41" s="37"/>
      <x:c r="D41" s="37"/>
      <x:c r="E41" s="37"/>
      <x:c r="F41" s="37"/>
      <x:c r="G41" s="56"/>
      <x:c r="H41" s="37"/>
      <x:c r="I41" s="37"/>
      <x:c r="J41" s="37"/>
      <x:c r="K41" s="56"/>
      <x:c r="L41" s="37"/>
      <x:c r="M41" s="37"/>
      <x:c r="N41" s="57"/>
      <x:c r="O41" s="57"/>
      <x:c r="P41" s="57"/>
      <x:c r="Q41" s="57"/>
      <x:c r="R41" s="57"/>
      <x:c r="S41" s="37"/>
      <x:c r="T41" s="37"/>
      <x:c r="U41" s="37"/>
      <x:c r="V41" s="37"/>
      <x:c r="W41" s="70"/>
      <x:c r="X41"/>
      <x:c r="Y41"/>
      <x:c r="Z41"/>
      <x:c r="AA41"/>
    </x:row>
    <x:row r="42">
      <x:c r="A42" s="37"/>
      <x:c r="B42" s="37"/>
      <x:c r="C42" s="37"/>
      <x:c r="D42" s="37"/>
      <x:c r="E42" s="37"/>
      <x:c r="F42" s="37"/>
      <x:c r="G42" s="56"/>
      <x:c r="H42" s="37"/>
      <x:c r="I42" s="37"/>
      <x:c r="J42" s="37"/>
      <x:c r="K42" s="56"/>
      <x:c r="L42" s="37"/>
      <x:c r="M42" s="37"/>
      <x:c r="N42" s="57"/>
      <x:c r="O42" s="57"/>
      <x:c r="P42" s="57"/>
      <x:c r="Q42" s="57"/>
      <x:c r="R42" s="57"/>
      <x:c r="S42" s="37"/>
      <x:c r="T42" s="37"/>
      <x:c r="U42" s="37"/>
      <x:c r="V42" s="37"/>
      <x:c r="W42" s="70"/>
      <x:c r="X42"/>
      <x:c r="Y42"/>
      <x:c r="Z42"/>
      <x:c r="AA42"/>
    </x:row>
    <x:row r="43">
      <x:c r="A43" s="37"/>
      <x:c r="B43" s="37"/>
      <x:c r="C43" s="37"/>
      <x:c r="D43" s="37"/>
      <x:c r="E43" s="37"/>
      <x:c r="F43" s="37"/>
      <x:c r="G43" s="56"/>
      <x:c r="H43" s="37"/>
      <x:c r="I43" s="37"/>
      <x:c r="J43" s="37"/>
      <x:c r="K43" s="56"/>
      <x:c r="L43" s="37"/>
      <x:c r="M43" s="37"/>
      <x:c r="N43" s="57"/>
      <x:c r="O43" s="57"/>
      <x:c r="P43" s="57"/>
      <x:c r="Q43" s="57"/>
      <x:c r="R43" s="57"/>
      <x:c r="S43" s="37"/>
      <x:c r="T43" s="37"/>
      <x:c r="U43" s="37"/>
      <x:c r="V43" s="37"/>
      <x:c r="W43" s="70"/>
      <x:c r="X43"/>
      <x:c r="Y43"/>
      <x:c r="Z43"/>
      <x:c r="AA43"/>
    </x:row>
    <x:row r="44">
      <x:c r="A44" s="37"/>
      <x:c r="B44" s="37"/>
      <x:c r="C44" s="37"/>
      <x:c r="D44" s="37"/>
      <x:c r="E44" s="37"/>
      <x:c r="F44" s="37"/>
      <x:c r="G44" s="56"/>
      <x:c r="H44" s="37"/>
      <x:c r="I44" s="37"/>
      <x:c r="J44" s="37"/>
      <x:c r="K44" s="56"/>
      <x:c r="L44" s="37"/>
      <x:c r="M44" s="37"/>
      <x:c r="N44" s="57"/>
      <x:c r="O44" s="57"/>
      <x:c r="P44" s="57"/>
      <x:c r="Q44" s="57"/>
      <x:c r="R44" s="57"/>
      <x:c r="S44" s="37"/>
      <x:c r="T44" s="37"/>
      <x:c r="U44" s="37"/>
      <x:c r="V44" s="37"/>
      <x:c r="W44" s="70"/>
      <x:c r="X44"/>
      <x:c r="Y44"/>
      <x:c r="Z44"/>
      <x:c r="AA44"/>
    </x:row>
    <x:row r="45">
      <x:c r="A45" s="37"/>
      <x:c r="B45" s="37"/>
      <x:c r="C45" s="37"/>
      <x:c r="D45" s="37"/>
      <x:c r="E45" s="37"/>
      <x:c r="F45" s="37"/>
      <x:c r="G45" s="56"/>
      <x:c r="H45" s="37"/>
      <x:c r="I45" s="37"/>
      <x:c r="J45" s="37"/>
      <x:c r="K45" s="56"/>
      <x:c r="L45" s="37"/>
      <x:c r="M45" s="37"/>
      <x:c r="N45" s="57"/>
      <x:c r="O45" s="57"/>
      <x:c r="P45" s="57"/>
      <x:c r="Q45" s="57"/>
      <x:c r="R45" s="57"/>
      <x:c r="S45" s="37"/>
      <x:c r="T45" s="37"/>
      <x:c r="U45" s="37"/>
      <x:c r="V45" s="37"/>
      <x:c r="W45" s="70"/>
      <x:c r="X45"/>
      <x:c r="Y45"/>
      <x:c r="Z45"/>
      <x:c r="AA45"/>
    </x:row>
    <x:row r="46">
      <x:c r="A46" s="37"/>
      <x:c r="B46" s="37"/>
      <x:c r="C46" s="37"/>
      <x:c r="D46" s="37"/>
      <x:c r="E46" s="37"/>
      <x:c r="F46" s="37"/>
      <x:c r="G46" s="56"/>
      <x:c r="H46" s="37"/>
      <x:c r="I46" s="37"/>
      <x:c r="J46" s="37"/>
      <x:c r="K46" s="56"/>
      <x:c r="L46" s="37"/>
      <x:c r="M46" s="37"/>
      <x:c r="N46" s="57"/>
      <x:c r="O46" s="57"/>
      <x:c r="P46" s="57"/>
      <x:c r="Q46" s="57"/>
      <x:c r="R46" s="57"/>
      <x:c r="S46" s="37"/>
      <x:c r="T46" s="37"/>
      <x:c r="U46" s="37"/>
      <x:c r="V46" s="37"/>
      <x:c r="W46" s="70"/>
      <x:c r="X46"/>
      <x:c r="Y46"/>
      <x:c r="Z46"/>
      <x:c r="AA46"/>
    </x:row>
    <x:row r="47">
      <x:c r="A47" s="37"/>
      <x:c r="B47" s="37"/>
      <x:c r="C47" s="37"/>
      <x:c r="D47" s="37"/>
      <x:c r="E47" s="37"/>
      <x:c r="F47" s="37"/>
      <x:c r="G47" s="56"/>
      <x:c r="H47" s="37"/>
      <x:c r="I47" s="37"/>
      <x:c r="J47" s="37"/>
      <x:c r="K47" s="56"/>
      <x:c r="L47" s="37"/>
      <x:c r="M47" s="37"/>
      <x:c r="N47" s="57"/>
      <x:c r="O47" s="57"/>
      <x:c r="P47" s="57"/>
      <x:c r="Q47" s="57"/>
      <x:c r="R47" s="57"/>
      <x:c r="S47" s="37"/>
      <x:c r="T47" s="37"/>
      <x:c r="U47" s="37"/>
      <x:c r="V47" s="37"/>
      <x:c r="W47" s="70"/>
      <x:c r="X47"/>
      <x:c r="Y47"/>
      <x:c r="Z47"/>
      <x:c r="AA47"/>
    </x:row>
    <x:row r="48">
      <x:c r="A48" s="37"/>
      <x:c r="B48" s="37"/>
      <x:c r="C48" s="37"/>
      <x:c r="D48" s="37"/>
      <x:c r="E48" s="37"/>
      <x:c r="F48" s="37"/>
      <x:c r="G48" s="56"/>
      <x:c r="H48" s="37"/>
      <x:c r="I48" s="37"/>
      <x:c r="J48" s="37"/>
      <x:c r="K48" s="56"/>
      <x:c r="L48" s="37"/>
      <x:c r="M48" s="37"/>
      <x:c r="N48" s="57"/>
      <x:c r="O48" s="57"/>
      <x:c r="P48" s="57"/>
      <x:c r="Q48" s="57"/>
      <x:c r="R48" s="57"/>
      <x:c r="S48" s="37"/>
      <x:c r="T48" s="37"/>
      <x:c r="U48" s="37"/>
      <x:c r="V48" s="37"/>
      <x:c r="W48" s="70"/>
      <x:c r="X48"/>
      <x:c r="Y48"/>
      <x:c r="Z48"/>
      <x:c r="AA48"/>
    </x:row>
    <x:row r="49">
      <x:c r="A49" s="37"/>
      <x:c r="B49" s="37"/>
      <x:c r="C49" s="37"/>
      <x:c r="D49" s="37"/>
      <x:c r="E49" s="37"/>
      <x:c r="F49" s="37"/>
      <x:c r="G49" s="56"/>
      <x:c r="H49" s="37"/>
      <x:c r="I49" s="37"/>
      <x:c r="J49" s="37"/>
      <x:c r="K49" s="56"/>
      <x:c r="L49" s="37"/>
      <x:c r="M49" s="37"/>
      <x:c r="N49" s="57"/>
      <x:c r="O49" s="57"/>
      <x:c r="P49" s="57"/>
      <x:c r="Q49" s="57"/>
      <x:c r="R49" s="57"/>
      <x:c r="S49" s="37"/>
      <x:c r="T49" s="37"/>
      <x:c r="U49" s="37"/>
      <x:c r="V49" s="37"/>
      <x:c r="W49" s="70"/>
      <x:c r="X49"/>
      <x:c r="Y49"/>
      <x:c r="Z49"/>
      <x:c r="AA49"/>
    </x:row>
    <x:row r="50">
      <x:c r="A50" s="37"/>
      <x:c r="B50" s="37"/>
      <x:c r="C50" s="37"/>
      <x:c r="D50" s="37"/>
      <x:c r="E50" s="37"/>
      <x:c r="F50" s="37"/>
      <x:c r="G50" s="56"/>
      <x:c r="H50" s="37"/>
      <x:c r="I50" s="37"/>
      <x:c r="J50" s="37"/>
      <x:c r="K50" s="56"/>
      <x:c r="L50" s="37"/>
      <x:c r="M50" s="37"/>
      <x:c r="N50" s="57"/>
      <x:c r="O50" s="57"/>
      <x:c r="P50" s="57"/>
      <x:c r="Q50" s="57"/>
      <x:c r="R50" s="57"/>
      <x:c r="S50" s="37"/>
      <x:c r="T50" s="37"/>
      <x:c r="U50" s="37"/>
      <x:c r="V50" s="37"/>
      <x:c r="W50" s="70"/>
      <x:c r="X50"/>
      <x:c r="Y50"/>
      <x:c r="Z50"/>
      <x:c r="AA50"/>
    </x:row>
    <x:row r="51">
      <x:c r="A51" s="37"/>
      <x:c r="B51" s="37"/>
      <x:c r="C51" s="37"/>
      <x:c r="D51" s="37"/>
      <x:c r="E51" s="37"/>
      <x:c r="F51" s="37"/>
      <x:c r="G51" s="56"/>
      <x:c r="H51" s="37"/>
      <x:c r="I51" s="37"/>
      <x:c r="J51" s="37"/>
      <x:c r="K51" s="56"/>
      <x:c r="L51" s="37"/>
      <x:c r="M51" s="37"/>
      <x:c r="N51" s="57"/>
      <x:c r="O51" s="57"/>
      <x:c r="P51" s="57"/>
      <x:c r="Q51" s="57"/>
      <x:c r="R51" s="57"/>
      <x:c r="S51" s="37"/>
      <x:c r="T51" s="37"/>
      <x:c r="U51" s="37"/>
      <x:c r="V51" s="37"/>
      <x:c r="W51" s="70"/>
      <x:c r="X51"/>
      <x:c r="Y51"/>
      <x:c r="Z51"/>
      <x:c r="AA51"/>
    </x:row>
    <x:row r="52">
      <x:c r="A52" s="37"/>
      <x:c r="B52" s="37"/>
      <x:c r="C52" s="37"/>
      <x:c r="D52" s="37"/>
      <x:c r="E52" s="37"/>
      <x:c r="F52" s="37"/>
      <x:c r="G52" s="56"/>
      <x:c r="H52" s="37"/>
      <x:c r="I52" s="37"/>
      <x:c r="J52" s="37"/>
      <x:c r="K52" s="56"/>
      <x:c r="L52" s="37"/>
      <x:c r="M52" s="37"/>
      <x:c r="N52" s="57"/>
      <x:c r="O52" s="57"/>
      <x:c r="P52" s="57"/>
      <x:c r="Q52" s="57"/>
      <x:c r="R52" s="57"/>
      <x:c r="S52" s="37"/>
      <x:c r="T52" s="37"/>
      <x:c r="U52" s="37"/>
      <x:c r="V52" s="37"/>
      <x:c r="W52" s="70"/>
      <x:c r="X52"/>
      <x:c r="Y52"/>
      <x:c r="Z52"/>
      <x:c r="AA52"/>
    </x:row>
    <x:row r="53">
      <x:c r="A53" s="37"/>
      <x:c r="B53" s="37"/>
      <x:c r="C53" s="37"/>
      <x:c r="D53" s="37"/>
      <x:c r="E53" s="37"/>
      <x:c r="F53" s="37"/>
      <x:c r="G53" s="56"/>
      <x:c r="H53" s="37"/>
      <x:c r="I53" s="37"/>
      <x:c r="J53" s="37"/>
      <x:c r="K53" s="56"/>
      <x:c r="L53" s="37"/>
      <x:c r="M53" s="37"/>
      <x:c r="N53" s="57"/>
      <x:c r="O53" s="57"/>
      <x:c r="P53" s="57"/>
      <x:c r="Q53" s="57"/>
      <x:c r="R53" s="57"/>
      <x:c r="S53" s="37"/>
      <x:c r="T53" s="37"/>
      <x:c r="U53" s="37"/>
      <x:c r="V53" s="37"/>
      <x:c r="W53" s="70"/>
      <x:c r="X53"/>
      <x:c r="Y53"/>
      <x:c r="Z53"/>
      <x:c r="AA53"/>
    </x:row>
    <x:row r="54">
      <x:c r="A54" s="37"/>
      <x:c r="B54" s="37"/>
      <x:c r="C54" s="37"/>
      <x:c r="D54" s="37"/>
      <x:c r="E54" s="37"/>
      <x:c r="F54" s="37"/>
      <x:c r="G54" s="56"/>
      <x:c r="H54" s="37"/>
      <x:c r="I54" s="37"/>
      <x:c r="J54" s="37"/>
      <x:c r="K54" s="56"/>
      <x:c r="L54" s="37"/>
      <x:c r="M54" s="37"/>
      <x:c r="N54" s="57"/>
      <x:c r="O54" s="57"/>
      <x:c r="P54" s="57"/>
      <x:c r="Q54" s="57"/>
      <x:c r="R54" s="57"/>
      <x:c r="S54" s="37"/>
      <x:c r="T54" s="37"/>
      <x:c r="U54" s="37"/>
      <x:c r="V54" s="37"/>
      <x:c r="W54" s="70"/>
      <x:c r="X54"/>
      <x:c r="Y54"/>
      <x:c r="Z54"/>
      <x:c r="AA54"/>
    </x:row>
    <x:row r="55">
      <x:c r="A55" s="37"/>
      <x:c r="B55" s="37"/>
      <x:c r="C55" s="37"/>
      <x:c r="D55" s="37"/>
      <x:c r="E55" s="37"/>
      <x:c r="F55" s="37"/>
      <x:c r="G55" s="56"/>
      <x:c r="H55" s="37"/>
      <x:c r="I55" s="37"/>
      <x:c r="J55" s="37"/>
      <x:c r="K55" s="56"/>
      <x:c r="L55" s="37"/>
      <x:c r="M55" s="37"/>
      <x:c r="N55" s="57"/>
      <x:c r="O55" s="57"/>
      <x:c r="P55" s="57"/>
      <x:c r="Q55" s="57"/>
      <x:c r="R55" s="57"/>
      <x:c r="S55" s="37"/>
      <x:c r="T55" s="37"/>
      <x:c r="U55" s="37"/>
      <x:c r="V55" s="37"/>
      <x:c r="W55" s="70"/>
      <x:c r="X55"/>
      <x:c r="Y55"/>
      <x:c r="Z55"/>
      <x:c r="AA55"/>
    </x:row>
    <x:row r="56">
      <x:c r="A56" s="37"/>
      <x:c r="B56" s="37"/>
      <x:c r="C56" s="37"/>
      <x:c r="D56" s="37"/>
      <x:c r="E56" s="37"/>
      <x:c r="F56" s="37"/>
      <x:c r="G56" s="56"/>
      <x:c r="H56" s="37"/>
      <x:c r="I56" s="37"/>
      <x:c r="J56" s="37"/>
      <x:c r="K56" s="56"/>
      <x:c r="L56" s="37"/>
      <x:c r="M56" s="37"/>
      <x:c r="N56" s="57"/>
      <x:c r="O56" s="57"/>
      <x:c r="P56" s="57"/>
      <x:c r="Q56" s="57"/>
      <x:c r="R56" s="57"/>
      <x:c r="S56" s="37"/>
      <x:c r="T56" s="37"/>
      <x:c r="U56" s="37"/>
      <x:c r="V56" s="37"/>
      <x:c r="W56" s="70"/>
      <x:c r="X56"/>
      <x:c r="Y56"/>
      <x:c r="Z56"/>
      <x:c r="AA56"/>
    </x:row>
    <x:row r="57">
      <x:c r="A57" s="37"/>
      <x:c r="B57" s="37"/>
      <x:c r="C57" s="37"/>
      <x:c r="D57" s="37"/>
      <x:c r="E57" s="37"/>
      <x:c r="F57" s="37"/>
      <x:c r="G57" s="56"/>
      <x:c r="H57" s="37"/>
      <x:c r="I57" s="37"/>
      <x:c r="J57" s="37"/>
      <x:c r="K57" s="56"/>
      <x:c r="L57" s="37"/>
      <x:c r="M57" s="37"/>
      <x:c r="N57" s="57"/>
      <x:c r="O57" s="57"/>
      <x:c r="P57" s="57"/>
      <x:c r="Q57" s="57"/>
      <x:c r="R57" s="57"/>
      <x:c r="S57" s="37"/>
      <x:c r="T57" s="37"/>
      <x:c r="U57" s="37"/>
      <x:c r="V57" s="37"/>
      <x:c r="W57" s="70"/>
      <x:c r="X57"/>
      <x:c r="Y57"/>
      <x:c r="Z57"/>
      <x:c r="AA57"/>
    </x:row>
    <x:row r="58">
      <x:c r="A58" s="37"/>
      <x:c r="B58" s="37"/>
      <x:c r="C58" s="37"/>
      <x:c r="D58" s="37"/>
      <x:c r="E58" s="37"/>
      <x:c r="F58" s="37"/>
      <x:c r="G58" s="56"/>
      <x:c r="H58" s="37"/>
      <x:c r="I58" s="37"/>
      <x:c r="J58" s="37"/>
      <x:c r="K58" s="56"/>
      <x:c r="L58" s="37"/>
      <x:c r="M58" s="37"/>
      <x:c r="N58" s="57"/>
      <x:c r="O58" s="57"/>
      <x:c r="P58" s="57"/>
      <x:c r="Q58" s="57"/>
      <x:c r="R58" s="57"/>
      <x:c r="S58" s="37"/>
      <x:c r="T58" s="37"/>
      <x:c r="U58" s="37"/>
      <x:c r="V58" s="37"/>
      <x:c r="W58" s="70"/>
      <x:c r="X58"/>
      <x:c r="Y58"/>
      <x:c r="Z58"/>
      <x:c r="AA58"/>
    </x:row>
    <x:row r="59">
      <x:c r="A59" s="37"/>
      <x:c r="B59" s="37"/>
      <x:c r="C59" s="37"/>
      <x:c r="D59" s="37"/>
      <x:c r="E59" s="37"/>
      <x:c r="F59" s="37"/>
      <x:c r="G59" s="56"/>
      <x:c r="H59" s="37"/>
      <x:c r="I59" s="37"/>
      <x:c r="J59" s="37"/>
      <x:c r="K59" s="56"/>
      <x:c r="L59" s="37"/>
      <x:c r="M59" s="37"/>
      <x:c r="N59" s="57"/>
      <x:c r="O59" s="57"/>
      <x:c r="P59" s="57"/>
      <x:c r="Q59" s="57"/>
      <x:c r="R59" s="57"/>
      <x:c r="S59" s="37"/>
      <x:c r="T59" s="37"/>
      <x:c r="U59" s="37"/>
      <x:c r="V59" s="37"/>
      <x:c r="W59" s="70"/>
      <x:c r="X59"/>
      <x:c r="Y59"/>
      <x:c r="Z59"/>
      <x:c r="AA59"/>
    </x:row>
    <x:row r="60">
      <x:c r="A60" s="37"/>
      <x:c r="B60" s="37"/>
      <x:c r="C60" s="37"/>
      <x:c r="D60" s="37"/>
      <x:c r="E60" s="37"/>
      <x:c r="F60" s="37"/>
      <x:c r="G60" s="56"/>
      <x:c r="H60" s="37"/>
      <x:c r="I60" s="37"/>
      <x:c r="J60" s="37"/>
      <x:c r="K60" s="56"/>
      <x:c r="L60" s="37"/>
      <x:c r="M60" s="37"/>
      <x:c r="N60" s="57"/>
      <x:c r="O60" s="57"/>
      <x:c r="P60" s="57"/>
      <x:c r="Q60" s="57"/>
      <x:c r="R60" s="57"/>
      <x:c r="S60" s="37"/>
      <x:c r="T60" s="37"/>
      <x:c r="U60" s="37"/>
      <x:c r="V60" s="37"/>
      <x:c r="W60" s="70"/>
      <x:c r="X60"/>
      <x:c r="Y60"/>
      <x:c r="Z60"/>
      <x:c r="AA60"/>
    </x:row>
    <x:row r="61">
      <x:c r="A61" s="37"/>
      <x:c r="B61" s="37"/>
      <x:c r="C61" s="37"/>
      <x:c r="D61" s="37"/>
      <x:c r="E61" s="37"/>
      <x:c r="F61" s="37"/>
      <x:c r="G61" s="56"/>
      <x:c r="H61" s="37"/>
      <x:c r="I61" s="37"/>
      <x:c r="J61" s="37"/>
      <x:c r="K61" s="56"/>
      <x:c r="L61" s="37"/>
      <x:c r="M61" s="37"/>
      <x:c r="N61" s="57"/>
      <x:c r="O61" s="57"/>
      <x:c r="P61" s="57"/>
      <x:c r="Q61" s="57"/>
      <x:c r="R61" s="57"/>
      <x:c r="S61" s="37"/>
      <x:c r="T61" s="37"/>
      <x:c r="U61" s="37"/>
      <x:c r="V61" s="37"/>
      <x:c r="W61" s="70"/>
      <x:c r="X61"/>
      <x:c r="Y61"/>
      <x:c r="Z61"/>
      <x:c r="AA61"/>
    </x:row>
    <x:row r="62">
      <x:c r="A62" s="37"/>
      <x:c r="B62" s="37"/>
      <x:c r="C62" s="37"/>
      <x:c r="D62" s="37"/>
      <x:c r="E62" s="37"/>
      <x:c r="F62" s="37"/>
      <x:c r="G62" s="56"/>
      <x:c r="H62" s="37"/>
      <x:c r="I62" s="37"/>
      <x:c r="J62" s="37"/>
      <x:c r="K62" s="56"/>
      <x:c r="L62" s="37"/>
      <x:c r="M62" s="37"/>
      <x:c r="N62" s="57"/>
      <x:c r="O62" s="57"/>
      <x:c r="P62" s="57"/>
      <x:c r="Q62" s="57"/>
      <x:c r="R62" s="57"/>
      <x:c r="S62" s="37"/>
      <x:c r="T62" s="37"/>
      <x:c r="U62" s="37"/>
      <x:c r="V62" s="37"/>
      <x:c r="W62" s="70"/>
      <x:c r="X62"/>
      <x:c r="Y62"/>
      <x:c r="Z62"/>
      <x:c r="AA62"/>
    </x:row>
    <x:row r="63">
      <x:c r="A63" s="37"/>
      <x:c r="B63" s="37"/>
      <x:c r="C63" s="37"/>
      <x:c r="D63" s="37"/>
      <x:c r="E63" s="37"/>
      <x:c r="F63" s="37"/>
      <x:c r="G63" s="56"/>
      <x:c r="H63" s="37"/>
      <x:c r="I63" s="37"/>
      <x:c r="J63" s="37"/>
      <x:c r="K63" s="56"/>
      <x:c r="L63" s="37"/>
      <x:c r="M63" s="37"/>
      <x:c r="N63" s="57"/>
      <x:c r="O63" s="57"/>
      <x:c r="P63" s="57"/>
      <x:c r="Q63" s="57"/>
      <x:c r="R63" s="57"/>
      <x:c r="S63" s="37"/>
      <x:c r="T63" s="37"/>
      <x:c r="U63" s="37"/>
      <x:c r="V63" s="37"/>
      <x:c r="W63" s="70"/>
      <x:c r="X63"/>
      <x:c r="Y63"/>
      <x:c r="Z63"/>
      <x:c r="AA63"/>
    </x:row>
    <x:row r="64">
      <x:c r="A64" s="37"/>
      <x:c r="B64" s="37"/>
      <x:c r="C64" s="37"/>
      <x:c r="D64" s="37"/>
      <x:c r="E64" s="37"/>
      <x:c r="F64" s="37"/>
      <x:c r="G64" s="56"/>
      <x:c r="H64" s="37"/>
      <x:c r="I64" s="37"/>
      <x:c r="J64" s="37"/>
      <x:c r="K64" s="56"/>
      <x:c r="L64" s="37"/>
      <x:c r="M64" s="37"/>
      <x:c r="N64" s="57"/>
      <x:c r="O64" s="57"/>
      <x:c r="P64" s="57"/>
      <x:c r="Q64" s="57"/>
      <x:c r="R64" s="57"/>
      <x:c r="S64" s="37"/>
      <x:c r="T64" s="37"/>
      <x:c r="U64" s="37"/>
      <x:c r="V64" s="37"/>
      <x:c r="W64" s="70"/>
      <x:c r="X64"/>
      <x:c r="Y64"/>
      <x:c r="Z64"/>
      <x:c r="AA64"/>
    </x:row>
    <x:row r="65">
      <x:c r="A65" s="37"/>
      <x:c r="B65" s="37"/>
      <x:c r="C65" s="37"/>
      <x:c r="D65" s="37"/>
      <x:c r="E65" s="37"/>
      <x:c r="F65" s="37"/>
      <x:c r="G65" s="56"/>
      <x:c r="H65" s="37"/>
      <x:c r="I65" s="37"/>
      <x:c r="J65" s="37"/>
      <x:c r="K65" s="56"/>
      <x:c r="L65" s="37"/>
      <x:c r="M65" s="37"/>
      <x:c r="N65" s="57"/>
      <x:c r="O65" s="57"/>
      <x:c r="P65" s="57"/>
      <x:c r="Q65" s="57"/>
      <x:c r="R65" s="57"/>
      <x:c r="S65" s="37"/>
      <x:c r="T65" s="37"/>
      <x:c r="U65" s="37"/>
      <x:c r="V65" s="37"/>
      <x:c r="W65" s="70"/>
      <x:c r="X65"/>
      <x:c r="Y65"/>
      <x:c r="Z65"/>
      <x:c r="AA65"/>
    </x:row>
    <x:row r="66">
      <x:c r="A66" s="37"/>
      <x:c r="B66" s="37"/>
      <x:c r="C66" s="37"/>
      <x:c r="D66" s="37"/>
      <x:c r="E66" s="37"/>
      <x:c r="F66" s="37"/>
      <x:c r="G66" s="56"/>
      <x:c r="H66" s="37"/>
      <x:c r="I66" s="37"/>
      <x:c r="J66" s="37"/>
      <x:c r="K66" s="56"/>
      <x:c r="L66" s="37"/>
      <x:c r="M66" s="37"/>
      <x:c r="N66" s="57"/>
      <x:c r="O66" s="57"/>
      <x:c r="P66" s="57"/>
      <x:c r="Q66" s="57"/>
      <x:c r="R66" s="57"/>
      <x:c r="S66" s="37"/>
      <x:c r="T66" s="37"/>
      <x:c r="U66" s="37"/>
      <x:c r="V66" s="37"/>
      <x:c r="W66" s="70"/>
      <x:c r="X66"/>
      <x:c r="Y66"/>
      <x:c r="Z66"/>
      <x:c r="AA66"/>
    </x:row>
    <x:row r="67">
      <x:c r="A67" s="37"/>
      <x:c r="B67" s="37"/>
      <x:c r="C67" s="37"/>
      <x:c r="D67" s="37"/>
      <x:c r="E67" s="37"/>
      <x:c r="F67" s="37"/>
      <x:c r="G67" s="56"/>
      <x:c r="H67" s="37"/>
      <x:c r="I67" s="37"/>
      <x:c r="J67" s="37"/>
      <x:c r="K67" s="56"/>
      <x:c r="L67" s="37"/>
      <x:c r="M67" s="37"/>
      <x:c r="N67" s="57"/>
      <x:c r="O67" s="57"/>
      <x:c r="P67" s="57"/>
      <x:c r="Q67" s="57"/>
      <x:c r="R67" s="57"/>
      <x:c r="S67" s="37"/>
      <x:c r="T67" s="37"/>
      <x:c r="U67" s="37"/>
      <x:c r="V67" s="37"/>
      <x:c r="W67" s="70"/>
      <x:c r="X67"/>
      <x:c r="Y67"/>
      <x:c r="Z67"/>
      <x:c r="AA67"/>
    </x:row>
    <x:row r="68">
      <x:c r="A68" s="37"/>
      <x:c r="B68" s="37"/>
      <x:c r="C68" s="37"/>
      <x:c r="D68" s="37"/>
      <x:c r="E68" s="37"/>
      <x:c r="F68" s="37"/>
      <x:c r="G68" s="56"/>
      <x:c r="H68" s="37"/>
      <x:c r="I68" s="37"/>
      <x:c r="J68" s="37"/>
      <x:c r="K68" s="56"/>
      <x:c r="L68" s="37"/>
      <x:c r="M68" s="37"/>
      <x:c r="N68" s="57"/>
      <x:c r="O68" s="57"/>
      <x:c r="P68" s="57"/>
      <x:c r="Q68" s="57"/>
      <x:c r="R68" s="57"/>
      <x:c r="S68" s="37"/>
      <x:c r="T68" s="37"/>
      <x:c r="U68" s="37"/>
      <x:c r="V68" s="37"/>
      <x:c r="W68" s="70"/>
      <x:c r="X68"/>
      <x:c r="Y68"/>
      <x:c r="Z68"/>
      <x:c r="AA68"/>
    </x:row>
    <x:row r="69">
      <x:c r="A69" s="37"/>
      <x:c r="B69" s="37"/>
      <x:c r="C69" s="37"/>
      <x:c r="D69" s="37"/>
      <x:c r="E69" s="37"/>
      <x:c r="F69" s="37"/>
      <x:c r="G69" s="56"/>
      <x:c r="H69" s="37"/>
      <x:c r="I69" s="37"/>
      <x:c r="J69" s="37"/>
      <x:c r="K69" s="56"/>
      <x:c r="L69" s="37"/>
      <x:c r="M69" s="37"/>
      <x:c r="N69" s="57"/>
      <x:c r="O69" s="57"/>
      <x:c r="P69" s="57"/>
      <x:c r="Q69" s="57"/>
      <x:c r="R69" s="57"/>
      <x:c r="S69" s="37"/>
      <x:c r="T69" s="37"/>
      <x:c r="U69" s="37"/>
      <x:c r="V69" s="37"/>
      <x:c r="W69" s="70"/>
      <x:c r="X69"/>
      <x:c r="Y69"/>
      <x:c r="Z69"/>
      <x:c r="AA69"/>
    </x:row>
    <x:row r="70">
      <x:c r="A70" s="37"/>
      <x:c r="B70" s="37"/>
      <x:c r="C70" s="37"/>
      <x:c r="D70" s="37"/>
      <x:c r="E70" s="37"/>
      <x:c r="F70" s="37"/>
      <x:c r="G70" s="56"/>
      <x:c r="H70" s="37"/>
      <x:c r="I70" s="37"/>
      <x:c r="J70" s="37"/>
      <x:c r="K70" s="56"/>
      <x:c r="L70" s="37"/>
      <x:c r="M70" s="37"/>
      <x:c r="N70" s="57"/>
      <x:c r="O70" s="57"/>
      <x:c r="P70" s="57"/>
      <x:c r="Q70" s="57"/>
      <x:c r="R70" s="57"/>
      <x:c r="S70" s="37"/>
      <x:c r="T70" s="37"/>
      <x:c r="U70" s="37"/>
      <x:c r="V70" s="37"/>
      <x:c r="W70" s="70"/>
      <x:c r="X70"/>
      <x:c r="Y70"/>
      <x:c r="Z70"/>
      <x:c r="AA70"/>
    </x:row>
    <x:row r="71">
      <x:c r="A71" s="37"/>
      <x:c r="B71" s="37"/>
      <x:c r="C71" s="37"/>
      <x:c r="D71" s="37"/>
      <x:c r="E71" s="37"/>
      <x:c r="F71" s="37"/>
      <x:c r="G71" s="56"/>
      <x:c r="H71" s="37"/>
      <x:c r="I71" s="37"/>
      <x:c r="J71" s="37"/>
      <x:c r="K71" s="56"/>
      <x:c r="L71" s="37"/>
      <x:c r="M71" s="37"/>
      <x:c r="N71" s="57"/>
      <x:c r="O71" s="57"/>
      <x:c r="P71" s="57"/>
      <x:c r="Q71" s="57"/>
      <x:c r="R71" s="57"/>
      <x:c r="S71" s="37"/>
      <x:c r="T71" s="37"/>
      <x:c r="U71" s="37"/>
      <x:c r="V71" s="37"/>
      <x:c r="W71" s="70"/>
      <x:c r="X71"/>
      <x:c r="Y71"/>
      <x:c r="Z71"/>
      <x:c r="AA71"/>
    </x:row>
    <x:row r="72">
      <x:c r="A72" s="37"/>
      <x:c r="B72" s="37"/>
      <x:c r="C72" s="37"/>
      <x:c r="D72" s="37"/>
      <x:c r="E72" s="37"/>
      <x:c r="F72" s="37"/>
      <x:c r="G72" s="56"/>
      <x:c r="H72" s="37"/>
      <x:c r="I72" s="37"/>
      <x:c r="J72" s="37"/>
      <x:c r="K72" s="56"/>
      <x:c r="L72" s="37"/>
      <x:c r="M72" s="37"/>
      <x:c r="N72" s="57"/>
      <x:c r="O72" s="57"/>
      <x:c r="P72" s="57"/>
      <x:c r="Q72" s="57"/>
      <x:c r="R72" s="57"/>
      <x:c r="S72" s="37"/>
      <x:c r="T72" s="37"/>
      <x:c r="U72" s="37"/>
      <x:c r="V72" s="37"/>
      <x:c r="W72" s="70"/>
      <x:c r="X72"/>
      <x:c r="Y72"/>
      <x:c r="Z72"/>
      <x:c r="AA72"/>
    </x:row>
    <x:row r="73">
      <x:c r="A73" s="37"/>
      <x:c r="B73" s="37"/>
      <x:c r="C73" s="37"/>
      <x:c r="D73" s="37"/>
      <x:c r="E73" s="37"/>
      <x:c r="F73" s="37"/>
      <x:c r="G73" s="56"/>
      <x:c r="H73" s="37"/>
      <x:c r="I73" s="37"/>
      <x:c r="J73" s="37"/>
      <x:c r="K73" s="56"/>
      <x:c r="L73" s="37"/>
      <x:c r="M73" s="37"/>
      <x:c r="N73" s="57"/>
      <x:c r="O73" s="57"/>
      <x:c r="P73" s="57"/>
      <x:c r="Q73" s="57"/>
      <x:c r="R73" s="57"/>
      <x:c r="S73" s="37"/>
      <x:c r="T73" s="37"/>
      <x:c r="U73" s="37"/>
      <x:c r="V73" s="37"/>
      <x:c r="W73" s="70"/>
      <x:c r="X73"/>
      <x:c r="Y73"/>
      <x:c r="Z73"/>
      <x:c r="AA73"/>
    </x:row>
    <x:row r="74">
      <x:c r="A74" s="37"/>
      <x:c r="B74" s="37"/>
      <x:c r="C74" s="37"/>
      <x:c r="D74" s="37"/>
      <x:c r="E74" s="37"/>
      <x:c r="F74" s="37"/>
      <x:c r="G74" s="56"/>
      <x:c r="H74" s="37"/>
      <x:c r="I74" s="37"/>
      <x:c r="J74" s="37"/>
      <x:c r="K74" s="56"/>
      <x:c r="L74" s="37"/>
      <x:c r="M74" s="37"/>
      <x:c r="N74" s="57"/>
      <x:c r="O74" s="57"/>
      <x:c r="P74" s="57"/>
      <x:c r="Q74" s="57"/>
      <x:c r="R74" s="57"/>
      <x:c r="S74" s="37"/>
      <x:c r="T74" s="37"/>
      <x:c r="U74" s="37"/>
      <x:c r="V74" s="37"/>
      <x:c r="W74" s="70"/>
      <x:c r="X74"/>
      <x:c r="Y74"/>
      <x:c r="Z74"/>
      <x:c r="AA74"/>
    </x:row>
    <x:row r="75">
      <x:c r="A75" s="37"/>
      <x:c r="B75" s="37"/>
      <x:c r="C75" s="37"/>
      <x:c r="D75" s="37"/>
      <x:c r="E75" s="37"/>
      <x:c r="F75" s="37"/>
      <x:c r="G75" s="56"/>
      <x:c r="H75" s="37"/>
      <x:c r="I75" s="37"/>
      <x:c r="J75" s="37"/>
      <x:c r="K75" s="56"/>
      <x:c r="L75" s="37"/>
      <x:c r="M75" s="37"/>
      <x:c r="N75" s="57"/>
      <x:c r="O75" s="57"/>
      <x:c r="P75" s="57"/>
      <x:c r="Q75" s="57"/>
      <x:c r="R75" s="57"/>
      <x:c r="S75" s="37"/>
      <x:c r="T75" s="37"/>
      <x:c r="U75" s="37"/>
      <x:c r="V75" s="37"/>
      <x:c r="W75" s="70"/>
      <x:c r="X75"/>
      <x:c r="Y75"/>
      <x:c r="Z75"/>
      <x:c r="AA75"/>
    </x:row>
    <x:row r="76">
      <x:c r="A76" s="37"/>
      <x:c r="B76" s="37"/>
      <x:c r="C76" s="37"/>
      <x:c r="D76" s="37"/>
      <x:c r="E76" s="37"/>
      <x:c r="F76" s="37"/>
      <x:c r="G76" s="56"/>
      <x:c r="H76" s="37"/>
      <x:c r="I76" s="37"/>
      <x:c r="J76" s="37"/>
      <x:c r="K76" s="56"/>
      <x:c r="L76" s="37"/>
      <x:c r="M76" s="37"/>
      <x:c r="N76" s="57"/>
      <x:c r="O76" s="57"/>
      <x:c r="P76" s="57"/>
      <x:c r="Q76" s="57"/>
      <x:c r="R76" s="57"/>
      <x:c r="S76" s="37"/>
      <x:c r="T76" s="37"/>
      <x:c r="U76" s="37"/>
      <x:c r="V76" s="37"/>
      <x:c r="W76" s="70"/>
      <x:c r="X76"/>
      <x:c r="Y76"/>
      <x:c r="Z76"/>
      <x:c r="AA76"/>
    </x:row>
    <x:row r="77">
      <x:c r="A77" s="37"/>
      <x:c r="B77" s="37"/>
      <x:c r="C77" s="37"/>
      <x:c r="D77" s="37"/>
      <x:c r="E77" s="37"/>
      <x:c r="F77" s="37"/>
      <x:c r="G77" s="56"/>
      <x:c r="H77" s="37"/>
      <x:c r="I77" s="37"/>
      <x:c r="J77" s="37"/>
      <x:c r="K77" s="56"/>
      <x:c r="L77" s="37"/>
      <x:c r="M77" s="37"/>
      <x:c r="N77" s="57"/>
      <x:c r="O77" s="57"/>
      <x:c r="P77" s="57"/>
      <x:c r="Q77" s="57"/>
      <x:c r="R77" s="57"/>
      <x:c r="S77" s="37"/>
      <x:c r="T77" s="37"/>
      <x:c r="U77" s="37"/>
      <x:c r="V77" s="37"/>
      <x:c r="W77" s="70"/>
      <x:c r="X77"/>
      <x:c r="Y77"/>
      <x:c r="Z77"/>
      <x:c r="AA77"/>
    </x:row>
    <x:row r="78">
      <x:c r="A78" s="37"/>
      <x:c r="B78" s="37"/>
      <x:c r="C78" s="37"/>
      <x:c r="D78" s="37"/>
      <x:c r="E78" s="37"/>
      <x:c r="F78" s="37"/>
      <x:c r="G78" s="56"/>
      <x:c r="H78" s="37"/>
      <x:c r="I78" s="37"/>
      <x:c r="J78" s="37"/>
      <x:c r="K78" s="56"/>
      <x:c r="L78" s="37"/>
      <x:c r="M78" s="37"/>
      <x:c r="N78" s="57"/>
      <x:c r="O78" s="57"/>
      <x:c r="P78" s="57"/>
      <x:c r="Q78" s="57"/>
      <x:c r="R78" s="57"/>
      <x:c r="S78" s="37"/>
      <x:c r="T78" s="37"/>
      <x:c r="U78" s="37"/>
      <x:c r="V78" s="37"/>
      <x:c r="W78" s="70"/>
      <x:c r="X78"/>
      <x:c r="Y78"/>
      <x:c r="Z78"/>
      <x:c r="AA78"/>
    </x:row>
    <x:row r="79">
      <x:c r="A79" s="37"/>
      <x:c r="B79" s="37"/>
      <x:c r="C79" s="37"/>
      <x:c r="D79" s="37"/>
      <x:c r="E79" s="37"/>
      <x:c r="F79" s="37"/>
      <x:c r="G79" s="56"/>
      <x:c r="H79" s="37"/>
      <x:c r="I79" s="37"/>
      <x:c r="J79" s="37"/>
      <x:c r="K79" s="56"/>
      <x:c r="L79" s="37"/>
      <x:c r="M79" s="37"/>
      <x:c r="N79" s="57"/>
      <x:c r="O79" s="57"/>
      <x:c r="P79" s="57"/>
      <x:c r="Q79" s="57"/>
      <x:c r="R79" s="57"/>
      <x:c r="S79" s="37"/>
      <x:c r="T79" s="37"/>
      <x:c r="U79" s="37"/>
      <x:c r="V79" s="37"/>
      <x:c r="W79" s="70"/>
      <x:c r="X79"/>
      <x:c r="Y79"/>
      <x:c r="Z79"/>
      <x:c r="AA79"/>
    </x:row>
    <x:row r="80">
      <x:c r="A80" s="37"/>
      <x:c r="B80" s="37"/>
      <x:c r="C80" s="37"/>
      <x:c r="D80" s="37"/>
      <x:c r="E80" s="37"/>
      <x:c r="F80" s="37"/>
      <x:c r="G80" s="56"/>
      <x:c r="H80" s="37"/>
      <x:c r="I80" s="37"/>
      <x:c r="J80" s="37"/>
      <x:c r="K80" s="56"/>
      <x:c r="L80" s="37"/>
      <x:c r="M80" s="37"/>
      <x:c r="N80" s="57"/>
      <x:c r="O80" s="57"/>
      <x:c r="P80" s="57"/>
      <x:c r="Q80" s="57"/>
      <x:c r="R80" s="57"/>
      <x:c r="S80" s="37"/>
      <x:c r="T80" s="37"/>
      <x:c r="U80" s="37"/>
      <x:c r="V80" s="37"/>
      <x:c r="W80" s="70"/>
      <x:c r="X80"/>
      <x:c r="Y80"/>
      <x:c r="Z80"/>
      <x:c r="AA80"/>
    </x:row>
    <x:row r="81">
      <x:c r="A81" s="37"/>
      <x:c r="B81" s="37"/>
      <x:c r="C81" s="37"/>
      <x:c r="D81" s="37"/>
      <x:c r="E81" s="37"/>
      <x:c r="F81" s="37"/>
      <x:c r="G81" s="56"/>
      <x:c r="H81" s="37"/>
      <x:c r="I81" s="37"/>
      <x:c r="J81" s="37"/>
      <x:c r="K81" s="56"/>
      <x:c r="L81" s="37"/>
      <x:c r="M81" s="37"/>
      <x:c r="N81" s="57"/>
      <x:c r="O81" s="57"/>
      <x:c r="P81" s="57"/>
      <x:c r="Q81" s="57"/>
      <x:c r="R81" s="57"/>
      <x:c r="S81" s="37"/>
      <x:c r="T81" s="37"/>
      <x:c r="U81" s="37"/>
      <x:c r="V81" s="37"/>
      <x:c r="W81" s="70"/>
      <x:c r="X81"/>
      <x:c r="Y81"/>
      <x:c r="Z81"/>
      <x:c r="AA81"/>
    </x:row>
    <x:row r="82">
      <x:c r="A82" s="37"/>
      <x:c r="B82" s="37"/>
      <x:c r="C82" s="37"/>
      <x:c r="D82" s="37"/>
      <x:c r="E82" s="37"/>
      <x:c r="F82" s="37"/>
      <x:c r="G82" s="56"/>
      <x:c r="H82" s="37"/>
      <x:c r="I82" s="37"/>
      <x:c r="J82" s="37"/>
      <x:c r="K82" s="56"/>
      <x:c r="L82" s="37"/>
      <x:c r="M82" s="37"/>
      <x:c r="N82" s="57"/>
      <x:c r="O82" s="57"/>
      <x:c r="P82" s="57"/>
      <x:c r="Q82" s="57"/>
      <x:c r="R82" s="57"/>
      <x:c r="S82" s="37"/>
      <x:c r="T82" s="37"/>
      <x:c r="U82" s="37"/>
      <x:c r="V82" s="37"/>
      <x:c r="W82" s="70"/>
      <x:c r="X82"/>
      <x:c r="Y82"/>
      <x:c r="Z82"/>
      <x:c r="AA82"/>
    </x:row>
    <x:row r="83">
      <x:c r="A83" s="37"/>
      <x:c r="B83" s="37"/>
      <x:c r="C83" s="37"/>
      <x:c r="D83" s="37"/>
      <x:c r="E83" s="37"/>
      <x:c r="F83" s="37"/>
      <x:c r="G83" s="56"/>
      <x:c r="H83" s="37"/>
      <x:c r="I83" s="37"/>
      <x:c r="J83" s="37"/>
      <x:c r="K83" s="56"/>
      <x:c r="L83" s="37"/>
      <x:c r="M83" s="37"/>
      <x:c r="N83" s="57"/>
      <x:c r="O83" s="57"/>
      <x:c r="P83" s="57"/>
      <x:c r="Q83" s="57"/>
      <x:c r="R83" s="57"/>
      <x:c r="S83" s="37"/>
      <x:c r="T83" s="37"/>
      <x:c r="U83" s="37"/>
      <x:c r="V83" s="37"/>
      <x:c r="W83" s="70"/>
      <x:c r="X83"/>
      <x:c r="Y83"/>
      <x:c r="Z83"/>
      <x:c r="AA83"/>
    </x:row>
    <x:row r="84">
      <x:c r="A84" s="37"/>
      <x:c r="B84" s="37"/>
      <x:c r="C84" s="37"/>
      <x:c r="D84" s="37"/>
      <x:c r="E84" s="37"/>
      <x:c r="F84" s="37"/>
      <x:c r="G84" s="56"/>
      <x:c r="H84" s="37"/>
      <x:c r="I84" s="37"/>
      <x:c r="J84" s="37"/>
      <x:c r="K84" s="56"/>
      <x:c r="L84" s="37"/>
      <x:c r="M84" s="37"/>
      <x:c r="N84" s="57"/>
      <x:c r="O84" s="57"/>
      <x:c r="P84" s="57"/>
      <x:c r="Q84" s="57"/>
      <x:c r="R84" s="57"/>
      <x:c r="S84" s="37"/>
      <x:c r="T84" s="37"/>
      <x:c r="U84" s="37"/>
      <x:c r="V84" s="37"/>
      <x:c r="W84" s="70"/>
      <x:c r="X84"/>
      <x:c r="Y84"/>
      <x:c r="Z84"/>
      <x:c r="AA84"/>
    </x:row>
    <x:row r="85">
      <x:c r="A85" s="37"/>
      <x:c r="B85" s="37"/>
      <x:c r="C85" s="37"/>
      <x:c r="D85" s="37"/>
      <x:c r="E85" s="37"/>
      <x:c r="F85" s="37"/>
      <x:c r="G85" s="56"/>
      <x:c r="H85" s="37"/>
      <x:c r="I85" s="37"/>
      <x:c r="J85" s="37"/>
      <x:c r="K85" s="56"/>
      <x:c r="L85" s="37"/>
      <x:c r="M85" s="37"/>
      <x:c r="N85" s="57"/>
      <x:c r="O85" s="57"/>
      <x:c r="P85" s="57"/>
      <x:c r="Q85" s="57"/>
      <x:c r="R85" s="57"/>
      <x:c r="S85" s="37"/>
      <x:c r="T85" s="37"/>
      <x:c r="U85" s="37"/>
      <x:c r="V85" s="37"/>
      <x:c r="W85" s="70"/>
      <x:c r="X85"/>
      <x:c r="Y85"/>
      <x:c r="Z85"/>
      <x:c r="AA85"/>
    </x:row>
    <x:row r="86">
      <x:c r="A86" s="37"/>
      <x:c r="B86" s="37"/>
      <x:c r="C86" s="37"/>
      <x:c r="D86" s="37"/>
      <x:c r="E86" s="37"/>
      <x:c r="F86" s="37"/>
      <x:c r="G86" s="56"/>
      <x:c r="H86" s="37"/>
      <x:c r="I86" s="37"/>
      <x:c r="J86" s="37"/>
      <x:c r="K86" s="56"/>
      <x:c r="L86" s="37"/>
      <x:c r="M86" s="37"/>
      <x:c r="N86" s="57"/>
      <x:c r="O86" s="57"/>
      <x:c r="P86" s="57"/>
      <x:c r="Q86" s="57"/>
      <x:c r="R86" s="57"/>
      <x:c r="S86" s="37"/>
      <x:c r="T86" s="37"/>
      <x:c r="U86" s="37"/>
      <x:c r="V86" s="37"/>
      <x:c r="W86" s="70"/>
      <x:c r="X86"/>
      <x:c r="Y86"/>
      <x:c r="Z86"/>
      <x:c r="AA86"/>
    </x:row>
    <x:row r="87">
      <x:c r="A87" s="37"/>
      <x:c r="B87" s="37"/>
      <x:c r="C87" s="37"/>
      <x:c r="D87" s="37"/>
      <x:c r="E87" s="37"/>
      <x:c r="F87" s="37"/>
      <x:c r="G87" s="56"/>
      <x:c r="H87" s="37"/>
      <x:c r="I87" s="37"/>
      <x:c r="J87" s="37"/>
      <x:c r="K87" s="56"/>
      <x:c r="L87" s="37"/>
      <x:c r="M87" s="37"/>
      <x:c r="N87" s="57"/>
      <x:c r="O87" s="57"/>
      <x:c r="P87" s="57"/>
      <x:c r="Q87" s="57"/>
      <x:c r="R87" s="57"/>
      <x:c r="S87" s="37"/>
      <x:c r="T87" s="37"/>
      <x:c r="U87" s="37"/>
      <x:c r="V87" s="37"/>
      <x:c r="W87" s="70"/>
      <x:c r="X87"/>
      <x:c r="Y87"/>
      <x:c r="Z87"/>
      <x:c r="AA87"/>
    </x:row>
    <x:row r="88">
      <x:c r="A88" s="37"/>
      <x:c r="B88" s="37"/>
      <x:c r="C88" s="37"/>
      <x:c r="D88" s="37"/>
      <x:c r="E88" s="37"/>
      <x:c r="F88" s="37"/>
      <x:c r="G88" s="56"/>
      <x:c r="H88" s="37"/>
      <x:c r="I88" s="37"/>
      <x:c r="J88" s="37"/>
      <x:c r="K88" s="56"/>
      <x:c r="L88" s="37"/>
      <x:c r="M88" s="37"/>
      <x:c r="N88" s="57"/>
      <x:c r="O88" s="57"/>
      <x:c r="P88" s="57"/>
      <x:c r="Q88" s="57"/>
      <x:c r="R88" s="57"/>
      <x:c r="S88" s="37"/>
      <x:c r="T88" s="37"/>
      <x:c r="U88" s="37"/>
      <x:c r="V88" s="37"/>
      <x:c r="W88" s="70"/>
      <x:c r="X88"/>
      <x:c r="Y88"/>
      <x:c r="Z88"/>
      <x:c r="AA88"/>
    </x:row>
    <x:row r="89">
      <x:c r="A89" s="37"/>
      <x:c r="B89" s="37"/>
      <x:c r="C89" s="37"/>
      <x:c r="D89" s="37"/>
      <x:c r="E89" s="37"/>
      <x:c r="F89" s="37"/>
      <x:c r="G89" s="56"/>
      <x:c r="H89" s="37"/>
      <x:c r="I89" s="37"/>
      <x:c r="J89" s="37"/>
      <x:c r="K89" s="56"/>
      <x:c r="L89" s="37"/>
      <x:c r="M89" s="37"/>
      <x:c r="N89" s="57"/>
      <x:c r="O89" s="57"/>
      <x:c r="P89" s="57"/>
      <x:c r="Q89" s="57"/>
      <x:c r="R89" s="57"/>
      <x:c r="S89" s="37"/>
      <x:c r="T89" s="37"/>
      <x:c r="U89" s="37"/>
      <x:c r="V89" s="37"/>
      <x:c r="W89" s="70"/>
      <x:c r="X89"/>
      <x:c r="Y89"/>
      <x:c r="Z89"/>
      <x:c r="AA89"/>
    </x:row>
    <x:row r="90">
      <x:c r="A90" s="37"/>
      <x:c r="B90" s="37"/>
      <x:c r="C90" s="37"/>
      <x:c r="D90" s="37"/>
      <x:c r="E90" s="37"/>
      <x:c r="F90" s="37"/>
      <x:c r="G90" s="56"/>
      <x:c r="H90" s="37"/>
      <x:c r="I90" s="37"/>
      <x:c r="J90" s="37"/>
      <x:c r="K90" s="56"/>
      <x:c r="L90" s="37"/>
      <x:c r="M90" s="37"/>
      <x:c r="N90" s="57"/>
      <x:c r="O90" s="57"/>
      <x:c r="P90" s="57"/>
      <x:c r="Q90" s="57"/>
      <x:c r="R90" s="57"/>
      <x:c r="S90" s="37"/>
      <x:c r="T90" s="37"/>
      <x:c r="U90" s="37"/>
      <x:c r="V90" s="37"/>
      <x:c r="W90" s="70"/>
      <x:c r="X90"/>
      <x:c r="Y90"/>
      <x:c r="Z90"/>
      <x:c r="AA90"/>
    </x:row>
    <x:row r="91">
      <x:c r="A91" s="37"/>
      <x:c r="B91" s="37"/>
      <x:c r="C91" s="37"/>
      <x:c r="D91" s="37"/>
      <x:c r="E91" s="37"/>
      <x:c r="F91" s="37"/>
      <x:c r="G91" s="56"/>
      <x:c r="H91" s="37"/>
      <x:c r="I91" s="37"/>
      <x:c r="J91" s="37"/>
      <x:c r="K91" s="56"/>
      <x:c r="L91" s="37"/>
      <x:c r="M91" s="37"/>
      <x:c r="N91" s="57"/>
      <x:c r="O91" s="57"/>
      <x:c r="P91" s="57"/>
      <x:c r="Q91" s="57"/>
      <x:c r="R91" s="57"/>
      <x:c r="S91" s="37"/>
      <x:c r="T91" s="37"/>
      <x:c r="U91" s="37"/>
      <x:c r="V91" s="37"/>
      <x:c r="W91" s="70"/>
      <x:c r="X91"/>
      <x:c r="Y91"/>
      <x:c r="Z91"/>
      <x:c r="AA91"/>
    </x:row>
    <x:row r="92">
      <x:c r="A92" s="37"/>
      <x:c r="B92" s="37"/>
      <x:c r="C92" s="37"/>
      <x:c r="D92" s="37"/>
      <x:c r="E92" s="37"/>
      <x:c r="F92" s="37"/>
      <x:c r="G92" s="56"/>
      <x:c r="H92" s="37"/>
      <x:c r="I92" s="37"/>
      <x:c r="J92" s="37"/>
      <x:c r="K92" s="56"/>
      <x:c r="L92" s="37"/>
      <x:c r="M92" s="37"/>
      <x:c r="N92" s="57"/>
      <x:c r="O92" s="57"/>
      <x:c r="P92" s="57"/>
      <x:c r="Q92" s="57"/>
      <x:c r="R92" s="57"/>
      <x:c r="S92" s="37"/>
      <x:c r="T92" s="37"/>
      <x:c r="U92" s="37"/>
      <x:c r="V92" s="37"/>
      <x:c r="W92" s="70"/>
      <x:c r="X92"/>
      <x:c r="Y92"/>
      <x:c r="Z92"/>
      <x:c r="AA92"/>
    </x:row>
    <x:row r="93">
      <x:c r="A93" s="37"/>
      <x:c r="B93" s="37"/>
      <x:c r="C93" s="37"/>
      <x:c r="D93" s="37"/>
      <x:c r="E93" s="37"/>
      <x:c r="F93" s="37"/>
      <x:c r="G93" s="56"/>
      <x:c r="H93" s="37"/>
      <x:c r="I93" s="37"/>
      <x:c r="J93" s="37"/>
      <x:c r="K93" s="56"/>
      <x:c r="L93" s="37"/>
      <x:c r="M93" s="37"/>
      <x:c r="N93" s="57"/>
      <x:c r="O93" s="57"/>
      <x:c r="P93" s="57"/>
      <x:c r="Q93" s="57"/>
      <x:c r="R93" s="57"/>
      <x:c r="S93" s="37"/>
      <x:c r="T93" s="37"/>
      <x:c r="U93" s="37"/>
      <x:c r="V93" s="37"/>
      <x:c r="W93" s="70"/>
      <x:c r="X93"/>
      <x:c r="Y93"/>
      <x:c r="Z93"/>
      <x:c r="AA93"/>
    </x:row>
    <x:row r="94">
      <x:c r="A94" s="37"/>
      <x:c r="B94" s="37"/>
      <x:c r="C94" s="37"/>
      <x:c r="D94" s="37"/>
      <x:c r="E94" s="37"/>
      <x:c r="F94" s="37"/>
      <x:c r="G94" s="56"/>
      <x:c r="H94" s="37"/>
      <x:c r="I94" s="37"/>
      <x:c r="J94" s="37"/>
      <x:c r="K94" s="56"/>
      <x:c r="L94" s="37"/>
      <x:c r="M94" s="37"/>
      <x:c r="N94" s="57"/>
      <x:c r="O94" s="57"/>
      <x:c r="P94" s="57"/>
      <x:c r="Q94" s="57"/>
      <x:c r="R94" s="57"/>
      <x:c r="S94" s="37"/>
      <x:c r="T94" s="37"/>
      <x:c r="U94" s="37"/>
      <x:c r="V94" s="37"/>
      <x:c r="W94" s="70"/>
      <x:c r="X94"/>
      <x:c r="Y94"/>
      <x:c r="Z94"/>
      <x:c r="AA94"/>
    </x:row>
    <x:row r="95">
      <x:c r="A95" s="37"/>
      <x:c r="B95" s="37"/>
      <x:c r="C95" s="37"/>
      <x:c r="D95" s="37"/>
      <x:c r="E95" s="37"/>
      <x:c r="F95" s="37"/>
      <x:c r="G95" s="56"/>
      <x:c r="H95" s="37"/>
      <x:c r="I95" s="37"/>
      <x:c r="J95" s="37"/>
      <x:c r="K95" s="56"/>
      <x:c r="L95" s="37"/>
      <x:c r="M95" s="37"/>
      <x:c r="N95" s="57"/>
      <x:c r="O95" s="57"/>
      <x:c r="P95" s="57"/>
      <x:c r="Q95" s="57"/>
      <x:c r="R95" s="57"/>
      <x:c r="S95" s="37"/>
      <x:c r="T95" s="37"/>
      <x:c r="U95" s="37"/>
      <x:c r="V95" s="37"/>
      <x:c r="W95" s="70"/>
      <x:c r="X95"/>
      <x:c r="Y95"/>
      <x:c r="Z95"/>
      <x:c r="AA95"/>
    </x:row>
    <x:row r="96">
      <x:c r="A96" s="37"/>
      <x:c r="B96" s="37"/>
      <x:c r="C96" s="37"/>
      <x:c r="D96" s="37"/>
      <x:c r="E96" s="37"/>
      <x:c r="F96" s="37"/>
      <x:c r="G96" s="56"/>
      <x:c r="H96" s="37"/>
      <x:c r="I96" s="37"/>
      <x:c r="J96" s="37"/>
      <x:c r="K96" s="56"/>
      <x:c r="L96" s="37"/>
      <x:c r="M96" s="37"/>
      <x:c r="N96" s="57"/>
      <x:c r="O96" s="57"/>
      <x:c r="P96" s="57"/>
      <x:c r="Q96" s="57"/>
      <x:c r="R96" s="57"/>
      <x:c r="S96" s="37"/>
      <x:c r="T96" s="37"/>
      <x:c r="U96" s="37"/>
      <x:c r="V96" s="37"/>
      <x:c r="W96" s="70"/>
      <x:c r="X96"/>
      <x:c r="Y96"/>
      <x:c r="Z96"/>
      <x:c r="AA96"/>
    </x:row>
    <x:row r="97">
      <x:c r="A97" s="37"/>
      <x:c r="B97" s="37"/>
      <x:c r="C97" s="37"/>
      <x:c r="D97" s="37"/>
      <x:c r="E97" s="37"/>
      <x:c r="F97" s="37"/>
      <x:c r="G97" s="56"/>
      <x:c r="H97" s="37"/>
      <x:c r="I97" s="37"/>
      <x:c r="J97" s="37"/>
      <x:c r="K97" s="56"/>
      <x:c r="L97" s="37"/>
      <x:c r="M97" s="37"/>
      <x:c r="N97" s="57"/>
      <x:c r="O97" s="57"/>
      <x:c r="P97" s="57"/>
      <x:c r="Q97" s="57"/>
      <x:c r="R97" s="57"/>
      <x:c r="S97" s="37"/>
      <x:c r="T97" s="37"/>
      <x:c r="U97" s="37"/>
      <x:c r="V97" s="37"/>
      <x:c r="W97" s="70"/>
      <x:c r="X97"/>
      <x:c r="Y97"/>
      <x:c r="Z97"/>
      <x:c r="AA97"/>
    </x:row>
    <x:row r="98">
      <x:c r="A98" s="37"/>
      <x:c r="B98" s="37"/>
      <x:c r="C98" s="37"/>
      <x:c r="D98" s="37"/>
      <x:c r="E98" s="37"/>
      <x:c r="F98" s="37"/>
      <x:c r="G98" s="56"/>
      <x:c r="H98" s="37"/>
      <x:c r="I98" s="37"/>
      <x:c r="J98" s="37"/>
      <x:c r="K98" s="56"/>
      <x:c r="L98" s="37"/>
      <x:c r="M98" s="37"/>
      <x:c r="N98" s="57"/>
      <x:c r="O98" s="57"/>
      <x:c r="P98" s="57"/>
      <x:c r="Q98" s="57"/>
      <x:c r="R98" s="57"/>
      <x:c r="S98" s="37"/>
      <x:c r="T98" s="37"/>
      <x:c r="U98" s="37"/>
      <x:c r="V98" s="37"/>
      <x:c r="W98" s="70"/>
      <x:c r="X98"/>
      <x:c r="Y98"/>
      <x:c r="Z98"/>
      <x:c r="AA98"/>
    </x:row>
    <x:row r="99">
      <x:c r="A99" s="37"/>
      <x:c r="B99" s="37"/>
      <x:c r="C99" s="37"/>
      <x:c r="D99" s="37"/>
      <x:c r="E99" s="37"/>
      <x:c r="F99" s="37"/>
      <x:c r="G99" s="56"/>
      <x:c r="H99" s="37"/>
      <x:c r="I99" s="37"/>
      <x:c r="J99" s="37"/>
      <x:c r="K99" s="56"/>
      <x:c r="L99" s="37"/>
      <x:c r="M99" s="37"/>
      <x:c r="N99" s="57"/>
      <x:c r="O99" s="57"/>
      <x:c r="P99" s="57"/>
      <x:c r="Q99" s="57"/>
      <x:c r="R99" s="57"/>
      <x:c r="S99" s="37"/>
      <x:c r="T99" s="37"/>
      <x:c r="U99" s="37"/>
      <x:c r="V99" s="37"/>
      <x:c r="W99" s="70"/>
      <x:c r="X99"/>
      <x:c r="Y99"/>
      <x:c r="Z99"/>
      <x:c r="AA99"/>
    </x:row>
    <x:row r="100">
      <x:c r="A100" s="37"/>
      <x:c r="B100" s="37"/>
      <x:c r="C100" s="37"/>
      <x:c r="D100" s="37"/>
      <x:c r="E100" s="37"/>
      <x:c r="F100" s="37"/>
      <x:c r="G100" s="56"/>
      <x:c r="H100" s="37"/>
      <x:c r="I100" s="37"/>
      <x:c r="J100" s="37"/>
      <x:c r="K100" s="56"/>
      <x:c r="L100" s="37"/>
      <x:c r="M100" s="37"/>
      <x:c r="N100" s="57"/>
      <x:c r="O100" s="57"/>
      <x:c r="P100" s="57"/>
      <x:c r="Q100" s="57"/>
      <x:c r="R100" s="57"/>
      <x:c r="S100" s="37"/>
      <x:c r="T100" s="37"/>
      <x:c r="U100" s="37"/>
      <x:c r="V100" s="37"/>
      <x:c r="W100" s="70"/>
      <x:c r="X100"/>
      <x:c r="Y100"/>
      <x:c r="Z100"/>
      <x:c r="AA100"/>
    </x:row>
    <x:row r="101">
      <x:c r="A101" s="37"/>
      <x:c r="B101" s="37"/>
      <x:c r="C101" s="37"/>
      <x:c r="D101" s="37"/>
      <x:c r="E101" s="37"/>
      <x:c r="F101" s="37"/>
      <x:c r="G101" s="56"/>
      <x:c r="H101" s="37"/>
      <x:c r="I101" s="37"/>
      <x:c r="J101" s="37"/>
      <x:c r="K101" s="56"/>
      <x:c r="L101" s="37"/>
      <x:c r="M101" s="37"/>
      <x:c r="N101" s="57"/>
      <x:c r="O101" s="57"/>
      <x:c r="P101" s="57"/>
      <x:c r="Q101" s="57"/>
      <x:c r="R101" s="57"/>
      <x:c r="S101" s="37"/>
      <x:c r="T101" s="37"/>
      <x:c r="U101" s="37"/>
      <x:c r="V101" s="37"/>
      <x:c r="W101" s="70"/>
      <x:c r="X101"/>
      <x:c r="Y101"/>
      <x:c r="Z101"/>
      <x:c r="AA101"/>
    </x:row>
    <x:row r="102">
      <x:c r="A102" s="37"/>
      <x:c r="B102" s="37"/>
      <x:c r="C102" s="37"/>
      <x:c r="D102" s="37"/>
      <x:c r="E102" s="37"/>
      <x:c r="F102" s="37"/>
      <x:c r="G102" s="56"/>
      <x:c r="H102" s="37"/>
      <x:c r="I102" s="37"/>
      <x:c r="J102" s="37"/>
      <x:c r="K102" s="56"/>
      <x:c r="L102" s="37"/>
      <x:c r="M102" s="37"/>
      <x:c r="N102" s="57"/>
      <x:c r="O102" s="57"/>
      <x:c r="P102" s="57"/>
      <x:c r="Q102" s="57"/>
      <x:c r="R102" s="57"/>
      <x:c r="S102" s="37"/>
      <x:c r="T102" s="37"/>
      <x:c r="U102" s="37"/>
      <x:c r="V102" s="37"/>
      <x:c r="W102" s="70"/>
      <x:c r="X102"/>
      <x:c r="Y102"/>
      <x:c r="Z102"/>
      <x:c r="AA102"/>
    </x:row>
    <x:row r="103">
      <x:c r="A103" s="37"/>
      <x:c r="B103" s="37"/>
      <x:c r="C103" s="37"/>
      <x:c r="D103" s="37"/>
      <x:c r="E103" s="37"/>
      <x:c r="F103" s="37"/>
      <x:c r="G103" s="56"/>
      <x:c r="H103" s="37"/>
      <x:c r="I103" s="37"/>
      <x:c r="J103" s="37"/>
      <x:c r="K103" s="56"/>
      <x:c r="L103" s="37"/>
      <x:c r="M103" s="37"/>
      <x:c r="N103" s="57"/>
      <x:c r="O103" s="57"/>
      <x:c r="P103" s="57"/>
      <x:c r="Q103" s="57"/>
      <x:c r="R103" s="57"/>
      <x:c r="S103" s="37"/>
      <x:c r="T103" s="37"/>
      <x:c r="U103" s="37"/>
      <x:c r="V103" s="37"/>
      <x:c r="W103" s="70"/>
      <x:c r="X103"/>
      <x:c r="Y103"/>
      <x:c r="Z103"/>
      <x:c r="AA103"/>
    </x:row>
    <x:row r="104">
      <x:c r="A104" s="37"/>
      <x:c r="B104" s="37"/>
      <x:c r="C104" s="37"/>
      <x:c r="D104" s="37"/>
      <x:c r="E104" s="37"/>
      <x:c r="F104" s="37"/>
      <x:c r="G104" s="56"/>
      <x:c r="H104" s="37"/>
      <x:c r="I104" s="37"/>
      <x:c r="J104" s="37"/>
      <x:c r="K104" s="56"/>
      <x:c r="L104" s="37"/>
      <x:c r="M104" s="37"/>
      <x:c r="N104" s="57"/>
      <x:c r="O104" s="57"/>
      <x:c r="P104" s="57"/>
      <x:c r="Q104" s="57"/>
      <x:c r="R104" s="57"/>
      <x:c r="S104" s="37"/>
      <x:c r="T104" s="37"/>
      <x:c r="U104" s="37"/>
      <x:c r="V104" s="37"/>
      <x:c r="W104" s="70"/>
      <x:c r="X104"/>
      <x:c r="Y104"/>
      <x:c r="Z104"/>
      <x:c r="AA104"/>
    </x:row>
    <x:row r="105">
      <x:c r="A105" s="37"/>
      <x:c r="B105" s="37"/>
      <x:c r="C105" s="37"/>
      <x:c r="D105" s="37"/>
      <x:c r="E105" s="37"/>
      <x:c r="F105" s="37"/>
      <x:c r="G105" s="56"/>
      <x:c r="H105" s="37"/>
      <x:c r="I105" s="37"/>
      <x:c r="J105" s="37"/>
      <x:c r="K105" s="56"/>
      <x:c r="L105" s="37"/>
      <x:c r="M105" s="37"/>
      <x:c r="N105" s="57"/>
      <x:c r="O105" s="57"/>
      <x:c r="P105" s="57"/>
      <x:c r="Q105" s="57"/>
      <x:c r="R105" s="57"/>
      <x:c r="S105" s="37"/>
      <x:c r="T105" s="37"/>
      <x:c r="U105" s="37"/>
      <x:c r="V105" s="37"/>
      <x:c r="W105" s="70"/>
      <x:c r="X105"/>
      <x:c r="Y105"/>
      <x:c r="Z105"/>
      <x:c r="AA105"/>
    </x:row>
    <x:row r="106">
      <x:c r="A106" s="37"/>
      <x:c r="B106" s="37"/>
      <x:c r="C106" s="37"/>
      <x:c r="D106" s="37"/>
      <x:c r="E106" s="37"/>
      <x:c r="F106" s="37"/>
      <x:c r="G106" s="56"/>
      <x:c r="H106" s="37"/>
      <x:c r="I106" s="37"/>
      <x:c r="J106" s="37"/>
      <x:c r="K106" s="56"/>
      <x:c r="L106" s="37"/>
      <x:c r="M106" s="37"/>
      <x:c r="N106" s="57"/>
      <x:c r="O106" s="57"/>
      <x:c r="P106" s="57"/>
      <x:c r="Q106" s="57"/>
      <x:c r="R106" s="57"/>
      <x:c r="S106" s="37"/>
      <x:c r="T106" s="37"/>
      <x:c r="U106" s="37"/>
      <x:c r="V106" s="37"/>
      <x:c r="W106" s="70"/>
      <x:c r="X106"/>
      <x:c r="Y106"/>
      <x:c r="Z106"/>
      <x:c r="AA106"/>
    </x:row>
    <x:row r="107">
      <x:c r="A107" s="37"/>
      <x:c r="B107" s="37"/>
      <x:c r="C107" s="37"/>
      <x:c r="D107" s="37"/>
      <x:c r="E107" s="37"/>
      <x:c r="F107" s="37"/>
      <x:c r="G107" s="56"/>
      <x:c r="H107" s="37"/>
      <x:c r="I107" s="37"/>
      <x:c r="J107" s="37"/>
      <x:c r="K107" s="56"/>
      <x:c r="L107" s="37"/>
      <x:c r="M107" s="37"/>
      <x:c r="N107" s="57"/>
      <x:c r="O107" s="57"/>
      <x:c r="P107" s="57"/>
      <x:c r="Q107" s="57"/>
      <x:c r="R107" s="57"/>
      <x:c r="S107" s="37"/>
      <x:c r="T107" s="37"/>
      <x:c r="U107" s="37"/>
      <x:c r="V107" s="37"/>
      <x:c r="W107" s="70"/>
      <x:c r="X107"/>
      <x:c r="Y107"/>
      <x:c r="Z107"/>
      <x:c r="AA107"/>
    </x:row>
    <x:row r="108">
      <x:c r="A108" s="37"/>
      <x:c r="B108" s="37"/>
      <x:c r="C108" s="37"/>
      <x:c r="D108" s="37"/>
      <x:c r="E108" s="37"/>
      <x:c r="F108" s="37"/>
      <x:c r="G108" s="56"/>
      <x:c r="H108" s="37"/>
      <x:c r="I108" s="37"/>
      <x:c r="J108" s="37"/>
      <x:c r="K108" s="56"/>
      <x:c r="L108" s="37"/>
      <x:c r="M108" s="37"/>
      <x:c r="N108" s="57"/>
      <x:c r="O108" s="57"/>
      <x:c r="P108" s="57"/>
      <x:c r="Q108" s="57"/>
      <x:c r="R108" s="57"/>
      <x:c r="S108" s="37"/>
      <x:c r="T108" s="37"/>
      <x:c r="U108" s="37"/>
      <x:c r="V108" s="37"/>
      <x:c r="W108" s="70"/>
      <x:c r="X108"/>
      <x:c r="Y108"/>
      <x:c r="Z108"/>
      <x:c r="AA108"/>
    </x:row>
    <x:row r="109">
      <x:c r="A109" s="37"/>
      <x:c r="B109" s="37"/>
      <x:c r="C109" s="37"/>
      <x:c r="D109" s="37"/>
      <x:c r="E109" s="37"/>
      <x:c r="F109" s="37"/>
      <x:c r="G109" s="56"/>
      <x:c r="H109" s="37"/>
      <x:c r="I109" s="37"/>
      <x:c r="J109" s="37"/>
      <x:c r="K109" s="56"/>
      <x:c r="L109" s="37"/>
      <x:c r="M109" s="37"/>
      <x:c r="N109" s="57"/>
      <x:c r="O109" s="57"/>
      <x:c r="P109" s="57"/>
      <x:c r="Q109" s="57"/>
      <x:c r="R109" s="57"/>
      <x:c r="S109" s="37"/>
      <x:c r="T109" s="37"/>
      <x:c r="U109" s="37"/>
      <x:c r="V109" s="37"/>
      <x:c r="W109" s="70"/>
      <x:c r="X109"/>
      <x:c r="Y109"/>
      <x:c r="Z109"/>
      <x:c r="AA109"/>
    </x:row>
    <x:row r="110">
      <x:c r="A110" s="37"/>
      <x:c r="B110" s="37"/>
      <x:c r="C110" s="37"/>
      <x:c r="D110" s="37"/>
      <x:c r="E110" s="37"/>
      <x:c r="F110" s="37"/>
      <x:c r="G110" s="56"/>
      <x:c r="H110" s="37"/>
      <x:c r="I110" s="37"/>
      <x:c r="J110" s="37"/>
      <x:c r="K110" s="56"/>
      <x:c r="L110" s="37"/>
      <x:c r="M110" s="37"/>
      <x:c r="N110" s="57"/>
      <x:c r="O110" s="57"/>
      <x:c r="P110" s="57"/>
      <x:c r="Q110" s="57"/>
      <x:c r="R110" s="57"/>
      <x:c r="S110" s="37"/>
      <x:c r="T110" s="37"/>
      <x:c r="U110" s="37"/>
      <x:c r="V110" s="37"/>
      <x:c r="W110" s="70"/>
      <x:c r="X110"/>
      <x:c r="Y110"/>
      <x:c r="Z110"/>
      <x:c r="AA110"/>
    </x:row>
    <x:row r="111">
      <x:c r="A111" s="37"/>
      <x:c r="B111" s="37"/>
      <x:c r="C111" s="37"/>
      <x:c r="D111" s="37"/>
      <x:c r="E111" s="37"/>
      <x:c r="F111" s="37"/>
      <x:c r="G111" s="56"/>
      <x:c r="H111" s="37"/>
      <x:c r="I111" s="37"/>
      <x:c r="J111" s="37"/>
      <x:c r="K111" s="56"/>
      <x:c r="L111" s="37"/>
      <x:c r="M111" s="37"/>
      <x:c r="N111" s="57"/>
      <x:c r="O111" s="57"/>
      <x:c r="P111" s="57"/>
      <x:c r="Q111" s="57"/>
      <x:c r="R111" s="57"/>
      <x:c r="S111" s="37"/>
      <x:c r="T111" s="37"/>
      <x:c r="U111" s="37"/>
      <x:c r="V111" s="37"/>
      <x:c r="W111" s="70"/>
      <x:c r="X111"/>
      <x:c r="Y111"/>
      <x:c r="Z111"/>
      <x:c r="AA111"/>
    </x:row>
    <x:row r="112">
      <x:c r="A112" s="37"/>
      <x:c r="B112" s="37"/>
      <x:c r="C112" s="37"/>
      <x:c r="D112" s="37"/>
      <x:c r="E112" s="37"/>
      <x:c r="F112" s="37"/>
      <x:c r="G112" s="56"/>
      <x:c r="H112" s="37"/>
      <x:c r="I112" s="37"/>
      <x:c r="J112" s="37"/>
      <x:c r="K112" s="56"/>
      <x:c r="L112" s="37"/>
      <x:c r="M112" s="37"/>
      <x:c r="N112" s="57"/>
      <x:c r="O112" s="57"/>
      <x:c r="P112" s="57"/>
      <x:c r="Q112" s="57"/>
      <x:c r="R112" s="57"/>
      <x:c r="S112" s="37"/>
      <x:c r="T112" s="37"/>
      <x:c r="U112" s="37"/>
      <x:c r="V112" s="37"/>
      <x:c r="W112" s="70"/>
      <x:c r="X112"/>
      <x:c r="Y112"/>
      <x:c r="Z112"/>
      <x:c r="AA112"/>
    </x:row>
    <x:row r="113">
      <x:c r="A113" s="37"/>
      <x:c r="B113" s="37"/>
      <x:c r="C113" s="37"/>
      <x:c r="D113" s="37"/>
      <x:c r="E113" s="37"/>
      <x:c r="F113" s="37"/>
      <x:c r="G113" s="56"/>
      <x:c r="H113" s="37"/>
      <x:c r="I113" s="37"/>
      <x:c r="J113" s="37"/>
      <x:c r="K113" s="56"/>
      <x:c r="L113" s="37"/>
      <x:c r="M113" s="37"/>
      <x:c r="N113" s="57"/>
      <x:c r="O113" s="57"/>
      <x:c r="P113" s="57"/>
      <x:c r="Q113" s="57"/>
      <x:c r="R113" s="57"/>
      <x:c r="S113" s="37"/>
      <x:c r="T113" s="37"/>
      <x:c r="U113" s="37"/>
      <x:c r="V113" s="37"/>
      <x:c r="W113" s="70"/>
      <x:c r="X113"/>
      <x:c r="Y113"/>
      <x:c r="Z113"/>
      <x:c r="AA113"/>
    </x:row>
    <x:row r="114">
      <x:c r="A114" s="37"/>
      <x:c r="B114" s="37"/>
      <x:c r="C114" s="37"/>
      <x:c r="D114" s="37"/>
      <x:c r="E114" s="37"/>
      <x:c r="F114" s="37"/>
      <x:c r="G114" s="56"/>
      <x:c r="H114" s="37"/>
      <x:c r="I114" s="37"/>
      <x:c r="J114" s="37"/>
      <x:c r="K114" s="56"/>
      <x:c r="L114" s="37"/>
      <x:c r="M114" s="37"/>
      <x:c r="N114" s="57"/>
      <x:c r="O114" s="57"/>
      <x:c r="P114" s="57"/>
      <x:c r="Q114" s="57"/>
      <x:c r="R114" s="57"/>
      <x:c r="S114" s="37"/>
      <x:c r="T114" s="37"/>
      <x:c r="U114" s="37"/>
      <x:c r="V114" s="37"/>
      <x:c r="W114" s="70"/>
      <x:c r="X114"/>
      <x:c r="Y114"/>
      <x:c r="Z114"/>
      <x:c r="AA114"/>
    </x:row>
    <x:row r="115">
      <x:c r="A115" s="37"/>
      <x:c r="B115" s="37"/>
      <x:c r="C115" s="37"/>
      <x:c r="D115" s="37"/>
      <x:c r="E115" s="37"/>
      <x:c r="F115" s="37"/>
      <x:c r="G115" s="56"/>
      <x:c r="H115" s="37"/>
      <x:c r="I115" s="37"/>
      <x:c r="J115" s="37"/>
      <x:c r="K115" s="56"/>
      <x:c r="L115" s="37"/>
      <x:c r="M115" s="37"/>
      <x:c r="N115" s="57"/>
      <x:c r="O115" s="57"/>
      <x:c r="P115" s="57"/>
      <x:c r="Q115" s="57"/>
      <x:c r="R115" s="57"/>
      <x:c r="S115" s="37"/>
      <x:c r="T115" s="37"/>
      <x:c r="U115" s="37"/>
      <x:c r="V115" s="37"/>
      <x:c r="W115" s="70"/>
      <x:c r="X115"/>
      <x:c r="Y115"/>
      <x:c r="Z115"/>
      <x:c r="AA115"/>
    </x:row>
    <x:row r="116">
      <x:c r="A116" s="37"/>
      <x:c r="B116" s="37"/>
      <x:c r="C116" s="37"/>
      <x:c r="D116" s="37"/>
      <x:c r="E116" s="37"/>
      <x:c r="F116" s="37"/>
      <x:c r="G116" s="56"/>
      <x:c r="H116" s="37"/>
      <x:c r="I116" s="37"/>
      <x:c r="J116" s="37"/>
      <x:c r="K116" s="56"/>
      <x:c r="L116" s="37"/>
      <x:c r="M116" s="37"/>
      <x:c r="N116" s="57"/>
      <x:c r="O116" s="57"/>
      <x:c r="P116" s="57"/>
      <x:c r="Q116" s="57"/>
      <x:c r="R116" s="57"/>
      <x:c r="S116" s="37"/>
      <x:c r="T116" s="37"/>
      <x:c r="U116" s="37"/>
      <x:c r="V116" s="37"/>
      <x:c r="W116" s="70"/>
      <x:c r="X116"/>
      <x:c r="Y116"/>
      <x:c r="Z116"/>
      <x:c r="AA116"/>
    </x:row>
    <x:row r="117">
      <x:c r="A117" s="37"/>
      <x:c r="B117" s="37"/>
      <x:c r="C117" s="37"/>
      <x:c r="D117" s="37"/>
      <x:c r="E117" s="37"/>
      <x:c r="F117" s="37"/>
      <x:c r="G117" s="56"/>
      <x:c r="H117" s="37"/>
      <x:c r="I117" s="37"/>
      <x:c r="J117" s="37"/>
      <x:c r="K117" s="56"/>
      <x:c r="L117" s="37"/>
      <x:c r="M117" s="37"/>
      <x:c r="N117" s="57"/>
      <x:c r="O117" s="57"/>
      <x:c r="P117" s="57"/>
      <x:c r="Q117" s="57"/>
      <x:c r="R117" s="57"/>
      <x:c r="S117" s="37"/>
      <x:c r="T117" s="37"/>
      <x:c r="U117" s="37"/>
      <x:c r="V117" s="37"/>
      <x:c r="W117" s="70"/>
      <x:c r="X117"/>
      <x:c r="Y117"/>
      <x:c r="Z117"/>
      <x:c r="AA117"/>
    </x:row>
    <x:row r="118">
      <x:c r="A118" s="37"/>
      <x:c r="B118" s="37"/>
      <x:c r="C118" s="37"/>
      <x:c r="D118" s="37"/>
      <x:c r="E118" s="37"/>
      <x:c r="F118" s="37"/>
      <x:c r="G118" s="56"/>
      <x:c r="H118" s="37"/>
      <x:c r="I118" s="37"/>
      <x:c r="J118" s="37"/>
      <x:c r="K118" s="56"/>
      <x:c r="L118" s="37"/>
      <x:c r="M118" s="37"/>
      <x:c r="N118" s="57"/>
      <x:c r="O118" s="57"/>
      <x:c r="P118" s="57"/>
      <x:c r="Q118" s="57"/>
      <x:c r="R118" s="57"/>
      <x:c r="S118" s="37"/>
      <x:c r="T118" s="37"/>
      <x:c r="U118" s="37"/>
      <x:c r="V118" s="37"/>
      <x:c r="W118" s="70"/>
      <x:c r="X118"/>
      <x:c r="Y118"/>
      <x:c r="Z118"/>
      <x:c r="AA118"/>
    </x:row>
    <x:row r="119">
      <x:c r="A119" s="37"/>
      <x:c r="B119" s="37"/>
      <x:c r="C119" s="37"/>
      <x:c r="D119" s="37"/>
      <x:c r="E119" s="37"/>
      <x:c r="F119" s="37"/>
      <x:c r="G119" s="56"/>
      <x:c r="H119" s="37"/>
      <x:c r="I119" s="37"/>
      <x:c r="J119" s="37"/>
      <x:c r="K119" s="56"/>
      <x:c r="L119" s="37"/>
      <x:c r="M119" s="37"/>
      <x:c r="N119" s="57"/>
      <x:c r="O119" s="57"/>
      <x:c r="P119" s="57"/>
      <x:c r="Q119" s="57"/>
      <x:c r="R119" s="57"/>
      <x:c r="S119" s="37"/>
      <x:c r="T119" s="37"/>
      <x:c r="U119" s="37"/>
      <x:c r="V119" s="37"/>
      <x:c r="W119" s="70"/>
      <x:c r="X119"/>
      <x:c r="Y119"/>
      <x:c r="Z119"/>
      <x:c r="AA119"/>
    </x:row>
    <x:row r="120">
      <x:c r="A120" s="37"/>
      <x:c r="B120" s="37"/>
      <x:c r="C120" s="37"/>
      <x:c r="D120" s="37"/>
      <x:c r="E120" s="37"/>
      <x:c r="F120" s="37"/>
      <x:c r="G120" s="56"/>
      <x:c r="H120" s="37"/>
      <x:c r="I120" s="37"/>
      <x:c r="J120" s="37"/>
      <x:c r="K120" s="56"/>
      <x:c r="L120" s="37"/>
      <x:c r="M120" s="37"/>
      <x:c r="N120" s="57"/>
      <x:c r="O120" s="57"/>
      <x:c r="P120" s="57"/>
      <x:c r="Q120" s="57"/>
      <x:c r="R120" s="57"/>
      <x:c r="S120" s="37"/>
      <x:c r="T120" s="37"/>
      <x:c r="U120" s="37"/>
      <x:c r="V120" s="37"/>
      <x:c r="W120" s="70"/>
      <x:c r="X120"/>
      <x:c r="Y120"/>
      <x:c r="Z120"/>
      <x:c r="AA120"/>
    </x:row>
    <x:row r="121">
      <x:c r="A121" s="37"/>
      <x:c r="B121" s="37"/>
      <x:c r="C121" s="37"/>
      <x:c r="D121" s="37"/>
      <x:c r="E121" s="37"/>
      <x:c r="F121" s="37"/>
      <x:c r="G121" s="56"/>
      <x:c r="H121" s="37"/>
      <x:c r="I121" s="37"/>
      <x:c r="J121" s="37"/>
      <x:c r="K121" s="56"/>
      <x:c r="L121" s="37"/>
      <x:c r="M121" s="37"/>
      <x:c r="N121" s="57"/>
      <x:c r="O121" s="57"/>
      <x:c r="P121" s="57"/>
      <x:c r="Q121" s="57"/>
      <x:c r="R121" s="57"/>
      <x:c r="S121" s="37"/>
      <x:c r="T121" s="37"/>
      <x:c r="U121" s="37"/>
      <x:c r="V121" s="37"/>
      <x:c r="W121" s="70"/>
      <x:c r="X121"/>
      <x:c r="Y121"/>
      <x:c r="Z121"/>
      <x:c r="AA121"/>
    </x:row>
    <x:row r="122">
      <x:c r="A122" s="37"/>
      <x:c r="B122" s="37"/>
      <x:c r="C122" s="37"/>
      <x:c r="D122" s="37"/>
      <x:c r="E122" s="37"/>
      <x:c r="F122" s="37"/>
      <x:c r="G122" s="56"/>
      <x:c r="H122" s="37"/>
      <x:c r="I122" s="37"/>
      <x:c r="J122" s="37"/>
      <x:c r="K122" s="56"/>
      <x:c r="L122" s="37"/>
      <x:c r="M122" s="37"/>
      <x:c r="N122" s="57"/>
      <x:c r="O122" s="57"/>
      <x:c r="P122" s="57"/>
      <x:c r="Q122" s="57"/>
      <x:c r="R122" s="57"/>
      <x:c r="S122" s="37"/>
      <x:c r="T122" s="37"/>
      <x:c r="U122" s="37"/>
      <x:c r="V122" s="37"/>
      <x:c r="W122" s="70"/>
      <x:c r="X122"/>
      <x:c r="Y122"/>
      <x:c r="Z122"/>
      <x:c r="AA122"/>
    </x:row>
    <x:row r="123">
      <x:c r="A123" s="37"/>
      <x:c r="B123" s="37"/>
      <x:c r="C123" s="37"/>
      <x:c r="D123" s="37"/>
      <x:c r="E123" s="37"/>
      <x:c r="F123" s="37"/>
      <x:c r="G123" s="56"/>
      <x:c r="H123" s="37"/>
      <x:c r="I123" s="37"/>
      <x:c r="J123" s="37"/>
      <x:c r="K123" s="56"/>
      <x:c r="L123" s="37"/>
      <x:c r="M123" s="37"/>
      <x:c r="N123" s="57"/>
      <x:c r="O123" s="57"/>
      <x:c r="P123" s="57"/>
      <x:c r="Q123" s="57"/>
      <x:c r="R123" s="57"/>
      <x:c r="S123" s="37"/>
      <x:c r="T123" s="37"/>
      <x:c r="U123" s="37"/>
      <x:c r="V123" s="37"/>
      <x:c r="W123" s="70"/>
      <x:c r="X123"/>
      <x:c r="Y123"/>
      <x:c r="Z123"/>
      <x:c r="AA123"/>
    </x:row>
    <x:row r="124">
      <x:c r="A124" s="37"/>
      <x:c r="B124" s="37"/>
      <x:c r="C124" s="37"/>
      <x:c r="D124" s="37"/>
      <x:c r="E124" s="37"/>
      <x:c r="F124" s="37"/>
      <x:c r="G124" s="56"/>
      <x:c r="H124" s="37"/>
      <x:c r="I124" s="37"/>
      <x:c r="J124" s="37"/>
      <x:c r="K124" s="56"/>
      <x:c r="L124" s="37"/>
      <x:c r="M124" s="37"/>
      <x:c r="N124" s="57"/>
      <x:c r="O124" s="57"/>
      <x:c r="P124" s="57"/>
      <x:c r="Q124" s="57"/>
      <x:c r="R124" s="57"/>
      <x:c r="S124" s="37"/>
      <x:c r="T124" s="37"/>
      <x:c r="U124" s="37"/>
      <x:c r="V124" s="37"/>
      <x:c r="W124" s="70"/>
      <x:c r="X124"/>
      <x:c r="Y124"/>
      <x:c r="Z124"/>
      <x:c r="AA124"/>
    </x:row>
    <x:row r="125">
      <x:c r="A125" s="37"/>
      <x:c r="B125" s="37"/>
      <x:c r="C125" s="37"/>
      <x:c r="D125" s="37"/>
      <x:c r="E125" s="37"/>
      <x:c r="F125" s="37"/>
      <x:c r="G125" s="56"/>
      <x:c r="H125" s="37"/>
      <x:c r="I125" s="37"/>
      <x:c r="J125" s="37"/>
      <x:c r="K125" s="56"/>
      <x:c r="L125" s="37"/>
      <x:c r="M125" s="37"/>
      <x:c r="N125" s="57"/>
      <x:c r="O125" s="57"/>
      <x:c r="P125" s="57"/>
      <x:c r="Q125" s="57"/>
      <x:c r="R125" s="57"/>
      <x:c r="S125" s="37"/>
      <x:c r="T125" s="37"/>
      <x:c r="U125" s="37"/>
      <x:c r="V125" s="37"/>
      <x:c r="W125" s="70"/>
      <x:c r="X125"/>
      <x:c r="Y125"/>
      <x:c r="Z125"/>
      <x:c r="AA125"/>
    </x:row>
    <x:row r="126">
      <x:c r="A126" s="37"/>
      <x:c r="B126" s="37"/>
      <x:c r="C126" s="37"/>
      <x:c r="D126" s="37"/>
      <x:c r="E126" s="37"/>
      <x:c r="F126" s="37"/>
      <x:c r="G126" s="56"/>
      <x:c r="H126" s="37"/>
      <x:c r="I126" s="37"/>
      <x:c r="J126" s="37"/>
      <x:c r="K126" s="56"/>
      <x:c r="L126" s="37"/>
      <x:c r="M126" s="37"/>
      <x:c r="N126" s="57"/>
      <x:c r="O126" s="57"/>
      <x:c r="P126" s="57"/>
      <x:c r="Q126" s="57"/>
      <x:c r="R126" s="57"/>
      <x:c r="S126" s="37"/>
      <x:c r="T126" s="37"/>
      <x:c r="U126" s="37"/>
      <x:c r="V126" s="37"/>
      <x:c r="W126" s="70"/>
      <x:c r="X126"/>
      <x:c r="Y126"/>
      <x:c r="Z126"/>
      <x:c r="AA126"/>
    </x:row>
    <x:row r="127">
      <x:c r="A127" s="37"/>
      <x:c r="B127" s="37"/>
      <x:c r="C127" s="37"/>
      <x:c r="D127" s="37"/>
      <x:c r="E127" s="37"/>
      <x:c r="F127" s="37"/>
      <x:c r="G127" s="56"/>
      <x:c r="H127" s="37"/>
      <x:c r="I127" s="37"/>
      <x:c r="J127" s="37"/>
      <x:c r="K127" s="56"/>
      <x:c r="L127" s="37"/>
      <x:c r="M127" s="37"/>
      <x:c r="N127" s="57"/>
      <x:c r="O127" s="57"/>
      <x:c r="P127" s="57"/>
      <x:c r="Q127" s="57"/>
      <x:c r="R127" s="57"/>
      <x:c r="S127" s="37"/>
      <x:c r="T127" s="37"/>
      <x:c r="U127" s="37"/>
      <x:c r="V127" s="37"/>
      <x:c r="W127" s="70"/>
      <x:c r="X127"/>
      <x:c r="Y127"/>
      <x:c r="Z127"/>
      <x:c r="AA127"/>
    </x:row>
    <x:row r="128">
      <x:c r="A128" s="37"/>
      <x:c r="B128" s="37"/>
      <x:c r="C128" s="37"/>
      <x:c r="D128" s="37"/>
      <x:c r="E128" s="37"/>
      <x:c r="F128" s="37"/>
      <x:c r="G128" s="56"/>
      <x:c r="H128" s="37"/>
      <x:c r="I128" s="37"/>
      <x:c r="J128" s="37"/>
      <x:c r="K128" s="56"/>
      <x:c r="L128" s="37"/>
      <x:c r="M128" s="37"/>
      <x:c r="N128" s="57"/>
      <x:c r="O128" s="57"/>
      <x:c r="P128" s="57"/>
      <x:c r="Q128" s="57"/>
      <x:c r="R128" s="57"/>
      <x:c r="S128" s="37"/>
      <x:c r="T128" s="37"/>
      <x:c r="U128" s="37"/>
      <x:c r="V128" s="37"/>
      <x:c r="W128" s="70"/>
      <x:c r="X128"/>
      <x:c r="Y128"/>
      <x:c r="Z128"/>
      <x:c r="AA128"/>
    </x:row>
    <x:row r="129">
      <x:c r="A129" s="37"/>
      <x:c r="B129" s="37"/>
      <x:c r="C129" s="37"/>
      <x:c r="D129" s="37"/>
      <x:c r="E129" s="37"/>
      <x:c r="F129" s="37"/>
      <x:c r="G129" s="56"/>
      <x:c r="H129" s="37"/>
      <x:c r="I129" s="37"/>
      <x:c r="J129" s="37"/>
      <x:c r="K129" s="56"/>
      <x:c r="L129" s="37"/>
      <x:c r="M129" s="37"/>
      <x:c r="N129" s="57"/>
      <x:c r="O129" s="57"/>
      <x:c r="P129" s="57"/>
      <x:c r="Q129" s="57"/>
      <x:c r="R129" s="57"/>
      <x:c r="S129" s="37"/>
      <x:c r="T129" s="37"/>
      <x:c r="U129" s="37"/>
      <x:c r="V129" s="37"/>
      <x:c r="W129" s="70"/>
      <x:c r="X129"/>
      <x:c r="Y129"/>
      <x:c r="Z129"/>
      <x:c r="AA129"/>
    </x:row>
    <x:row r="130">
      <x:c r="A130" s="37"/>
      <x:c r="B130" s="37"/>
      <x:c r="C130" s="37"/>
      <x:c r="D130" s="37"/>
      <x:c r="E130" s="37"/>
      <x:c r="F130" s="37"/>
      <x:c r="G130" s="56"/>
      <x:c r="H130" s="37"/>
      <x:c r="I130" s="37"/>
      <x:c r="J130" s="37"/>
      <x:c r="K130" s="56"/>
      <x:c r="L130" s="37"/>
      <x:c r="M130" s="37"/>
      <x:c r="N130" s="57"/>
      <x:c r="O130" s="57"/>
      <x:c r="P130" s="57"/>
      <x:c r="Q130" s="57"/>
      <x:c r="R130" s="57"/>
      <x:c r="S130" s="37"/>
      <x:c r="T130" s="37"/>
      <x:c r="U130" s="37"/>
      <x:c r="V130" s="37"/>
      <x:c r="W130" s="70"/>
      <x:c r="X130"/>
      <x:c r="Y130"/>
      <x:c r="Z130"/>
      <x:c r="AA130"/>
    </x:row>
    <x:row r="131">
      <x:c r="A131" s="37"/>
      <x:c r="B131" s="37"/>
      <x:c r="C131" s="37"/>
      <x:c r="D131" s="37"/>
      <x:c r="E131" s="37"/>
      <x:c r="F131" s="37"/>
      <x:c r="G131" s="56"/>
      <x:c r="H131" s="37"/>
      <x:c r="I131" s="37"/>
      <x:c r="J131" s="37"/>
      <x:c r="K131" s="56"/>
      <x:c r="L131" s="37"/>
      <x:c r="M131" s="37"/>
      <x:c r="N131" s="57"/>
      <x:c r="O131" s="57"/>
      <x:c r="P131" s="57"/>
      <x:c r="Q131" s="57"/>
      <x:c r="R131" s="57"/>
      <x:c r="S131" s="37"/>
      <x:c r="T131" s="37"/>
      <x:c r="U131" s="37"/>
      <x:c r="V131" s="37"/>
      <x:c r="W131" s="70"/>
      <x:c r="X131"/>
      <x:c r="Y131"/>
      <x:c r="Z131"/>
      <x:c r="AA131"/>
    </x:row>
    <x:row r="132">
      <x:c r="A132" s="37"/>
      <x:c r="B132" s="37"/>
      <x:c r="C132" s="37"/>
      <x:c r="D132" s="37"/>
      <x:c r="E132" s="37"/>
      <x:c r="F132" s="37"/>
      <x:c r="G132" s="56"/>
      <x:c r="H132" s="37"/>
      <x:c r="I132" s="37"/>
      <x:c r="J132" s="37"/>
      <x:c r="K132" s="56"/>
      <x:c r="L132" s="37"/>
      <x:c r="M132" s="37"/>
      <x:c r="N132" s="57"/>
      <x:c r="O132" s="57"/>
      <x:c r="P132" s="57"/>
      <x:c r="Q132" s="57"/>
      <x:c r="R132" s="57"/>
      <x:c r="S132" s="37"/>
      <x:c r="T132" s="37"/>
      <x:c r="U132" s="37"/>
      <x:c r="V132" s="37"/>
      <x:c r="W132" s="70"/>
      <x:c r="X132"/>
      <x:c r="Y132"/>
      <x:c r="Z132"/>
      <x:c r="AA132"/>
    </x:row>
    <x:row r="133">
      <x:c r="A133" s="37"/>
      <x:c r="B133" s="37"/>
      <x:c r="C133" s="37"/>
      <x:c r="D133" s="37"/>
      <x:c r="E133" s="37"/>
      <x:c r="F133" s="37"/>
      <x:c r="G133" s="56"/>
      <x:c r="H133" s="37"/>
      <x:c r="I133" s="37"/>
      <x:c r="J133" s="37"/>
      <x:c r="K133" s="56"/>
      <x:c r="L133" s="37"/>
      <x:c r="M133" s="37"/>
      <x:c r="N133" s="57"/>
      <x:c r="O133" s="57"/>
      <x:c r="P133" s="57"/>
      <x:c r="Q133" s="57"/>
      <x:c r="R133" s="57"/>
      <x:c r="S133" s="37"/>
      <x:c r="T133" s="37"/>
      <x:c r="U133" s="37"/>
      <x:c r="V133" s="37"/>
      <x:c r="W133" s="70"/>
      <x:c r="X133"/>
      <x:c r="Y133"/>
      <x:c r="Z133"/>
      <x:c r="AA133"/>
    </x:row>
    <x:row r="134">
      <x:c r="A134" s="37"/>
      <x:c r="B134" s="37"/>
      <x:c r="C134" s="37"/>
      <x:c r="D134" s="37"/>
      <x:c r="E134" s="37"/>
      <x:c r="F134" s="37"/>
      <x:c r="G134" s="56"/>
      <x:c r="H134" s="37"/>
      <x:c r="I134" s="37"/>
      <x:c r="J134" s="37"/>
      <x:c r="K134" s="56"/>
      <x:c r="L134" s="37"/>
      <x:c r="M134" s="37"/>
      <x:c r="N134" s="57"/>
      <x:c r="O134" s="57"/>
      <x:c r="P134" s="57"/>
      <x:c r="Q134" s="57"/>
      <x:c r="R134" s="57"/>
      <x:c r="S134" s="37"/>
      <x:c r="T134" s="37"/>
      <x:c r="U134" s="37"/>
      <x:c r="V134" s="37"/>
      <x:c r="W134" s="70"/>
      <x:c r="X134"/>
      <x:c r="Y134"/>
      <x:c r="Z134"/>
      <x:c r="AA134"/>
    </x:row>
    <x:row r="135">
      <x:c r="A135" s="37"/>
      <x:c r="B135" s="37"/>
      <x:c r="C135" s="37"/>
      <x:c r="D135" s="37"/>
      <x:c r="E135" s="37"/>
      <x:c r="F135" s="37"/>
      <x:c r="G135" s="56"/>
      <x:c r="H135" s="37"/>
      <x:c r="I135" s="37"/>
      <x:c r="J135" s="37"/>
      <x:c r="K135" s="56"/>
      <x:c r="L135" s="37"/>
      <x:c r="M135" s="37"/>
      <x:c r="N135" s="57"/>
      <x:c r="O135" s="57"/>
      <x:c r="P135" s="57"/>
      <x:c r="Q135" s="57"/>
      <x:c r="R135" s="57"/>
      <x:c r="S135" s="37"/>
      <x:c r="T135" s="37"/>
      <x:c r="U135" s="37"/>
      <x:c r="V135" s="37"/>
      <x:c r="W135" s="70"/>
      <x:c r="X135"/>
      <x:c r="Y135"/>
      <x:c r="Z135"/>
      <x:c r="AA135"/>
    </x:row>
    <x:row r="136">
      <x:c r="A136" s="37"/>
      <x:c r="B136" s="37"/>
      <x:c r="C136" s="37"/>
      <x:c r="D136" s="37"/>
      <x:c r="E136" s="37"/>
      <x:c r="F136" s="37"/>
      <x:c r="G136" s="56"/>
      <x:c r="H136" s="37"/>
      <x:c r="I136" s="37"/>
      <x:c r="J136" s="37"/>
      <x:c r="K136" s="56"/>
      <x:c r="L136" s="37"/>
      <x:c r="M136" s="37"/>
      <x:c r="N136" s="57"/>
      <x:c r="O136" s="57"/>
      <x:c r="P136" s="57"/>
      <x:c r="Q136" s="57"/>
      <x:c r="R136" s="57"/>
      <x:c r="S136" s="37"/>
      <x:c r="T136" s="37"/>
      <x:c r="U136" s="37"/>
      <x:c r="V136" s="37"/>
      <x:c r="W136" s="70"/>
      <x:c r="X136"/>
      <x:c r="Y136"/>
      <x:c r="Z136"/>
      <x:c r="AA136"/>
    </x:row>
    <x:row r="137">
      <x:c r="A137" s="37"/>
      <x:c r="B137" s="37"/>
      <x:c r="C137" s="37"/>
      <x:c r="D137" s="37"/>
      <x:c r="E137" s="37"/>
      <x:c r="F137" s="37"/>
      <x:c r="G137" s="56"/>
      <x:c r="H137" s="37"/>
      <x:c r="I137" s="37"/>
      <x:c r="J137" s="37"/>
      <x:c r="K137" s="56"/>
      <x:c r="L137" s="37"/>
      <x:c r="M137" s="37"/>
      <x:c r="N137" s="57"/>
      <x:c r="O137" s="57"/>
      <x:c r="P137" s="57"/>
      <x:c r="Q137" s="57"/>
      <x:c r="R137" s="57"/>
      <x:c r="S137" s="37"/>
      <x:c r="T137" s="37"/>
      <x:c r="U137" s="37"/>
      <x:c r="V137" s="37"/>
      <x:c r="W137" s="70"/>
      <x:c r="X137"/>
      <x:c r="Y137"/>
      <x:c r="Z137"/>
      <x:c r="AA137"/>
    </x:row>
    <x:row r="138">
      <x:c r="A138" s="37"/>
      <x:c r="B138" s="37"/>
      <x:c r="C138" s="37"/>
      <x:c r="D138" s="37"/>
      <x:c r="E138" s="37"/>
      <x:c r="F138" s="37"/>
      <x:c r="G138" s="56"/>
      <x:c r="H138" s="37"/>
      <x:c r="I138" s="37"/>
      <x:c r="J138" s="37"/>
      <x:c r="K138" s="56"/>
      <x:c r="L138" s="37"/>
      <x:c r="M138" s="37"/>
      <x:c r="N138" s="57"/>
      <x:c r="O138" s="57"/>
      <x:c r="P138" s="57"/>
      <x:c r="Q138" s="57"/>
      <x:c r="R138" s="57"/>
      <x:c r="S138" s="37"/>
      <x:c r="T138" s="37"/>
      <x:c r="U138" s="37"/>
      <x:c r="V138" s="37"/>
      <x:c r="W138" s="70"/>
      <x:c r="X138"/>
      <x:c r="Y138"/>
      <x:c r="Z138"/>
      <x:c r="AA138"/>
    </x:row>
    <x:row r="139">
      <x:c r="A139" s="37"/>
      <x:c r="B139" s="37"/>
      <x:c r="C139" s="37"/>
      <x:c r="D139" s="37"/>
      <x:c r="E139" s="37"/>
      <x:c r="F139" s="37"/>
      <x:c r="G139" s="56"/>
      <x:c r="H139" s="37"/>
      <x:c r="I139" s="37"/>
      <x:c r="J139" s="37"/>
      <x:c r="K139" s="56"/>
      <x:c r="L139" s="37"/>
      <x:c r="M139" s="37"/>
      <x:c r="N139" s="57"/>
      <x:c r="O139" s="57"/>
      <x:c r="P139" s="57"/>
      <x:c r="Q139" s="57"/>
      <x:c r="R139" s="57"/>
      <x:c r="S139" s="37"/>
      <x:c r="T139" s="37"/>
      <x:c r="U139" s="37"/>
      <x:c r="V139" s="37"/>
      <x:c r="W139" s="70"/>
      <x:c r="X139"/>
      <x:c r="Y139"/>
      <x:c r="Z139"/>
      <x:c r="AA139"/>
    </x:row>
    <x:row r="140">
      <x:c r="A140" s="37"/>
      <x:c r="B140" s="37"/>
      <x:c r="C140" s="37"/>
      <x:c r="D140" s="37"/>
      <x:c r="E140" s="37"/>
      <x:c r="F140" s="37"/>
      <x:c r="G140" s="56"/>
      <x:c r="H140" s="37"/>
      <x:c r="I140" s="37"/>
      <x:c r="J140" s="37"/>
      <x:c r="K140" s="56"/>
      <x:c r="L140" s="37"/>
      <x:c r="M140" s="37"/>
      <x:c r="N140" s="57"/>
      <x:c r="O140" s="57"/>
      <x:c r="P140" s="57"/>
      <x:c r="Q140" s="57"/>
      <x:c r="R140" s="57"/>
      <x:c r="S140" s="37"/>
      <x:c r="T140" s="37"/>
      <x:c r="U140" s="37"/>
      <x:c r="V140" s="37"/>
      <x:c r="W140" s="70"/>
      <x:c r="X140"/>
      <x:c r="Y140"/>
      <x:c r="Z140"/>
      <x:c r="AA140"/>
    </x:row>
    <x:row r="141">
      <x:c r="A141" s="37"/>
      <x:c r="B141" s="37"/>
      <x:c r="C141" s="37"/>
      <x:c r="D141" s="37"/>
      <x:c r="E141" s="37"/>
      <x:c r="F141" s="37"/>
      <x:c r="G141" s="56"/>
      <x:c r="H141" s="37"/>
      <x:c r="I141" s="37"/>
      <x:c r="J141" s="37"/>
      <x:c r="K141" s="56"/>
      <x:c r="L141" s="37"/>
      <x:c r="M141" s="37"/>
      <x:c r="N141" s="57"/>
      <x:c r="O141" s="57"/>
      <x:c r="P141" s="57"/>
      <x:c r="Q141" s="57"/>
      <x:c r="R141" s="57"/>
      <x:c r="S141" s="37"/>
      <x:c r="T141" s="37"/>
      <x:c r="U141" s="37"/>
      <x:c r="V141" s="37"/>
      <x:c r="W141" s="70"/>
      <x:c r="X141"/>
      <x:c r="Y141"/>
      <x:c r="Z141"/>
      <x:c r="AA141"/>
    </x:row>
    <x:row r="142">
      <x:c r="A142" s="37"/>
      <x:c r="B142" s="37"/>
      <x:c r="C142" s="37"/>
      <x:c r="D142" s="37"/>
      <x:c r="E142" s="37"/>
      <x:c r="F142" s="37"/>
      <x:c r="G142" s="56"/>
      <x:c r="H142" s="37"/>
      <x:c r="I142" s="37"/>
      <x:c r="J142" s="37"/>
      <x:c r="K142" s="56"/>
      <x:c r="L142" s="37"/>
      <x:c r="M142" s="37"/>
      <x:c r="N142" s="57"/>
      <x:c r="O142" s="57"/>
      <x:c r="P142" s="57"/>
      <x:c r="Q142" s="57"/>
      <x:c r="R142" s="57"/>
      <x:c r="S142" s="37"/>
      <x:c r="T142" s="37"/>
      <x:c r="U142" s="37"/>
      <x:c r="V142" s="37"/>
      <x:c r="W142" s="70"/>
      <x:c r="X142"/>
      <x:c r="Y142"/>
      <x:c r="Z142"/>
      <x:c r="AA142"/>
    </x:row>
    <x:row r="143">
      <x:c r="A143" s="37"/>
      <x:c r="B143" s="37"/>
      <x:c r="C143" s="37"/>
      <x:c r="D143" s="37"/>
      <x:c r="E143" s="37"/>
      <x:c r="F143" s="37"/>
      <x:c r="G143" s="56"/>
      <x:c r="H143" s="37"/>
      <x:c r="I143" s="37"/>
      <x:c r="J143" s="37"/>
      <x:c r="K143" s="56"/>
      <x:c r="L143" s="37"/>
      <x:c r="M143" s="37"/>
      <x:c r="N143" s="57"/>
      <x:c r="O143" s="57"/>
      <x:c r="P143" s="57"/>
      <x:c r="Q143" s="57"/>
      <x:c r="R143" s="57"/>
      <x:c r="S143" s="37"/>
      <x:c r="T143" s="37"/>
      <x:c r="U143" s="37"/>
      <x:c r="V143" s="37"/>
      <x:c r="W143" s="70"/>
      <x:c r="X143"/>
      <x:c r="Y143"/>
      <x:c r="Z143"/>
      <x:c r="AA143"/>
    </x:row>
    <x:row r="144">
      <x:c r="A144" s="37"/>
      <x:c r="B144" s="37"/>
      <x:c r="C144" s="37"/>
      <x:c r="D144" s="37"/>
      <x:c r="E144" s="37"/>
      <x:c r="F144" s="37"/>
      <x:c r="G144" s="56"/>
      <x:c r="H144" s="37"/>
      <x:c r="I144" s="37"/>
      <x:c r="J144" s="37"/>
      <x:c r="K144" s="56"/>
      <x:c r="L144" s="37"/>
      <x:c r="M144" s="37"/>
      <x:c r="N144" s="57"/>
      <x:c r="O144" s="57"/>
      <x:c r="P144" s="57"/>
      <x:c r="Q144" s="57"/>
      <x:c r="R144" s="57"/>
      <x:c r="S144" s="37"/>
      <x:c r="T144" s="37"/>
      <x:c r="U144" s="37"/>
      <x:c r="V144" s="37"/>
      <x:c r="W144" s="70"/>
      <x:c r="X144"/>
      <x:c r="Y144"/>
      <x:c r="Z144"/>
      <x:c r="AA144"/>
    </x:row>
    <x:row r="145">
      <x:c r="A145" s="37"/>
      <x:c r="B145" s="37"/>
      <x:c r="C145" s="37"/>
      <x:c r="D145" s="37"/>
      <x:c r="E145" s="37"/>
      <x:c r="F145" s="37"/>
      <x:c r="G145" s="56"/>
      <x:c r="H145" s="37"/>
      <x:c r="I145" s="37"/>
      <x:c r="J145" s="37"/>
      <x:c r="K145" s="56"/>
      <x:c r="L145" s="37"/>
      <x:c r="M145" s="37"/>
      <x:c r="N145" s="57"/>
      <x:c r="O145" s="57"/>
      <x:c r="P145" s="57"/>
      <x:c r="Q145" s="57"/>
      <x:c r="R145" s="57"/>
      <x:c r="S145" s="37"/>
      <x:c r="T145" s="37"/>
      <x:c r="U145" s="37"/>
      <x:c r="V145" s="37"/>
      <x:c r="W145" s="70"/>
      <x:c r="X145"/>
      <x:c r="Y145"/>
      <x:c r="Z145"/>
      <x:c r="AA145"/>
    </x:row>
    <x:row r="146">
      <x:c r="A146" s="37"/>
      <x:c r="B146" s="37"/>
      <x:c r="C146" s="37"/>
      <x:c r="D146" s="37"/>
      <x:c r="E146" s="37"/>
      <x:c r="F146" s="37"/>
      <x:c r="G146" s="56"/>
      <x:c r="H146" s="37"/>
      <x:c r="I146" s="37"/>
      <x:c r="J146" s="37"/>
      <x:c r="K146" s="56"/>
      <x:c r="L146" s="37"/>
      <x:c r="M146" s="37"/>
      <x:c r="N146" s="57"/>
      <x:c r="O146" s="57"/>
      <x:c r="P146" s="57"/>
      <x:c r="Q146" s="57"/>
      <x:c r="R146" s="57"/>
      <x:c r="S146" s="37"/>
      <x:c r="T146" s="37"/>
      <x:c r="U146" s="37"/>
      <x:c r="V146" s="37"/>
      <x:c r="W146" s="70"/>
      <x:c r="X146"/>
      <x:c r="Y146"/>
      <x:c r="Z146"/>
      <x:c r="AA146"/>
    </x:row>
    <x:row r="147">
      <x:c r="A147" s="37"/>
      <x:c r="B147" s="37"/>
      <x:c r="C147" s="37"/>
      <x:c r="D147" s="37"/>
      <x:c r="E147" s="37"/>
      <x:c r="F147" s="37"/>
      <x:c r="G147" s="56"/>
      <x:c r="H147" s="37"/>
      <x:c r="I147" s="37"/>
      <x:c r="J147" s="37"/>
      <x:c r="K147" s="56"/>
      <x:c r="L147" s="37"/>
      <x:c r="M147" s="37"/>
      <x:c r="N147" s="57"/>
      <x:c r="O147" s="57"/>
      <x:c r="P147" s="57"/>
      <x:c r="Q147" s="57"/>
      <x:c r="R147" s="57"/>
      <x:c r="S147" s="37"/>
      <x:c r="T147" s="37"/>
      <x:c r="U147" s="37"/>
      <x:c r="V147" s="37"/>
      <x:c r="W147" s="70"/>
      <x:c r="X147"/>
      <x:c r="Y147"/>
      <x:c r="Z147"/>
      <x:c r="AA147"/>
    </x:row>
    <x:row r="148">
      <x:c r="A148" s="37"/>
      <x:c r="B148" s="37"/>
      <x:c r="C148" s="37"/>
      <x:c r="D148" s="37"/>
      <x:c r="E148" s="37"/>
      <x:c r="F148" s="37"/>
      <x:c r="G148" s="56"/>
      <x:c r="H148" s="37"/>
      <x:c r="I148" s="37"/>
      <x:c r="J148" s="37"/>
      <x:c r="K148" s="56"/>
      <x:c r="L148" s="37"/>
      <x:c r="M148" s="37"/>
      <x:c r="N148" s="57"/>
      <x:c r="O148" s="57"/>
      <x:c r="P148" s="57"/>
      <x:c r="Q148" s="57"/>
      <x:c r="R148" s="57"/>
      <x:c r="S148" s="37"/>
      <x:c r="T148" s="37"/>
      <x:c r="U148" s="37"/>
      <x:c r="V148" s="37"/>
      <x:c r="W148" s="70"/>
      <x:c r="X148"/>
      <x:c r="Y148"/>
      <x:c r="Z148"/>
      <x:c r="AA148"/>
    </x:row>
    <x:row r="149">
      <x:c r="A149" s="37"/>
      <x:c r="B149" s="37"/>
      <x:c r="C149" s="37"/>
      <x:c r="D149" s="37"/>
      <x:c r="E149" s="37"/>
      <x:c r="F149" s="37"/>
      <x:c r="G149" s="56"/>
      <x:c r="H149" s="37"/>
      <x:c r="I149" s="37"/>
      <x:c r="J149" s="37"/>
      <x:c r="K149" s="56"/>
      <x:c r="L149" s="37"/>
      <x:c r="M149" s="37"/>
      <x:c r="N149" s="57"/>
      <x:c r="O149" s="57"/>
      <x:c r="P149" s="57"/>
      <x:c r="Q149" s="57"/>
      <x:c r="R149" s="57"/>
      <x:c r="S149" s="37"/>
      <x:c r="T149" s="37"/>
      <x:c r="U149" s="37"/>
      <x:c r="V149" s="37"/>
      <x:c r="W149" s="70"/>
      <x:c r="X149"/>
      <x:c r="Y149"/>
      <x:c r="Z149"/>
      <x:c r="AA149"/>
    </x:row>
    <x:row r="150">
      <x:c r="A150" s="37"/>
      <x:c r="B150" s="37"/>
      <x:c r="C150" s="37"/>
      <x:c r="D150" s="37"/>
      <x:c r="E150" s="37"/>
      <x:c r="F150" s="37"/>
      <x:c r="G150" s="56"/>
      <x:c r="H150" s="37"/>
      <x:c r="I150" s="37"/>
      <x:c r="J150" s="37"/>
      <x:c r="K150" s="56"/>
      <x:c r="L150" s="37"/>
      <x:c r="M150" s="37"/>
      <x:c r="N150" s="57"/>
      <x:c r="O150" s="57"/>
      <x:c r="P150" s="57"/>
      <x:c r="Q150" s="57"/>
      <x:c r="R150" s="57"/>
      <x:c r="S150" s="37"/>
      <x:c r="T150" s="37"/>
      <x:c r="U150" s="37"/>
      <x:c r="V150" s="37"/>
      <x:c r="W150" s="70"/>
      <x:c r="X150"/>
      <x:c r="Y150"/>
      <x:c r="Z150"/>
      <x:c r="AA150"/>
    </x:row>
    <x:row r="151">
      <x:c r="A151" s="37"/>
      <x:c r="B151" s="37"/>
      <x:c r="C151" s="37"/>
      <x:c r="D151" s="37"/>
      <x:c r="E151" s="37"/>
      <x:c r="F151" s="37"/>
      <x:c r="G151" s="56"/>
      <x:c r="H151" s="37"/>
      <x:c r="I151" s="37"/>
      <x:c r="J151" s="37"/>
      <x:c r="K151" s="56"/>
      <x:c r="L151" s="37"/>
      <x:c r="M151" s="37"/>
      <x:c r="N151" s="57"/>
      <x:c r="O151" s="57"/>
      <x:c r="P151" s="57"/>
      <x:c r="Q151" s="57"/>
      <x:c r="R151" s="57"/>
      <x:c r="S151" s="37"/>
      <x:c r="T151" s="37"/>
      <x:c r="U151" s="37"/>
      <x:c r="V151" s="37"/>
      <x:c r="W151" s="70"/>
      <x:c r="X151"/>
      <x:c r="Y151"/>
      <x:c r="Z151"/>
      <x:c r="AA151"/>
    </x:row>
    <x:row r="152">
      <x:c r="A152" s="37"/>
      <x:c r="B152" s="37"/>
      <x:c r="C152" s="37"/>
      <x:c r="D152" s="37"/>
      <x:c r="E152" s="37"/>
      <x:c r="F152" s="37"/>
      <x:c r="G152" s="56"/>
      <x:c r="H152" s="37"/>
      <x:c r="I152" s="37"/>
      <x:c r="J152" s="37"/>
      <x:c r="K152" s="56"/>
      <x:c r="L152" s="37"/>
      <x:c r="M152" s="37"/>
      <x:c r="N152" s="57"/>
      <x:c r="O152" s="57"/>
      <x:c r="P152" s="57"/>
      <x:c r="Q152" s="57"/>
      <x:c r="R152" s="57"/>
      <x:c r="S152" s="37"/>
      <x:c r="T152" s="37"/>
      <x:c r="U152" s="37"/>
      <x:c r="V152" s="37"/>
      <x:c r="W152" s="70"/>
      <x:c r="X152"/>
      <x:c r="Y152"/>
      <x:c r="Z152"/>
      <x:c r="AA152"/>
    </x:row>
    <x:row r="153">
      <x:c r="A153" s="37"/>
      <x:c r="B153" s="37"/>
      <x:c r="C153" s="37"/>
      <x:c r="D153" s="37"/>
      <x:c r="E153" s="37"/>
      <x:c r="F153" s="37"/>
      <x:c r="G153" s="56"/>
      <x:c r="H153" s="37"/>
      <x:c r="I153" s="37"/>
      <x:c r="J153" s="37"/>
      <x:c r="K153" s="56"/>
      <x:c r="L153" s="37"/>
      <x:c r="M153" s="37"/>
      <x:c r="N153" s="57"/>
      <x:c r="O153" s="57"/>
      <x:c r="P153" s="57"/>
      <x:c r="Q153" s="57"/>
      <x:c r="R153" s="57"/>
      <x:c r="S153" s="37"/>
      <x:c r="T153" s="37"/>
      <x:c r="U153" s="37"/>
      <x:c r="V153" s="37"/>
      <x:c r="W153" s="70"/>
      <x:c r="X153"/>
      <x:c r="Y153"/>
      <x:c r="Z153"/>
      <x:c r="AA153"/>
    </x:row>
    <x:row r="154">
      <x:c r="A154" s="37"/>
      <x:c r="B154" s="37"/>
      <x:c r="C154" s="37"/>
      <x:c r="D154" s="37"/>
      <x:c r="E154" s="37"/>
      <x:c r="F154" s="37"/>
      <x:c r="G154" s="56"/>
      <x:c r="H154" s="37"/>
      <x:c r="I154" s="37"/>
      <x:c r="J154" s="37"/>
      <x:c r="K154" s="56"/>
      <x:c r="L154" s="37"/>
      <x:c r="M154" s="37"/>
      <x:c r="N154" s="57"/>
      <x:c r="O154" s="57"/>
      <x:c r="P154" s="57"/>
      <x:c r="Q154" s="57"/>
      <x:c r="R154" s="57"/>
      <x:c r="S154" s="37"/>
      <x:c r="T154" s="37"/>
      <x:c r="U154" s="37"/>
      <x:c r="V154" s="37"/>
      <x:c r="W154" s="70"/>
      <x:c r="X154"/>
      <x:c r="Y154"/>
      <x:c r="Z154"/>
      <x:c r="AA154"/>
    </x:row>
    <x:row r="155">
      <x:c r="A155" s="37"/>
      <x:c r="B155" s="37"/>
      <x:c r="C155" s="37"/>
      <x:c r="D155" s="37"/>
      <x:c r="E155" s="37"/>
      <x:c r="F155" s="37"/>
      <x:c r="G155" s="56"/>
      <x:c r="H155" s="37"/>
      <x:c r="I155" s="37"/>
      <x:c r="J155" s="37"/>
      <x:c r="K155" s="56"/>
      <x:c r="L155" s="37"/>
      <x:c r="M155" s="37"/>
      <x:c r="N155" s="57"/>
      <x:c r="O155" s="57"/>
      <x:c r="P155" s="57"/>
      <x:c r="Q155" s="57"/>
      <x:c r="R155" s="57"/>
      <x:c r="S155" s="37"/>
      <x:c r="T155" s="37"/>
      <x:c r="U155" s="37"/>
      <x:c r="V155" s="37"/>
      <x:c r="W155" s="70"/>
      <x:c r="X155"/>
      <x:c r="Y155"/>
      <x:c r="Z155"/>
      <x:c r="AA155"/>
    </x:row>
    <x:row r="156">
      <x:c r="A156" s="37"/>
      <x:c r="B156" s="37"/>
      <x:c r="C156" s="37"/>
      <x:c r="D156" s="37"/>
      <x:c r="E156" s="37"/>
      <x:c r="F156" s="37"/>
      <x:c r="G156" s="56"/>
      <x:c r="H156" s="37"/>
      <x:c r="I156" s="37"/>
      <x:c r="J156" s="37"/>
      <x:c r="K156" s="56"/>
      <x:c r="L156" s="37"/>
      <x:c r="M156" s="37"/>
      <x:c r="N156" s="57"/>
      <x:c r="O156" s="57"/>
      <x:c r="P156" s="57"/>
      <x:c r="Q156" s="57"/>
      <x:c r="R156" s="57"/>
      <x:c r="S156" s="37"/>
      <x:c r="T156" s="37"/>
      <x:c r="U156" s="37"/>
      <x:c r="V156" s="37"/>
      <x:c r="W156" s="70"/>
      <x:c r="X156"/>
      <x:c r="Y156"/>
      <x:c r="Z156"/>
      <x:c r="AA156"/>
    </x:row>
    <x:row r="157">
      <x:c r="A157" s="37"/>
      <x:c r="B157" s="37"/>
      <x:c r="C157" s="37"/>
      <x:c r="D157" s="37"/>
      <x:c r="E157" s="37"/>
      <x:c r="F157" s="37"/>
      <x:c r="G157" s="56"/>
      <x:c r="H157" s="37"/>
      <x:c r="I157" s="37"/>
      <x:c r="J157" s="37"/>
      <x:c r="K157" s="56"/>
      <x:c r="L157" s="37"/>
      <x:c r="M157" s="37"/>
      <x:c r="N157" s="57"/>
      <x:c r="O157" s="57"/>
      <x:c r="P157" s="57"/>
      <x:c r="Q157" s="57"/>
      <x:c r="R157" s="57"/>
      <x:c r="S157" s="37"/>
      <x:c r="T157" s="37"/>
      <x:c r="U157" s="37"/>
      <x:c r="V157" s="37"/>
      <x:c r="W157" s="70"/>
      <x:c r="X157"/>
      <x:c r="Y157"/>
      <x:c r="Z157"/>
      <x:c r="AA157"/>
    </x:row>
    <x:row r="158">
      <x:c r="A158" s="37"/>
      <x:c r="B158" s="37"/>
      <x:c r="C158" s="37"/>
      <x:c r="D158" s="37"/>
      <x:c r="E158" s="37"/>
      <x:c r="F158" s="37"/>
      <x:c r="G158" s="56"/>
      <x:c r="H158" s="37"/>
      <x:c r="I158" s="37"/>
      <x:c r="J158" s="37"/>
      <x:c r="K158" s="56"/>
      <x:c r="L158" s="37"/>
      <x:c r="M158" s="37"/>
      <x:c r="N158" s="57"/>
      <x:c r="O158" s="57"/>
      <x:c r="P158" s="57"/>
      <x:c r="Q158" s="57"/>
      <x:c r="R158" s="57"/>
      <x:c r="S158" s="37"/>
      <x:c r="T158" s="37"/>
      <x:c r="U158" s="37"/>
      <x:c r="V158" s="37"/>
      <x:c r="W158" s="70"/>
      <x:c r="X158"/>
      <x:c r="Y158"/>
      <x:c r="Z158"/>
      <x:c r="AA158"/>
    </x:row>
    <x:row r="159">
      <x:c r="A159" s="37"/>
      <x:c r="B159" s="37"/>
      <x:c r="C159" s="37"/>
      <x:c r="D159" s="37"/>
      <x:c r="E159" s="37"/>
      <x:c r="F159" s="37"/>
      <x:c r="G159" s="56"/>
      <x:c r="H159" s="37"/>
      <x:c r="I159" s="37"/>
      <x:c r="J159" s="37"/>
      <x:c r="K159" s="56"/>
      <x:c r="L159" s="37"/>
      <x:c r="M159" s="37"/>
      <x:c r="N159" s="57"/>
      <x:c r="O159" s="57"/>
      <x:c r="P159" s="57"/>
      <x:c r="Q159" s="57"/>
      <x:c r="R159" s="57"/>
      <x:c r="S159" s="37"/>
      <x:c r="T159" s="37"/>
      <x:c r="U159" s="37"/>
      <x:c r="V159" s="37"/>
      <x:c r="W159" s="70"/>
      <x:c r="X159"/>
      <x:c r="Y159"/>
      <x:c r="Z159"/>
      <x:c r="AA159"/>
    </x:row>
    <x:row r="160">
      <x:c r="A160" s="37"/>
      <x:c r="B160" s="37"/>
      <x:c r="C160" s="37"/>
      <x:c r="D160" s="37"/>
      <x:c r="E160" s="37"/>
      <x:c r="F160" s="37"/>
      <x:c r="G160" s="56"/>
      <x:c r="H160" s="37"/>
      <x:c r="I160" s="37"/>
      <x:c r="J160" s="37"/>
      <x:c r="K160" s="56"/>
      <x:c r="L160" s="37"/>
      <x:c r="M160" s="37"/>
      <x:c r="N160" s="57"/>
      <x:c r="O160" s="57"/>
      <x:c r="P160" s="57"/>
      <x:c r="Q160" s="57"/>
      <x:c r="R160" s="57"/>
      <x:c r="S160" s="37"/>
      <x:c r="T160" s="37"/>
      <x:c r="U160" s="37"/>
      <x:c r="V160" s="37"/>
      <x:c r="W160" s="70"/>
      <x:c r="X160"/>
      <x:c r="Y160"/>
      <x:c r="Z160"/>
      <x:c r="AA160"/>
    </x:row>
    <x:row r="161">
      <x:c r="A161" s="37"/>
      <x:c r="B161" s="37"/>
      <x:c r="C161" s="37"/>
      <x:c r="D161" s="37"/>
      <x:c r="E161" s="37"/>
      <x:c r="F161" s="37"/>
      <x:c r="G161" s="56"/>
      <x:c r="H161" s="37"/>
      <x:c r="I161" s="37"/>
      <x:c r="J161" s="37"/>
      <x:c r="K161" s="56"/>
      <x:c r="L161" s="37"/>
      <x:c r="M161" s="37"/>
      <x:c r="N161" s="57"/>
      <x:c r="O161" s="57"/>
      <x:c r="P161" s="57"/>
      <x:c r="Q161" s="57"/>
      <x:c r="R161" s="57"/>
      <x:c r="S161" s="37"/>
      <x:c r="T161" s="37"/>
      <x:c r="U161" s="37"/>
      <x:c r="V161" s="37"/>
      <x:c r="W161" s="70"/>
      <x:c r="X161"/>
      <x:c r="Y161"/>
      <x:c r="Z161"/>
      <x:c r="AA161"/>
    </x:row>
    <x:row r="162">
      <x:c r="A162" s="37"/>
      <x:c r="B162" s="37"/>
      <x:c r="C162" s="37"/>
      <x:c r="D162" s="37"/>
      <x:c r="E162" s="37"/>
      <x:c r="F162" s="37"/>
      <x:c r="G162" s="56"/>
      <x:c r="H162" s="37"/>
      <x:c r="I162" s="37"/>
      <x:c r="J162" s="37"/>
      <x:c r="K162" s="56"/>
      <x:c r="L162" s="37"/>
      <x:c r="M162" s="37"/>
      <x:c r="N162" s="57"/>
      <x:c r="O162" s="57"/>
      <x:c r="P162" s="57"/>
      <x:c r="Q162" s="57"/>
      <x:c r="R162" s="57"/>
      <x:c r="S162" s="37"/>
      <x:c r="T162" s="37"/>
      <x:c r="U162" s="37"/>
      <x:c r="V162" s="37"/>
      <x:c r="W162" s="70"/>
      <x:c r="X162"/>
      <x:c r="Y162"/>
      <x:c r="Z162"/>
      <x:c r="AA162"/>
    </x:row>
    <x:row r="163">
      <x:c r="A163" s="37"/>
      <x:c r="B163" s="37"/>
      <x:c r="C163" s="37"/>
      <x:c r="D163" s="37"/>
      <x:c r="E163" s="37"/>
      <x:c r="F163" s="37"/>
      <x:c r="G163" s="56"/>
      <x:c r="H163" s="37"/>
      <x:c r="I163" s="37"/>
      <x:c r="J163" s="37"/>
      <x:c r="K163" s="56"/>
      <x:c r="L163" s="37"/>
      <x:c r="M163" s="37"/>
      <x:c r="N163" s="57"/>
      <x:c r="O163" s="57"/>
      <x:c r="P163" s="57"/>
      <x:c r="Q163" s="57"/>
      <x:c r="R163" s="57"/>
      <x:c r="S163" s="37"/>
      <x:c r="T163" s="37"/>
      <x:c r="U163" s="37"/>
      <x:c r="V163" s="37"/>
      <x:c r="W163" s="70"/>
      <x:c r="X163"/>
      <x:c r="Y163"/>
      <x:c r="Z163"/>
      <x:c r="AA163"/>
    </x:row>
    <x:row r="164">
      <x:c r="A164" s="37"/>
      <x:c r="B164" s="37"/>
      <x:c r="C164" s="37"/>
      <x:c r="D164" s="37"/>
      <x:c r="E164" s="37"/>
      <x:c r="F164" s="37"/>
      <x:c r="G164" s="56"/>
      <x:c r="H164" s="37"/>
      <x:c r="I164" s="37"/>
      <x:c r="J164" s="37"/>
      <x:c r="K164" s="56"/>
      <x:c r="L164" s="37"/>
      <x:c r="M164" s="37"/>
      <x:c r="N164" s="57"/>
      <x:c r="O164" s="57"/>
      <x:c r="P164" s="57"/>
      <x:c r="Q164" s="57"/>
      <x:c r="R164" s="57"/>
      <x:c r="S164" s="37"/>
      <x:c r="T164" s="37"/>
      <x:c r="U164" s="37"/>
      <x:c r="V164" s="37"/>
      <x:c r="W164" s="70"/>
      <x:c r="X164"/>
      <x:c r="Y164"/>
      <x:c r="Z164"/>
      <x:c r="AA164"/>
    </x:row>
    <x:row r="165">
      <x:c r="A165" s="37"/>
      <x:c r="B165" s="37"/>
      <x:c r="C165" s="37"/>
      <x:c r="D165" s="37"/>
      <x:c r="E165" s="37"/>
      <x:c r="F165" s="37"/>
      <x:c r="G165" s="56"/>
      <x:c r="H165" s="37"/>
      <x:c r="I165" s="37"/>
      <x:c r="J165" s="37"/>
      <x:c r="K165" s="56"/>
      <x:c r="L165" s="37"/>
      <x:c r="M165" s="37"/>
      <x:c r="N165" s="57"/>
      <x:c r="O165" s="57"/>
      <x:c r="P165" s="57"/>
      <x:c r="Q165" s="57"/>
      <x:c r="R165" s="57"/>
      <x:c r="S165" s="37"/>
      <x:c r="T165" s="37"/>
      <x:c r="U165" s="37"/>
      <x:c r="V165" s="37"/>
      <x:c r="W165" s="70"/>
      <x:c r="X165"/>
      <x:c r="Y165"/>
      <x:c r="Z165"/>
      <x:c r="AA165"/>
    </x:row>
    <x:row r="166">
      <x:c r="A166" s="37"/>
      <x:c r="B166" s="37"/>
      <x:c r="C166" s="37"/>
      <x:c r="D166" s="37"/>
      <x:c r="E166" s="37"/>
      <x:c r="F166" s="37"/>
      <x:c r="G166" s="56"/>
      <x:c r="H166" s="37"/>
      <x:c r="I166" s="37"/>
      <x:c r="J166" s="37"/>
      <x:c r="K166" s="56"/>
      <x:c r="L166" s="37"/>
      <x:c r="M166" s="37"/>
      <x:c r="N166" s="57"/>
      <x:c r="O166" s="57"/>
      <x:c r="P166" s="57"/>
      <x:c r="Q166" s="57"/>
      <x:c r="R166" s="57"/>
      <x:c r="S166" s="37"/>
      <x:c r="T166" s="37"/>
      <x:c r="U166" s="37"/>
      <x:c r="V166" s="37"/>
      <x:c r="W166" s="70"/>
      <x:c r="X166"/>
      <x:c r="Y166"/>
      <x:c r="Z166"/>
      <x:c r="AA166"/>
    </x:row>
    <x:row r="167">
      <x:c r="A167" s="37"/>
      <x:c r="B167" s="37"/>
      <x:c r="C167" s="37"/>
      <x:c r="D167" s="37"/>
      <x:c r="E167" s="37"/>
      <x:c r="F167" s="37"/>
      <x:c r="G167" s="56"/>
      <x:c r="H167" s="37"/>
      <x:c r="I167" s="37"/>
      <x:c r="J167" s="37"/>
      <x:c r="K167" s="56"/>
      <x:c r="L167" s="37"/>
      <x:c r="M167" s="37"/>
      <x:c r="N167" s="57"/>
      <x:c r="O167" s="57"/>
      <x:c r="P167" s="57"/>
      <x:c r="Q167" s="57"/>
      <x:c r="R167" s="57"/>
      <x:c r="S167" s="37"/>
      <x:c r="T167" s="37"/>
      <x:c r="U167" s="37"/>
      <x:c r="V167" s="37"/>
      <x:c r="W167" s="70"/>
      <x:c r="X167"/>
      <x:c r="Y167"/>
      <x:c r="Z167"/>
      <x:c r="AA167"/>
    </x:row>
    <x:row r="168">
      <x:c r="A168" s="37"/>
      <x:c r="B168" s="37"/>
      <x:c r="C168" s="37"/>
      <x:c r="D168" s="37"/>
      <x:c r="E168" s="37"/>
      <x:c r="F168" s="37"/>
      <x:c r="G168" s="56"/>
      <x:c r="H168" s="37"/>
      <x:c r="I168" s="37"/>
      <x:c r="J168" s="37"/>
      <x:c r="K168" s="56"/>
      <x:c r="L168" s="37"/>
      <x:c r="M168" s="37"/>
      <x:c r="N168" s="57"/>
      <x:c r="O168" s="57"/>
      <x:c r="P168" s="57"/>
      <x:c r="Q168" s="57"/>
      <x:c r="R168" s="57"/>
      <x:c r="S168" s="37"/>
      <x:c r="T168" s="37"/>
      <x:c r="U168" s="37"/>
      <x:c r="V168" s="37"/>
      <x:c r="W168" s="70"/>
      <x:c r="X168"/>
      <x:c r="Y168"/>
      <x:c r="Z168"/>
      <x:c r="AA168"/>
    </x:row>
    <x:row r="169">
      <x:c r="A169" s="37"/>
      <x:c r="B169" s="37"/>
      <x:c r="C169" s="37"/>
      <x:c r="D169" s="37"/>
      <x:c r="E169" s="37"/>
      <x:c r="F169" s="37"/>
      <x:c r="G169" s="56"/>
      <x:c r="H169" s="37"/>
      <x:c r="I169" s="37"/>
      <x:c r="J169" s="37"/>
      <x:c r="K169" s="56"/>
      <x:c r="L169" s="37"/>
      <x:c r="M169" s="37"/>
      <x:c r="N169" s="57"/>
      <x:c r="O169" s="57"/>
      <x:c r="P169" s="57"/>
      <x:c r="Q169" s="57"/>
      <x:c r="R169" s="57"/>
      <x:c r="S169" s="37"/>
      <x:c r="T169" s="37"/>
      <x:c r="U169" s="37"/>
      <x:c r="V169" s="37"/>
      <x:c r="W169" s="70"/>
      <x:c r="X169"/>
      <x:c r="Y169"/>
      <x:c r="Z169"/>
      <x:c r="AA169"/>
    </x:row>
    <x:row r="170">
      <x:c r="A170" s="37"/>
      <x:c r="B170" s="37"/>
      <x:c r="C170" s="37"/>
      <x:c r="D170" s="37"/>
      <x:c r="E170" s="37"/>
      <x:c r="F170" s="37"/>
      <x:c r="G170" s="56"/>
      <x:c r="H170" s="37"/>
      <x:c r="I170" s="37"/>
      <x:c r="J170" s="37"/>
      <x:c r="K170" s="56"/>
      <x:c r="L170" s="37"/>
      <x:c r="M170" s="37"/>
      <x:c r="N170" s="57"/>
      <x:c r="O170" s="57"/>
      <x:c r="P170" s="57"/>
      <x:c r="Q170" s="57"/>
      <x:c r="R170" s="57"/>
      <x:c r="S170" s="37"/>
      <x:c r="T170" s="37"/>
      <x:c r="U170" s="37"/>
      <x:c r="V170" s="37"/>
      <x:c r="W170" s="70"/>
      <x:c r="X170"/>
      <x:c r="Y170"/>
      <x:c r="Z170"/>
      <x:c r="AA170"/>
    </x:row>
    <x:row r="171">
      <x:c r="A171" s="37"/>
      <x:c r="B171" s="37"/>
      <x:c r="C171" s="37"/>
      <x:c r="D171" s="37"/>
      <x:c r="E171" s="37"/>
      <x:c r="F171" s="37"/>
      <x:c r="G171" s="56"/>
      <x:c r="H171" s="37"/>
      <x:c r="I171" s="37"/>
      <x:c r="J171" s="37"/>
      <x:c r="K171" s="56"/>
      <x:c r="L171" s="37"/>
      <x:c r="M171" s="37"/>
      <x:c r="N171" s="57"/>
      <x:c r="O171" s="57"/>
      <x:c r="P171" s="57"/>
      <x:c r="Q171" s="57"/>
      <x:c r="R171" s="57"/>
      <x:c r="S171" s="37"/>
      <x:c r="T171" s="37"/>
      <x:c r="U171" s="37"/>
      <x:c r="V171" s="37"/>
      <x:c r="W171" s="70"/>
      <x:c r="X171"/>
      <x:c r="Y171"/>
      <x:c r="Z171"/>
      <x:c r="AA171"/>
    </x:row>
    <x:row r="172">
      <x:c r="A172" s="37"/>
      <x:c r="B172" s="37"/>
      <x:c r="C172" s="37"/>
      <x:c r="D172" s="37"/>
      <x:c r="E172" s="37"/>
      <x:c r="F172" s="37"/>
      <x:c r="G172" s="56"/>
      <x:c r="H172" s="37"/>
      <x:c r="I172" s="37"/>
      <x:c r="J172" s="37"/>
      <x:c r="K172" s="56"/>
      <x:c r="L172" s="37"/>
      <x:c r="M172" s="37"/>
      <x:c r="N172" s="57"/>
      <x:c r="O172" s="57"/>
      <x:c r="P172" s="57"/>
      <x:c r="Q172" s="57"/>
      <x:c r="R172" s="57"/>
      <x:c r="S172" s="37"/>
      <x:c r="T172" s="37"/>
      <x:c r="U172" s="37"/>
      <x:c r="V172" s="37"/>
      <x:c r="W172" s="70"/>
      <x:c r="X172"/>
      <x:c r="Y172"/>
      <x:c r="Z172"/>
      <x:c r="AA172"/>
    </x:row>
    <x:row r="173">
      <x:c r="A173" s="37"/>
      <x:c r="B173" s="37"/>
      <x:c r="C173" s="37"/>
      <x:c r="D173" s="37"/>
      <x:c r="E173" s="37"/>
      <x:c r="F173" s="37"/>
      <x:c r="G173" s="56"/>
      <x:c r="H173" s="37"/>
      <x:c r="I173" s="37"/>
      <x:c r="J173" s="37"/>
      <x:c r="K173" s="56"/>
      <x:c r="L173" s="37"/>
      <x:c r="M173" s="37"/>
      <x:c r="N173" s="57"/>
      <x:c r="O173" s="57"/>
      <x:c r="P173" s="57"/>
      <x:c r="Q173" s="57"/>
      <x:c r="R173" s="57"/>
      <x:c r="S173" s="37"/>
      <x:c r="T173" s="37"/>
      <x:c r="U173" s="37"/>
      <x:c r="V173" s="37"/>
      <x:c r="W173" s="70"/>
      <x:c r="X173"/>
      <x:c r="Y173"/>
      <x:c r="Z173"/>
      <x:c r="AA173"/>
    </x:row>
    <x:row r="174">
      <x:c r="A174" s="37"/>
      <x:c r="B174" s="37"/>
      <x:c r="C174" s="37"/>
      <x:c r="D174" s="37"/>
      <x:c r="E174" s="37"/>
      <x:c r="F174" s="37"/>
      <x:c r="G174" s="56"/>
      <x:c r="H174" s="37"/>
      <x:c r="I174" s="37"/>
      <x:c r="J174" s="37"/>
      <x:c r="K174" s="56"/>
      <x:c r="L174" s="37"/>
      <x:c r="M174" s="37"/>
      <x:c r="N174" s="57"/>
      <x:c r="O174" s="57"/>
      <x:c r="P174" s="57"/>
      <x:c r="Q174" s="57"/>
      <x:c r="R174" s="57"/>
      <x:c r="S174" s="37"/>
      <x:c r="T174" s="37"/>
      <x:c r="U174" s="37"/>
      <x:c r="V174" s="37"/>
      <x:c r="W174" s="70"/>
      <x:c r="X174"/>
      <x:c r="Y174"/>
      <x:c r="Z174"/>
      <x:c r="AA174"/>
    </x:row>
    <x:row r="175">
      <x:c r="A175" s="37"/>
      <x:c r="B175" s="37"/>
      <x:c r="C175" s="37"/>
      <x:c r="D175" s="37"/>
      <x:c r="E175" s="37"/>
      <x:c r="F175" s="37"/>
      <x:c r="G175" s="56"/>
      <x:c r="H175" s="37"/>
      <x:c r="I175" s="37"/>
      <x:c r="J175" s="37"/>
      <x:c r="K175" s="56"/>
      <x:c r="L175" s="37"/>
      <x:c r="M175" s="37"/>
      <x:c r="N175" s="57"/>
      <x:c r="O175" s="57"/>
      <x:c r="P175" s="57"/>
      <x:c r="Q175" s="57"/>
      <x:c r="R175" s="57"/>
      <x:c r="S175" s="37"/>
      <x:c r="T175" s="37"/>
      <x:c r="U175" s="37"/>
      <x:c r="V175" s="37"/>
      <x:c r="W175" s="70"/>
      <x:c r="X175"/>
      <x:c r="Y175"/>
      <x:c r="Z175"/>
      <x:c r="AA175"/>
    </x:row>
    <x:row r="176">
      <x:c r="A176" s="37"/>
      <x:c r="B176" s="37"/>
      <x:c r="C176" s="37"/>
      <x:c r="D176" s="37"/>
      <x:c r="E176" s="37"/>
      <x:c r="F176" s="37"/>
      <x:c r="G176" s="56"/>
      <x:c r="H176" s="37"/>
      <x:c r="I176" s="37"/>
      <x:c r="J176" s="37"/>
      <x:c r="K176" s="56"/>
      <x:c r="L176" s="37"/>
      <x:c r="M176" s="37"/>
      <x:c r="N176" s="57"/>
      <x:c r="O176" s="57"/>
      <x:c r="P176" s="57"/>
      <x:c r="Q176" s="57"/>
      <x:c r="R176" s="57"/>
      <x:c r="S176" s="37"/>
      <x:c r="T176" s="37"/>
      <x:c r="U176" s="37"/>
      <x:c r="V176" s="37"/>
      <x:c r="W176" s="70"/>
      <x:c r="X176"/>
      <x:c r="Y176"/>
      <x:c r="Z176"/>
      <x:c r="AA176"/>
    </x:row>
    <x:row r="177">
      <x:c r="A177" s="37"/>
      <x:c r="B177" s="37"/>
      <x:c r="C177" s="37"/>
      <x:c r="D177" s="37"/>
      <x:c r="E177" s="37"/>
      <x:c r="F177" s="37"/>
      <x:c r="G177" s="56"/>
      <x:c r="H177" s="37"/>
      <x:c r="I177" s="37"/>
      <x:c r="J177" s="37"/>
      <x:c r="K177" s="56"/>
      <x:c r="L177" s="37"/>
      <x:c r="M177" s="37"/>
      <x:c r="N177" s="57"/>
      <x:c r="O177" s="57"/>
      <x:c r="P177" s="57"/>
      <x:c r="Q177" s="57"/>
      <x:c r="R177" s="57"/>
      <x:c r="S177" s="37"/>
      <x:c r="T177" s="37"/>
      <x:c r="U177" s="37"/>
      <x:c r="V177" s="37"/>
      <x:c r="W177" s="70"/>
      <x:c r="X177"/>
      <x:c r="Y177"/>
      <x:c r="Z177"/>
      <x:c r="AA177"/>
    </x:row>
    <x:row r="178">
      <x:c r="A178" s="37"/>
      <x:c r="B178" s="37"/>
      <x:c r="C178" s="37"/>
      <x:c r="D178" s="37"/>
      <x:c r="E178" s="37"/>
      <x:c r="F178" s="37"/>
      <x:c r="G178" s="56"/>
      <x:c r="H178" s="37"/>
      <x:c r="I178" s="37"/>
      <x:c r="J178" s="37"/>
      <x:c r="K178" s="56"/>
      <x:c r="L178" s="37"/>
      <x:c r="M178" s="37"/>
      <x:c r="N178" s="57"/>
      <x:c r="O178" s="57"/>
      <x:c r="P178" s="57"/>
      <x:c r="Q178" s="57"/>
      <x:c r="R178" s="57"/>
      <x:c r="S178" s="37"/>
      <x:c r="T178" s="37"/>
      <x:c r="U178" s="37"/>
      <x:c r="V178" s="37"/>
      <x:c r="W178" s="70"/>
      <x:c r="X178"/>
      <x:c r="Y178"/>
      <x:c r="Z178"/>
      <x:c r="AA178"/>
    </x:row>
    <x:row r="179">
      <x:c r="A179" s="37"/>
      <x:c r="B179" s="37"/>
      <x:c r="C179" s="37"/>
      <x:c r="D179" s="37"/>
      <x:c r="E179" s="37"/>
      <x:c r="F179" s="37"/>
      <x:c r="G179" s="56"/>
      <x:c r="H179" s="37"/>
      <x:c r="I179" s="37"/>
      <x:c r="J179" s="37"/>
      <x:c r="K179" s="56"/>
      <x:c r="L179" s="37"/>
      <x:c r="M179" s="37"/>
      <x:c r="N179" s="57"/>
      <x:c r="O179" s="57"/>
      <x:c r="P179" s="57"/>
      <x:c r="Q179" s="57"/>
      <x:c r="R179" s="57"/>
      <x:c r="S179" s="37"/>
      <x:c r="T179" s="37"/>
      <x:c r="U179" s="37"/>
      <x:c r="V179" s="37"/>
      <x:c r="W179" s="70"/>
      <x:c r="X179"/>
      <x:c r="Y179"/>
      <x:c r="Z179"/>
      <x:c r="AA179"/>
    </x:row>
    <x:row r="180">
      <x:c r="A180" s="37"/>
      <x:c r="B180" s="37"/>
      <x:c r="C180" s="37"/>
      <x:c r="D180" s="37"/>
      <x:c r="E180" s="37"/>
      <x:c r="F180" s="37"/>
      <x:c r="G180" s="56"/>
      <x:c r="H180" s="37"/>
      <x:c r="I180" s="37"/>
      <x:c r="J180" s="37"/>
      <x:c r="K180" s="56"/>
      <x:c r="L180" s="37"/>
      <x:c r="M180" s="37"/>
      <x:c r="N180" s="57"/>
      <x:c r="O180" s="57"/>
      <x:c r="P180" s="57"/>
      <x:c r="Q180" s="57"/>
      <x:c r="R180" s="57"/>
      <x:c r="S180" s="37"/>
      <x:c r="T180" s="37"/>
      <x:c r="U180" s="37"/>
      <x:c r="V180" s="37"/>
      <x:c r="W180" s="70"/>
      <x:c r="X180"/>
      <x:c r="Y180"/>
      <x:c r="Z180"/>
      <x:c r="AA180"/>
    </x:row>
    <x:row r="181">
      <x:c r="A181" s="37"/>
      <x:c r="B181" s="37"/>
      <x:c r="C181" s="37"/>
      <x:c r="D181" s="37"/>
      <x:c r="E181" s="37"/>
      <x:c r="F181" s="37"/>
      <x:c r="G181" s="56"/>
      <x:c r="H181" s="37"/>
      <x:c r="I181" s="37"/>
      <x:c r="J181" s="37"/>
      <x:c r="K181" s="56"/>
      <x:c r="L181" s="37"/>
      <x:c r="M181" s="37"/>
      <x:c r="N181" s="57"/>
      <x:c r="O181" s="57"/>
      <x:c r="P181" s="57"/>
      <x:c r="Q181" s="57"/>
      <x:c r="R181" s="57"/>
      <x:c r="S181" s="37"/>
      <x:c r="T181" s="37"/>
      <x:c r="U181" s="37"/>
      <x:c r="V181" s="37"/>
      <x:c r="W181" s="70"/>
      <x:c r="X181"/>
      <x:c r="Y181"/>
      <x:c r="Z181"/>
      <x:c r="AA181"/>
    </x:row>
    <x:row r="182">
      <x:c r="A182" s="37"/>
      <x:c r="B182" s="37"/>
      <x:c r="C182" s="37"/>
      <x:c r="D182" s="37"/>
      <x:c r="E182" s="37"/>
      <x:c r="F182" s="37"/>
      <x:c r="G182" s="56"/>
      <x:c r="H182" s="37"/>
      <x:c r="I182" s="37"/>
      <x:c r="J182" s="37"/>
      <x:c r="K182" s="56"/>
      <x:c r="L182" s="37"/>
      <x:c r="M182" s="37"/>
      <x:c r="N182" s="57"/>
      <x:c r="O182" s="57"/>
      <x:c r="P182" s="57"/>
      <x:c r="Q182" s="57"/>
      <x:c r="R182" s="57"/>
      <x:c r="S182" s="37"/>
      <x:c r="T182" s="37"/>
      <x:c r="U182" s="37"/>
      <x:c r="V182" s="37"/>
      <x:c r="W182" s="70"/>
      <x:c r="X182"/>
      <x:c r="Y182"/>
      <x:c r="Z182"/>
      <x:c r="AA182"/>
    </x:row>
    <x:row r="183">
      <x:c r="A183" s="37"/>
      <x:c r="B183" s="37"/>
      <x:c r="C183" s="37"/>
      <x:c r="D183" s="37"/>
      <x:c r="E183" s="37"/>
      <x:c r="F183" s="37"/>
      <x:c r="G183" s="56"/>
      <x:c r="H183" s="37"/>
      <x:c r="I183" s="37"/>
      <x:c r="J183" s="37"/>
      <x:c r="K183" s="56"/>
      <x:c r="L183" s="37"/>
      <x:c r="M183" s="37"/>
      <x:c r="N183" s="57"/>
      <x:c r="O183" s="57"/>
      <x:c r="P183" s="57"/>
      <x:c r="Q183" s="57"/>
      <x:c r="R183" s="57"/>
      <x:c r="S183" s="37"/>
      <x:c r="T183" s="37"/>
      <x:c r="U183" s="37"/>
      <x:c r="V183" s="37"/>
      <x:c r="W183" s="70"/>
      <x:c r="X183"/>
      <x:c r="Y183"/>
      <x:c r="Z183"/>
      <x:c r="AA183"/>
    </x:row>
    <x:row r="184">
      <x:c r="A184" s="37"/>
      <x:c r="B184" s="37"/>
      <x:c r="C184" s="37"/>
      <x:c r="D184" s="37"/>
      <x:c r="E184" s="37"/>
      <x:c r="F184" s="37"/>
      <x:c r="G184" s="56"/>
      <x:c r="H184" s="37"/>
      <x:c r="I184" s="37"/>
      <x:c r="J184" s="37"/>
      <x:c r="K184" s="56"/>
      <x:c r="L184" s="37"/>
      <x:c r="M184" s="37"/>
      <x:c r="N184" s="57"/>
      <x:c r="O184" s="57"/>
      <x:c r="P184" s="57"/>
      <x:c r="Q184" s="57"/>
      <x:c r="R184" s="57"/>
      <x:c r="S184" s="37"/>
      <x:c r="T184" s="37"/>
      <x:c r="U184" s="37"/>
      <x:c r="V184" s="37"/>
      <x:c r="W184" s="70"/>
      <x:c r="X184"/>
      <x:c r="Y184"/>
      <x:c r="Z184"/>
      <x:c r="AA184"/>
    </x:row>
    <x:row r="185">
      <x:c r="A185" s="37"/>
      <x:c r="B185" s="37"/>
      <x:c r="C185" s="37"/>
      <x:c r="D185" s="37"/>
      <x:c r="E185" s="37"/>
      <x:c r="F185" s="37"/>
      <x:c r="G185" s="56"/>
      <x:c r="H185" s="37"/>
      <x:c r="I185" s="37"/>
      <x:c r="J185" s="37"/>
      <x:c r="K185" s="56"/>
      <x:c r="L185" s="37"/>
      <x:c r="M185" s="37"/>
      <x:c r="N185" s="57"/>
      <x:c r="O185" s="57"/>
      <x:c r="P185" s="57"/>
      <x:c r="Q185" s="57"/>
      <x:c r="R185" s="57"/>
      <x:c r="S185" s="37"/>
      <x:c r="T185" s="37"/>
      <x:c r="U185" s="37"/>
      <x:c r="V185" s="37"/>
      <x:c r="W185" s="70"/>
      <x:c r="X185"/>
      <x:c r="Y185"/>
      <x:c r="Z185"/>
      <x:c r="AA185"/>
    </x:row>
    <x:row r="186">
      <x:c r="A186" s="37"/>
      <x:c r="B186" s="37"/>
      <x:c r="C186" s="37"/>
      <x:c r="D186" s="37"/>
      <x:c r="E186" s="37"/>
      <x:c r="F186" s="37"/>
      <x:c r="G186" s="56"/>
      <x:c r="H186" s="37"/>
      <x:c r="I186" s="37"/>
      <x:c r="J186" s="37"/>
      <x:c r="K186" s="56"/>
      <x:c r="L186" s="37"/>
      <x:c r="M186" s="37"/>
      <x:c r="N186" s="57"/>
      <x:c r="O186" s="57"/>
      <x:c r="P186" s="57"/>
      <x:c r="Q186" s="57"/>
      <x:c r="R186" s="57"/>
      <x:c r="S186" s="37"/>
      <x:c r="T186" s="37"/>
      <x:c r="U186" s="37"/>
      <x:c r="V186" s="37"/>
      <x:c r="W186" s="70"/>
      <x:c r="X186"/>
      <x:c r="Y186"/>
      <x:c r="Z186"/>
      <x:c r="AA186"/>
    </x:row>
    <x:row r="187">
      <x:c r="A187" s="37"/>
      <x:c r="B187" s="37"/>
      <x:c r="C187" s="37"/>
      <x:c r="D187" s="37"/>
      <x:c r="E187" s="37"/>
      <x:c r="F187" s="37"/>
      <x:c r="G187" s="56"/>
      <x:c r="H187" s="37"/>
      <x:c r="I187" s="37"/>
      <x:c r="J187" s="37"/>
      <x:c r="K187" s="56"/>
      <x:c r="L187" s="37"/>
      <x:c r="M187" s="37"/>
      <x:c r="N187" s="57"/>
      <x:c r="O187" s="57"/>
      <x:c r="P187" s="57"/>
      <x:c r="Q187" s="57"/>
      <x:c r="R187" s="57"/>
      <x:c r="S187" s="37"/>
      <x:c r="T187" s="37"/>
      <x:c r="U187" s="37"/>
      <x:c r="V187" s="37"/>
      <x:c r="W187" s="70"/>
      <x:c r="X187"/>
      <x:c r="Y187"/>
      <x:c r="Z187"/>
      <x:c r="AA187"/>
    </x:row>
    <x:row r="188">
      <x:c r="A188" s="37"/>
      <x:c r="B188" s="37"/>
      <x:c r="C188" s="37"/>
      <x:c r="D188" s="37"/>
      <x:c r="E188" s="37"/>
      <x:c r="F188" s="37"/>
      <x:c r="G188" s="56"/>
      <x:c r="H188" s="37"/>
      <x:c r="I188" s="37"/>
      <x:c r="J188" s="37"/>
      <x:c r="K188" s="56"/>
      <x:c r="L188" s="37"/>
      <x:c r="M188" s="37"/>
      <x:c r="N188" s="57"/>
      <x:c r="O188" s="57"/>
      <x:c r="P188" s="57"/>
      <x:c r="Q188" s="57"/>
      <x:c r="R188" s="57"/>
      <x:c r="S188" s="37"/>
      <x:c r="T188" s="37"/>
      <x:c r="U188" s="37"/>
      <x:c r="V188" s="37"/>
      <x:c r="W188" s="70"/>
      <x:c r="X188"/>
      <x:c r="Y188"/>
      <x:c r="Z188"/>
      <x:c r="AA188"/>
    </x:row>
    <x:row r="189">
      <x:c r="A189" s="37"/>
      <x:c r="B189" s="37"/>
      <x:c r="C189" s="37"/>
      <x:c r="D189" s="37"/>
      <x:c r="E189" s="37"/>
      <x:c r="F189" s="37"/>
      <x:c r="G189" s="56"/>
      <x:c r="H189" s="37"/>
      <x:c r="I189" s="37"/>
      <x:c r="J189" s="37"/>
      <x:c r="K189" s="56"/>
      <x:c r="L189" s="37"/>
      <x:c r="M189" s="37"/>
      <x:c r="N189" s="57"/>
      <x:c r="O189" s="57"/>
      <x:c r="P189" s="57"/>
      <x:c r="Q189" s="57"/>
      <x:c r="R189" s="57"/>
      <x:c r="S189" s="37"/>
      <x:c r="T189" s="37"/>
      <x:c r="U189" s="37"/>
      <x:c r="V189" s="37"/>
      <x:c r="W189" s="70"/>
      <x:c r="X189"/>
      <x:c r="Y189"/>
      <x:c r="Z189"/>
      <x:c r="AA189"/>
    </x:row>
    <x:row r="190">
      <x:c r="A190" s="37"/>
      <x:c r="B190" s="37"/>
      <x:c r="C190" s="37"/>
      <x:c r="D190" s="37"/>
      <x:c r="E190" s="37"/>
      <x:c r="F190" s="37"/>
      <x:c r="G190" s="56"/>
      <x:c r="H190" s="37"/>
      <x:c r="I190" s="37"/>
      <x:c r="J190" s="37"/>
      <x:c r="K190" s="56"/>
      <x:c r="L190" s="37"/>
      <x:c r="M190" s="37"/>
      <x:c r="N190" s="57"/>
      <x:c r="O190" s="57"/>
      <x:c r="P190" s="57"/>
      <x:c r="Q190" s="57"/>
      <x:c r="R190" s="57"/>
      <x:c r="S190" s="37"/>
      <x:c r="T190" s="37"/>
      <x:c r="U190" s="37"/>
      <x:c r="V190" s="37"/>
      <x:c r="W190" s="70"/>
      <x:c r="X190"/>
      <x:c r="Y190"/>
      <x:c r="Z190"/>
      <x:c r="AA190"/>
    </x:row>
    <x:row r="191">
      <x:c r="A191" s="37"/>
      <x:c r="B191" s="37"/>
      <x:c r="C191" s="37"/>
      <x:c r="D191" s="37"/>
      <x:c r="E191" s="37"/>
      <x:c r="F191" s="37"/>
      <x:c r="G191" s="56"/>
      <x:c r="H191" s="37"/>
      <x:c r="I191" s="37"/>
      <x:c r="J191" s="37"/>
      <x:c r="K191" s="56"/>
      <x:c r="L191" s="37"/>
      <x:c r="M191" s="37"/>
      <x:c r="N191" s="57"/>
      <x:c r="O191" s="57"/>
      <x:c r="P191" s="57"/>
      <x:c r="Q191" s="57"/>
      <x:c r="R191" s="57"/>
      <x:c r="S191" s="37"/>
      <x:c r="T191" s="37"/>
      <x:c r="U191" s="37"/>
      <x:c r="V191" s="37"/>
      <x:c r="W191" s="70"/>
      <x:c r="X191"/>
      <x:c r="Y191"/>
      <x:c r="Z191"/>
      <x:c r="AA191"/>
    </x:row>
    <x:row r="192">
      <x:c r="A192" s="37"/>
      <x:c r="B192" s="37"/>
      <x:c r="C192" s="37"/>
      <x:c r="D192" s="37"/>
      <x:c r="E192" s="37"/>
      <x:c r="F192" s="37"/>
      <x:c r="G192" s="56"/>
      <x:c r="H192" s="37"/>
      <x:c r="I192" s="37"/>
      <x:c r="J192" s="37"/>
      <x:c r="K192" s="56"/>
      <x:c r="L192" s="37"/>
      <x:c r="M192" s="37"/>
      <x:c r="N192" s="57"/>
      <x:c r="O192" s="57"/>
      <x:c r="P192" s="57"/>
      <x:c r="Q192" s="57"/>
      <x:c r="R192" s="57"/>
      <x:c r="S192" s="37"/>
      <x:c r="T192" s="37"/>
      <x:c r="U192" s="37"/>
      <x:c r="V192" s="37"/>
      <x:c r="W192" s="70"/>
      <x:c r="X192"/>
      <x:c r="Y192"/>
      <x:c r="Z192"/>
      <x:c r="AA192"/>
    </x:row>
    <x:row r="193">
      <x:c r="A193" s="37"/>
      <x:c r="B193" s="37"/>
      <x:c r="C193" s="37"/>
      <x:c r="D193" s="37"/>
      <x:c r="E193" s="37"/>
      <x:c r="F193" s="37"/>
      <x:c r="G193" s="56"/>
      <x:c r="H193" s="37"/>
      <x:c r="I193" s="37"/>
      <x:c r="J193" s="37"/>
      <x:c r="K193" s="56"/>
      <x:c r="L193" s="37"/>
      <x:c r="M193" s="37"/>
      <x:c r="N193" s="57"/>
      <x:c r="O193" s="57"/>
      <x:c r="P193" s="57"/>
      <x:c r="Q193" s="57"/>
      <x:c r="R193" s="57"/>
      <x:c r="S193" s="37"/>
      <x:c r="T193" s="37"/>
      <x:c r="U193" s="37"/>
      <x:c r="V193" s="37"/>
      <x:c r="W193" s="70"/>
      <x:c r="X193"/>
      <x:c r="Y193"/>
      <x:c r="Z193"/>
      <x:c r="AA193"/>
    </x:row>
    <x:row r="194">
      <x:c r="A194" s="37"/>
      <x:c r="B194" s="37"/>
      <x:c r="C194" s="37"/>
      <x:c r="D194" s="37"/>
      <x:c r="E194" s="37"/>
      <x:c r="F194" s="37"/>
      <x:c r="G194" s="56"/>
      <x:c r="H194" s="37"/>
      <x:c r="I194" s="37"/>
      <x:c r="J194" s="37"/>
      <x:c r="K194" s="56"/>
      <x:c r="L194" s="37"/>
      <x:c r="M194" s="37"/>
      <x:c r="N194" s="57"/>
      <x:c r="O194" s="57"/>
      <x:c r="P194" s="57"/>
      <x:c r="Q194" s="57"/>
      <x:c r="R194" s="57"/>
      <x:c r="S194" s="37"/>
      <x:c r="T194" s="37"/>
      <x:c r="U194" s="37"/>
      <x:c r="V194" s="37"/>
      <x:c r="W194" s="70"/>
      <x:c r="X194"/>
      <x:c r="Y194"/>
      <x:c r="Z194"/>
      <x:c r="AA194"/>
    </x:row>
    <x:row r="195">
      <x:c r="A195" s="37"/>
      <x:c r="B195" s="37"/>
      <x:c r="C195" s="37"/>
      <x:c r="D195" s="37"/>
      <x:c r="E195" s="37"/>
      <x:c r="F195" s="37"/>
      <x:c r="G195" s="56"/>
      <x:c r="H195" s="37"/>
      <x:c r="I195" s="37"/>
      <x:c r="J195" s="37"/>
      <x:c r="K195" s="56"/>
      <x:c r="L195" s="37"/>
      <x:c r="M195" s="37"/>
      <x:c r="N195" s="57"/>
      <x:c r="O195" s="57"/>
      <x:c r="P195" s="57"/>
      <x:c r="Q195" s="57"/>
      <x:c r="R195" s="57"/>
      <x:c r="S195" s="37"/>
      <x:c r="T195" s="37"/>
      <x:c r="U195" s="37"/>
      <x:c r="V195" s="37"/>
      <x:c r="W195" s="70"/>
      <x:c r="X195"/>
      <x:c r="Y195"/>
      <x:c r="Z195"/>
      <x:c r="AA195"/>
    </x:row>
    <x:row r="196">
      <x:c r="A196" s="37"/>
      <x:c r="B196" s="37"/>
      <x:c r="C196" s="37"/>
      <x:c r="D196" s="37"/>
      <x:c r="E196" s="37"/>
      <x:c r="F196" s="37"/>
      <x:c r="G196" s="56"/>
      <x:c r="H196" s="37"/>
      <x:c r="I196" s="37"/>
      <x:c r="J196" s="37"/>
      <x:c r="K196" s="56"/>
      <x:c r="L196" s="37"/>
      <x:c r="M196" s="37"/>
      <x:c r="N196" s="57"/>
      <x:c r="O196" s="57"/>
      <x:c r="P196" s="57"/>
      <x:c r="Q196" s="57"/>
      <x:c r="R196" s="57"/>
      <x:c r="S196" s="37"/>
      <x:c r="T196" s="37"/>
      <x:c r="U196" s="37"/>
      <x:c r="V196" s="37"/>
      <x:c r="W196" s="70"/>
      <x:c r="X196"/>
      <x:c r="Y196"/>
      <x:c r="Z196"/>
      <x:c r="AA196"/>
    </x:row>
    <x:row r="197">
      <x:c r="A197" s="37"/>
      <x:c r="B197" s="37"/>
      <x:c r="C197" s="37"/>
      <x:c r="D197" s="37"/>
      <x:c r="E197" s="37"/>
      <x:c r="F197" s="37"/>
      <x:c r="G197" s="56"/>
      <x:c r="H197" s="37"/>
      <x:c r="I197" s="37"/>
      <x:c r="J197" s="37"/>
      <x:c r="K197" s="56"/>
      <x:c r="L197" s="37"/>
      <x:c r="M197" s="37"/>
      <x:c r="N197" s="57"/>
      <x:c r="O197" s="57"/>
      <x:c r="P197" s="57"/>
      <x:c r="Q197" s="57"/>
      <x:c r="R197" s="57"/>
      <x:c r="S197" s="37"/>
      <x:c r="T197" s="37"/>
      <x:c r="U197" s="37"/>
      <x:c r="V197" s="37"/>
      <x:c r="W197" s="70"/>
      <x:c r="X197"/>
      <x:c r="Y197"/>
      <x:c r="Z197"/>
      <x:c r="AA197"/>
    </x:row>
    <x:row r="198">
      <x:c r="A198" s="37"/>
      <x:c r="B198" s="37"/>
      <x:c r="C198" s="37"/>
      <x:c r="D198" s="37"/>
      <x:c r="E198" s="37"/>
      <x:c r="F198" s="37"/>
      <x:c r="G198" s="56"/>
      <x:c r="H198" s="37"/>
      <x:c r="I198" s="37"/>
      <x:c r="J198" s="37"/>
      <x:c r="K198" s="56"/>
      <x:c r="L198" s="37"/>
      <x:c r="M198" s="37"/>
      <x:c r="N198" s="57"/>
      <x:c r="O198" s="57"/>
      <x:c r="P198" s="57"/>
      <x:c r="Q198" s="57"/>
      <x:c r="R198" s="57"/>
      <x:c r="S198" s="37"/>
      <x:c r="T198" s="37"/>
      <x:c r="U198" s="37"/>
      <x:c r="V198" s="37"/>
      <x:c r="W198" s="70"/>
      <x:c r="X198"/>
      <x:c r="Y198"/>
      <x:c r="Z198"/>
      <x:c r="AA198"/>
    </x:row>
    <x:row r="199">
      <x:c r="A199" s="37"/>
      <x:c r="B199" s="37"/>
      <x:c r="C199" s="37"/>
      <x:c r="D199" s="37"/>
      <x:c r="E199" s="37"/>
      <x:c r="F199" s="37"/>
      <x:c r="G199" s="56"/>
      <x:c r="H199" s="37"/>
      <x:c r="I199" s="37"/>
      <x:c r="J199" s="37"/>
      <x:c r="K199" s="56"/>
      <x:c r="L199" s="37"/>
      <x:c r="M199" s="37"/>
      <x:c r="N199" s="57"/>
      <x:c r="O199" s="57"/>
      <x:c r="P199" s="57"/>
      <x:c r="Q199" s="57"/>
      <x:c r="R199" s="57"/>
      <x:c r="S199" s="37"/>
      <x:c r="T199" s="37"/>
      <x:c r="U199" s="37"/>
      <x:c r="V199" s="37"/>
      <x:c r="W199" s="70"/>
      <x:c r="X199"/>
      <x:c r="Y199"/>
      <x:c r="Z199"/>
      <x:c r="AA199"/>
    </x:row>
    <x:row r="200">
      <x:c r="A200" s="37"/>
      <x:c r="B200" s="37"/>
      <x:c r="C200" s="37"/>
      <x:c r="D200" s="37"/>
      <x:c r="E200" s="37"/>
      <x:c r="F200" s="37"/>
      <x:c r="G200" s="56"/>
      <x:c r="H200" s="37"/>
      <x:c r="I200" s="37"/>
      <x:c r="J200" s="37"/>
      <x:c r="K200" s="56"/>
      <x:c r="L200" s="37"/>
      <x:c r="M200" s="37"/>
      <x:c r="N200" s="57"/>
      <x:c r="O200" s="57"/>
      <x:c r="P200" s="57"/>
      <x:c r="Q200" s="57"/>
      <x:c r="R200" s="57"/>
      <x:c r="S200" s="37"/>
      <x:c r="T200" s="37"/>
      <x:c r="U200" s="37"/>
      <x:c r="V200" s="37"/>
      <x:c r="W200" s="70"/>
      <x:c r="X200"/>
      <x:c r="Y200"/>
      <x:c r="Z200"/>
      <x:c r="AA200"/>
    </x:row>
    <x:row r="201">
      <x:c r="A201" s="37"/>
      <x:c r="B201" s="37"/>
      <x:c r="C201" s="37"/>
      <x:c r="D201" s="37"/>
      <x:c r="E201" s="37"/>
      <x:c r="F201" s="37"/>
      <x:c r="G201" s="56"/>
      <x:c r="H201" s="37"/>
      <x:c r="I201" s="37"/>
      <x:c r="J201" s="37"/>
      <x:c r="K201" s="56"/>
      <x:c r="L201" s="37"/>
      <x:c r="M201" s="37"/>
      <x:c r="N201" s="57"/>
      <x:c r="O201" s="57"/>
      <x:c r="P201" s="57"/>
      <x:c r="Q201" s="57"/>
      <x:c r="R201" s="57"/>
      <x:c r="S201" s="37"/>
      <x:c r="T201" s="37"/>
      <x:c r="U201" s="37"/>
      <x:c r="V201" s="37"/>
      <x:c r="W201" s="70"/>
      <x:c r="X201"/>
      <x:c r="Y201"/>
      <x:c r="Z201"/>
      <x:c r="AA201"/>
    </x:row>
    <x:row r="202">
      <x:c r="A202" s="37"/>
      <x:c r="B202" s="37"/>
      <x:c r="C202" s="37"/>
      <x:c r="D202" s="37"/>
      <x:c r="E202" s="37"/>
      <x:c r="F202" s="37"/>
      <x:c r="G202" s="56"/>
      <x:c r="H202" s="37"/>
      <x:c r="I202" s="37"/>
      <x:c r="J202" s="37"/>
      <x:c r="K202" s="56"/>
      <x:c r="L202" s="37"/>
      <x:c r="M202" s="37"/>
      <x:c r="N202" s="57"/>
      <x:c r="O202" s="57"/>
      <x:c r="P202" s="57"/>
      <x:c r="Q202" s="57"/>
      <x:c r="R202" s="57"/>
      <x:c r="S202" s="37"/>
      <x:c r="T202" s="37"/>
      <x:c r="U202" s="37"/>
      <x:c r="V202" s="37"/>
      <x:c r="W202" s="70"/>
      <x:c r="X202"/>
      <x:c r="Y202"/>
      <x:c r="Z202"/>
      <x:c r="AA202"/>
    </x:row>
    <x:row r="203">
      <x:c r="A203" s="37"/>
      <x:c r="B203" s="37"/>
      <x:c r="C203" s="37"/>
      <x:c r="D203" s="37"/>
      <x:c r="E203" s="37"/>
      <x:c r="F203" s="37"/>
      <x:c r="G203" s="56"/>
      <x:c r="H203" s="37"/>
      <x:c r="I203" s="37"/>
      <x:c r="J203" s="37"/>
      <x:c r="K203" s="56"/>
      <x:c r="L203" s="37"/>
      <x:c r="M203" s="37"/>
      <x:c r="N203" s="57"/>
      <x:c r="O203" s="57"/>
      <x:c r="P203" s="57"/>
      <x:c r="Q203" s="57"/>
      <x:c r="R203" s="57"/>
      <x:c r="S203" s="37"/>
      <x:c r="T203" s="37"/>
      <x:c r="U203" s="37"/>
      <x:c r="V203" s="37"/>
      <x:c r="W203" s="70"/>
      <x:c r="X203"/>
      <x:c r="Y203"/>
      <x:c r="Z203"/>
      <x:c r="AA203"/>
    </x:row>
    <x:row r="204">
      <x:c r="A204" s="37"/>
      <x:c r="B204" s="37"/>
      <x:c r="C204" s="37"/>
      <x:c r="D204" s="37"/>
      <x:c r="E204" s="37"/>
      <x:c r="F204" s="37"/>
      <x:c r="G204" s="56"/>
      <x:c r="H204" s="37"/>
      <x:c r="I204" s="37"/>
      <x:c r="J204" s="37"/>
      <x:c r="K204" s="56"/>
      <x:c r="L204" s="37"/>
      <x:c r="M204" s="37"/>
      <x:c r="N204" s="57"/>
      <x:c r="O204" s="57"/>
      <x:c r="P204" s="57"/>
      <x:c r="Q204" s="57"/>
      <x:c r="R204" s="57"/>
      <x:c r="S204" s="37"/>
      <x:c r="T204" s="37"/>
      <x:c r="U204" s="37"/>
      <x:c r="V204" s="37"/>
      <x:c r="W204" s="70"/>
      <x:c r="X204"/>
      <x:c r="Y204"/>
      <x:c r="Z204"/>
      <x:c r="AA204"/>
    </x:row>
    <x:row r="205">
      <x:c r="A205" s="37"/>
      <x:c r="B205" s="37"/>
      <x:c r="C205" s="37"/>
      <x:c r="D205" s="37"/>
      <x:c r="E205" s="37"/>
      <x:c r="F205" s="37"/>
      <x:c r="G205" s="56"/>
      <x:c r="H205" s="37"/>
      <x:c r="I205" s="37"/>
      <x:c r="J205" s="37"/>
      <x:c r="K205" s="56"/>
      <x:c r="L205" s="37"/>
      <x:c r="M205" s="37"/>
      <x:c r="N205" s="57"/>
      <x:c r="O205" s="57"/>
      <x:c r="P205" s="57"/>
      <x:c r="Q205" s="57"/>
      <x:c r="R205" s="57"/>
      <x:c r="S205" s="37"/>
      <x:c r="T205" s="37"/>
      <x:c r="U205" s="37"/>
      <x:c r="V205" s="37"/>
      <x:c r="W205" s="70"/>
      <x:c r="X205"/>
      <x:c r="Y205"/>
      <x:c r="Z205"/>
      <x:c r="AA205"/>
    </x:row>
    <x:row r="206">
      <x:c r="A206" s="37"/>
      <x:c r="B206" s="37"/>
      <x:c r="C206" s="37"/>
      <x:c r="D206" s="37"/>
      <x:c r="E206" s="37"/>
      <x:c r="F206" s="37"/>
      <x:c r="G206" s="56"/>
      <x:c r="H206" s="37"/>
      <x:c r="I206" s="37"/>
      <x:c r="J206" s="37"/>
      <x:c r="K206" s="56"/>
      <x:c r="L206" s="37"/>
      <x:c r="M206" s="37"/>
      <x:c r="N206" s="57"/>
      <x:c r="O206" s="57"/>
      <x:c r="P206" s="57"/>
      <x:c r="Q206" s="57"/>
      <x:c r="R206" s="57"/>
      <x:c r="S206" s="37"/>
      <x:c r="T206" s="37"/>
      <x:c r="U206" s="37"/>
      <x:c r="V206" s="37"/>
      <x:c r="W206" s="70"/>
      <x:c r="X206"/>
      <x:c r="Y206"/>
      <x:c r="Z206"/>
      <x:c r="AA206"/>
    </x:row>
    <x:row r="207">
      <x:c r="A207" s="37"/>
      <x:c r="B207" s="37"/>
      <x:c r="C207" s="37"/>
      <x:c r="D207" s="37"/>
      <x:c r="E207" s="37"/>
      <x:c r="F207" s="37"/>
      <x:c r="G207" s="56"/>
      <x:c r="H207" s="37"/>
      <x:c r="I207" s="37"/>
      <x:c r="J207" s="37"/>
      <x:c r="K207" s="56"/>
      <x:c r="L207" s="37"/>
      <x:c r="M207" s="37"/>
      <x:c r="N207" s="57"/>
      <x:c r="O207" s="57"/>
      <x:c r="P207" s="57"/>
      <x:c r="Q207" s="57"/>
      <x:c r="R207" s="57"/>
      <x:c r="S207" s="37"/>
      <x:c r="T207" s="37"/>
      <x:c r="U207" s="37"/>
      <x:c r="V207" s="37"/>
      <x:c r="W207" s="70"/>
      <x:c r="X207"/>
      <x:c r="Y207"/>
      <x:c r="Z207"/>
      <x:c r="AA207"/>
    </x:row>
    <x:row r="208">
      <x:c r="A208" s="37"/>
      <x:c r="B208" s="37"/>
      <x:c r="C208" s="37"/>
      <x:c r="D208" s="37"/>
      <x:c r="E208" s="37"/>
      <x:c r="F208" s="37"/>
      <x:c r="G208" s="56"/>
      <x:c r="H208" s="37"/>
      <x:c r="I208" s="37"/>
      <x:c r="J208" s="37"/>
      <x:c r="K208" s="56"/>
      <x:c r="L208" s="37"/>
      <x:c r="M208" s="37"/>
      <x:c r="N208" s="57"/>
      <x:c r="O208" s="57"/>
      <x:c r="P208" s="57"/>
      <x:c r="Q208" s="57"/>
      <x:c r="R208" s="57"/>
      <x:c r="S208" s="37"/>
      <x:c r="T208" s="37"/>
      <x:c r="U208" s="37"/>
      <x:c r="V208" s="37"/>
      <x:c r="W208" s="70"/>
      <x:c r="X208"/>
      <x:c r="Y208"/>
      <x:c r="Z208"/>
      <x:c r="AA208"/>
    </x:row>
    <x:row r="209">
      <x:c r="A209" s="37"/>
      <x:c r="B209" s="37"/>
      <x:c r="C209" s="37"/>
      <x:c r="D209" s="37"/>
      <x:c r="E209" s="37"/>
      <x:c r="F209" s="37"/>
      <x:c r="G209" s="56"/>
      <x:c r="H209" s="37"/>
      <x:c r="I209" s="37"/>
      <x:c r="J209" s="37"/>
      <x:c r="K209" s="56"/>
      <x:c r="L209" s="37"/>
      <x:c r="M209" s="37"/>
      <x:c r="N209" s="57"/>
      <x:c r="O209" s="57"/>
      <x:c r="P209" s="57"/>
      <x:c r="Q209" s="57"/>
      <x:c r="R209" s="57"/>
      <x:c r="S209" s="37"/>
      <x:c r="T209" s="37"/>
      <x:c r="U209" s="37"/>
      <x:c r="V209" s="37"/>
      <x:c r="W209" s="70"/>
      <x:c r="X209"/>
      <x:c r="Y209"/>
      <x:c r="Z209"/>
      <x:c r="AA209"/>
    </x:row>
    <x:row r="210">
      <x:c r="A210" s="37"/>
      <x:c r="B210" s="37"/>
      <x:c r="C210" s="37"/>
      <x:c r="D210" s="37"/>
      <x:c r="E210" s="37"/>
      <x:c r="F210" s="37"/>
      <x:c r="G210" s="56"/>
      <x:c r="H210" s="37"/>
      <x:c r="I210" s="37"/>
      <x:c r="J210" s="37"/>
      <x:c r="K210" s="56"/>
      <x:c r="L210" s="37"/>
      <x:c r="M210" s="37"/>
      <x:c r="N210" s="57"/>
      <x:c r="O210" s="57"/>
      <x:c r="P210" s="57"/>
      <x:c r="Q210" s="57"/>
      <x:c r="R210" s="57"/>
      <x:c r="S210" s="37"/>
      <x:c r="T210" s="37"/>
      <x:c r="U210" s="37"/>
      <x:c r="V210" s="37"/>
      <x:c r="W210" s="70"/>
      <x:c r="X210"/>
      <x:c r="Y210"/>
      <x:c r="Z210"/>
      <x:c r="AA210"/>
    </x:row>
    <x:row r="211">
      <x:c r="A211" s="37"/>
      <x:c r="B211" s="37"/>
      <x:c r="C211" s="37"/>
      <x:c r="D211" s="37"/>
      <x:c r="E211" s="37"/>
      <x:c r="F211" s="37"/>
      <x:c r="G211" s="56"/>
      <x:c r="H211" s="37"/>
      <x:c r="I211" s="37"/>
      <x:c r="J211" s="37"/>
      <x:c r="K211" s="56"/>
      <x:c r="L211" s="37"/>
      <x:c r="M211" s="37"/>
      <x:c r="N211" s="57"/>
      <x:c r="O211" s="57"/>
      <x:c r="P211" s="57"/>
      <x:c r="Q211" s="57"/>
      <x:c r="R211" s="57"/>
      <x:c r="S211" s="37"/>
      <x:c r="T211" s="37"/>
      <x:c r="U211" s="37"/>
      <x:c r="V211" s="37"/>
      <x:c r="W211" s="70"/>
      <x:c r="X211"/>
      <x:c r="Y211"/>
      <x:c r="Z211"/>
      <x:c r="AA211"/>
    </x:row>
    <x:row r="212">
      <x:c r="A212" s="37"/>
      <x:c r="B212" s="37"/>
      <x:c r="C212" s="37"/>
      <x:c r="D212" s="37"/>
      <x:c r="E212" s="37"/>
      <x:c r="F212" s="37"/>
      <x:c r="G212" s="56"/>
      <x:c r="H212" s="37"/>
      <x:c r="I212" s="37"/>
      <x:c r="J212" s="37"/>
      <x:c r="K212" s="56"/>
      <x:c r="L212" s="37"/>
      <x:c r="M212" s="37"/>
      <x:c r="N212" s="57"/>
      <x:c r="O212" s="57"/>
      <x:c r="P212" s="57"/>
      <x:c r="Q212" s="57"/>
      <x:c r="R212" s="57"/>
      <x:c r="S212" s="37"/>
      <x:c r="T212" s="37"/>
      <x:c r="U212" s="37"/>
      <x:c r="V212" s="37"/>
      <x:c r="W212" s="70"/>
      <x:c r="X212"/>
      <x:c r="Y212"/>
      <x:c r="Z212"/>
      <x:c r="AA212"/>
    </x:row>
    <x:row r="213">
      <x:c r="A213" s="37"/>
      <x:c r="B213" s="37"/>
      <x:c r="C213" s="37"/>
      <x:c r="D213" s="37"/>
      <x:c r="E213" s="37"/>
      <x:c r="F213" s="37"/>
      <x:c r="G213" s="56"/>
      <x:c r="H213" s="37"/>
      <x:c r="I213" s="37"/>
      <x:c r="J213" s="37"/>
      <x:c r="K213" s="56"/>
      <x:c r="L213" s="37"/>
      <x:c r="M213" s="37"/>
      <x:c r="N213" s="57"/>
      <x:c r="O213" s="57"/>
      <x:c r="P213" s="57"/>
      <x:c r="Q213" s="57"/>
      <x:c r="R213" s="57"/>
      <x:c r="S213" s="37"/>
      <x:c r="T213" s="37"/>
      <x:c r="U213" s="37"/>
      <x:c r="V213" s="37"/>
      <x:c r="W213" s="70"/>
      <x:c r="X213"/>
      <x:c r="Y213"/>
      <x:c r="Z213"/>
      <x:c r="AA213"/>
    </x:row>
    <x:row r="214">
      <x:c r="A214" s="37"/>
      <x:c r="B214" s="37"/>
      <x:c r="C214" s="37"/>
      <x:c r="D214" s="37"/>
      <x:c r="E214" s="37"/>
      <x:c r="F214" s="37"/>
      <x:c r="G214" s="56"/>
      <x:c r="H214" s="37"/>
      <x:c r="I214" s="37"/>
      <x:c r="J214" s="37"/>
      <x:c r="K214" s="56"/>
      <x:c r="L214" s="37"/>
      <x:c r="M214" s="37"/>
      <x:c r="N214" s="57"/>
      <x:c r="O214" s="57"/>
      <x:c r="P214" s="57"/>
      <x:c r="Q214" s="57"/>
      <x:c r="R214" s="57"/>
      <x:c r="S214" s="37"/>
      <x:c r="T214" s="37"/>
      <x:c r="U214" s="37"/>
      <x:c r="V214" s="37"/>
      <x:c r="W214" s="70"/>
      <x:c r="X214"/>
      <x:c r="Y214"/>
      <x:c r="Z214"/>
      <x:c r="AA214"/>
    </x:row>
    <x:row r="215">
      <x:c r="A215" s="37"/>
      <x:c r="B215" s="37"/>
      <x:c r="C215" s="37"/>
      <x:c r="D215" s="37"/>
      <x:c r="E215" s="37"/>
      <x:c r="F215" s="37"/>
      <x:c r="G215" s="56"/>
      <x:c r="H215" s="37"/>
      <x:c r="I215" s="37"/>
      <x:c r="J215" s="37"/>
      <x:c r="K215" s="56"/>
      <x:c r="L215" s="37"/>
      <x:c r="M215" s="37"/>
      <x:c r="N215" s="57"/>
      <x:c r="O215" s="57"/>
      <x:c r="P215" s="57"/>
      <x:c r="Q215" s="57"/>
      <x:c r="R215" s="57"/>
      <x:c r="S215" s="37"/>
      <x:c r="T215" s="37"/>
      <x:c r="U215" s="37"/>
      <x:c r="V215" s="37"/>
      <x:c r="W215" s="70"/>
      <x:c r="X215"/>
      <x:c r="Y215"/>
      <x:c r="Z215"/>
      <x:c r="AA215"/>
    </x:row>
    <x:row r="216">
      <x:c r="A216" s="37"/>
      <x:c r="B216" s="37"/>
      <x:c r="C216" s="37"/>
      <x:c r="D216" s="37"/>
      <x:c r="E216" s="37"/>
      <x:c r="F216" s="37"/>
      <x:c r="G216" s="56"/>
      <x:c r="H216" s="37"/>
      <x:c r="I216" s="37"/>
      <x:c r="J216" s="37"/>
      <x:c r="K216" s="56"/>
      <x:c r="L216" s="37"/>
      <x:c r="M216" s="37"/>
      <x:c r="N216" s="57"/>
      <x:c r="O216" s="57"/>
      <x:c r="P216" s="57"/>
      <x:c r="Q216" s="57"/>
      <x:c r="R216" s="57"/>
      <x:c r="S216" s="37"/>
      <x:c r="T216" s="37"/>
      <x:c r="U216" s="37"/>
      <x:c r="V216" s="37"/>
      <x:c r="W216" s="70"/>
      <x:c r="X216"/>
      <x:c r="Y216"/>
      <x:c r="Z216"/>
      <x:c r="AA216"/>
    </x:row>
    <x:row r="217">
      <x:c r="A217" s="37"/>
      <x:c r="B217" s="37"/>
      <x:c r="C217" s="37"/>
      <x:c r="D217" s="37"/>
      <x:c r="E217" s="37"/>
      <x:c r="F217" s="37"/>
      <x:c r="G217" s="56"/>
      <x:c r="H217" s="37"/>
      <x:c r="I217" s="37"/>
      <x:c r="J217" s="37"/>
      <x:c r="K217" s="56"/>
      <x:c r="L217" s="37"/>
      <x:c r="M217" s="37"/>
      <x:c r="N217" s="57"/>
      <x:c r="O217" s="57"/>
      <x:c r="P217" s="57"/>
      <x:c r="Q217" s="57"/>
      <x:c r="R217" s="57"/>
      <x:c r="S217" s="37"/>
      <x:c r="T217" s="37"/>
      <x:c r="U217" s="37"/>
      <x:c r="V217" s="37"/>
      <x:c r="W217" s="70"/>
      <x:c r="X217"/>
      <x:c r="Y217"/>
      <x:c r="Z217"/>
      <x:c r="AA217"/>
    </x:row>
    <x:row r="218">
      <x:c r="A218" s="37"/>
      <x:c r="B218" s="37"/>
      <x:c r="C218" s="37"/>
      <x:c r="D218" s="37"/>
      <x:c r="E218" s="37"/>
      <x:c r="F218" s="37"/>
      <x:c r="G218" s="56"/>
      <x:c r="H218" s="37"/>
      <x:c r="I218" s="37"/>
      <x:c r="J218" s="37"/>
      <x:c r="K218" s="56"/>
      <x:c r="L218" s="37"/>
      <x:c r="M218" s="37"/>
      <x:c r="N218" s="57"/>
      <x:c r="O218" s="57"/>
      <x:c r="P218" s="57"/>
      <x:c r="Q218" s="57"/>
      <x:c r="R218" s="57"/>
      <x:c r="S218" s="37"/>
      <x:c r="T218" s="37"/>
      <x:c r="U218" s="37"/>
      <x:c r="V218" s="37"/>
      <x:c r="W218" s="70"/>
      <x:c r="X218"/>
      <x:c r="Y218"/>
      <x:c r="Z218"/>
      <x:c r="AA218"/>
    </x:row>
    <x:row r="219">
      <x:c r="A219" s="37"/>
      <x:c r="B219" s="37"/>
      <x:c r="C219" s="37"/>
      <x:c r="D219" s="37"/>
      <x:c r="E219" s="37"/>
      <x:c r="F219" s="37"/>
      <x:c r="G219" s="56"/>
      <x:c r="H219" s="37"/>
      <x:c r="I219" s="37"/>
      <x:c r="J219" s="37"/>
      <x:c r="K219" s="56"/>
      <x:c r="L219" s="37"/>
      <x:c r="M219" s="37"/>
      <x:c r="N219" s="57"/>
      <x:c r="O219" s="57"/>
      <x:c r="P219" s="57"/>
      <x:c r="Q219" s="57"/>
      <x:c r="R219" s="57"/>
      <x:c r="S219" s="37"/>
      <x:c r="T219" s="37"/>
      <x:c r="U219" s="37"/>
      <x:c r="V219" s="37"/>
      <x:c r="W219" s="70"/>
      <x:c r="X219"/>
      <x:c r="Y219"/>
      <x:c r="Z219"/>
      <x:c r="AA219"/>
    </x:row>
    <x:row r="220">
      <x:c r="A220" s="37"/>
      <x:c r="B220" s="37"/>
      <x:c r="C220" s="37"/>
      <x:c r="D220" s="37"/>
      <x:c r="E220" s="37"/>
      <x:c r="F220" s="37"/>
      <x:c r="G220" s="56"/>
      <x:c r="H220" s="37"/>
      <x:c r="I220" s="37"/>
      <x:c r="J220" s="37"/>
      <x:c r="K220" s="56"/>
      <x:c r="L220" s="37"/>
      <x:c r="M220" s="37"/>
      <x:c r="N220" s="57"/>
      <x:c r="O220" s="57"/>
      <x:c r="P220" s="57"/>
      <x:c r="Q220" s="57"/>
      <x:c r="R220" s="57"/>
      <x:c r="S220" s="37"/>
      <x:c r="T220" s="37"/>
      <x:c r="U220" s="37"/>
      <x:c r="V220" s="37"/>
      <x:c r="W220" s="70"/>
      <x:c r="X220"/>
      <x:c r="Y220"/>
      <x:c r="Z220"/>
      <x:c r="AA220"/>
    </x:row>
    <x:row r="221">
      <x:c r="A221" s="37"/>
      <x:c r="B221" s="37"/>
      <x:c r="C221" s="37"/>
      <x:c r="D221" s="37"/>
      <x:c r="E221" s="37"/>
      <x:c r="F221" s="37"/>
      <x:c r="G221" s="56"/>
      <x:c r="H221" s="37"/>
      <x:c r="I221" s="37"/>
      <x:c r="J221" s="37"/>
      <x:c r="K221" s="56"/>
      <x:c r="L221" s="37"/>
      <x:c r="M221" s="37"/>
      <x:c r="N221" s="57"/>
      <x:c r="O221" s="57"/>
      <x:c r="P221" s="57"/>
      <x:c r="Q221" s="57"/>
      <x:c r="R221" s="57"/>
      <x:c r="S221" s="37"/>
      <x:c r="T221" s="37"/>
      <x:c r="U221" s="37"/>
      <x:c r="V221" s="37"/>
      <x:c r="W221" s="70"/>
      <x:c r="X221"/>
      <x:c r="Y221"/>
      <x:c r="Z221"/>
      <x:c r="AA221"/>
    </x:row>
    <x:row r="222">
      <x:c r="A222" s="37"/>
      <x:c r="B222" s="37"/>
      <x:c r="C222" s="37"/>
      <x:c r="D222" s="37"/>
      <x:c r="E222" s="37"/>
      <x:c r="F222" s="37"/>
      <x:c r="G222" s="56"/>
      <x:c r="H222" s="37"/>
      <x:c r="I222" s="37"/>
      <x:c r="J222" s="37"/>
      <x:c r="K222" s="56"/>
      <x:c r="L222" s="37"/>
      <x:c r="M222" s="37"/>
      <x:c r="N222" s="57"/>
      <x:c r="O222" s="57"/>
      <x:c r="P222" s="57"/>
      <x:c r="Q222" s="57"/>
      <x:c r="R222" s="57"/>
      <x:c r="S222" s="37"/>
      <x:c r="T222" s="37"/>
      <x:c r="U222" s="37"/>
      <x:c r="V222" s="37"/>
      <x:c r="W222" s="70"/>
      <x:c r="X222"/>
      <x:c r="Y222"/>
      <x:c r="Z222"/>
      <x:c r="AA222"/>
    </x:row>
    <x:row r="223">
      <x:c r="A223" s="37"/>
      <x:c r="B223" s="37"/>
      <x:c r="C223" s="37"/>
      <x:c r="D223" s="37"/>
      <x:c r="E223" s="37"/>
      <x:c r="F223" s="37"/>
      <x:c r="G223" s="56"/>
      <x:c r="H223" s="37"/>
      <x:c r="I223" s="37"/>
      <x:c r="J223" s="37"/>
      <x:c r="K223" s="56"/>
      <x:c r="L223" s="37"/>
      <x:c r="M223" s="37"/>
      <x:c r="N223" s="57"/>
      <x:c r="O223" s="57"/>
      <x:c r="P223" s="57"/>
      <x:c r="Q223" s="57"/>
      <x:c r="R223" s="57"/>
      <x:c r="S223" s="37"/>
      <x:c r="T223" s="37"/>
      <x:c r="U223" s="37"/>
      <x:c r="V223" s="37"/>
      <x:c r="W223" s="70"/>
      <x:c r="X223"/>
      <x:c r="Y223"/>
      <x:c r="Z223"/>
      <x:c r="AA223"/>
    </x:row>
    <x:row r="224">
      <x:c r="A224" s="37"/>
      <x:c r="B224" s="37"/>
      <x:c r="C224" s="37"/>
      <x:c r="D224" s="37"/>
      <x:c r="E224" s="37"/>
      <x:c r="F224" s="37"/>
      <x:c r="G224" s="56"/>
      <x:c r="H224" s="37"/>
      <x:c r="I224" s="37"/>
      <x:c r="J224" s="37"/>
      <x:c r="K224" s="56"/>
      <x:c r="L224" s="37"/>
      <x:c r="M224" s="37"/>
      <x:c r="N224" s="57"/>
      <x:c r="O224" s="57"/>
      <x:c r="P224" s="57"/>
      <x:c r="Q224" s="57"/>
      <x:c r="R224" s="57"/>
      <x:c r="S224" s="37"/>
      <x:c r="T224" s="37"/>
      <x:c r="U224" s="37"/>
      <x:c r="V224" s="37"/>
      <x:c r="W224" s="70"/>
      <x:c r="X224"/>
      <x:c r="Y224"/>
      <x:c r="Z224"/>
      <x:c r="AA224"/>
    </x:row>
    <x:row r="225">
      <x:c r="A225" s="37"/>
      <x:c r="B225" s="37"/>
      <x:c r="C225" s="37"/>
      <x:c r="D225" s="37"/>
      <x:c r="E225" s="37"/>
      <x:c r="F225" s="37"/>
      <x:c r="G225" s="56"/>
      <x:c r="H225" s="37"/>
      <x:c r="I225" s="37"/>
      <x:c r="J225" s="37"/>
      <x:c r="K225" s="56"/>
      <x:c r="L225" s="37"/>
      <x:c r="M225" s="37"/>
      <x:c r="N225" s="57"/>
      <x:c r="O225" s="57"/>
      <x:c r="P225" s="57"/>
      <x:c r="Q225" s="57"/>
      <x:c r="R225" s="57"/>
      <x:c r="S225" s="37"/>
      <x:c r="T225" s="37"/>
      <x:c r="U225" s="37"/>
      <x:c r="V225" s="37"/>
      <x:c r="W225" s="70"/>
      <x:c r="X225"/>
      <x:c r="Y225"/>
      <x:c r="Z225"/>
      <x:c r="AA225"/>
    </x:row>
    <x:row r="226">
      <x:c r="A226" s="37"/>
      <x:c r="B226" s="37"/>
      <x:c r="C226" s="37"/>
      <x:c r="D226" s="37"/>
      <x:c r="E226" s="37"/>
      <x:c r="F226" s="37"/>
      <x:c r="G226" s="56"/>
      <x:c r="H226" s="37"/>
      <x:c r="I226" s="37"/>
      <x:c r="J226" s="37"/>
      <x:c r="K226" s="56"/>
      <x:c r="L226" s="37"/>
      <x:c r="M226" s="37"/>
      <x:c r="N226" s="57"/>
      <x:c r="O226" s="57"/>
      <x:c r="P226" s="57"/>
      <x:c r="Q226" s="57"/>
      <x:c r="R226" s="57"/>
      <x:c r="S226" s="37"/>
      <x:c r="T226" s="37"/>
      <x:c r="U226" s="37"/>
      <x:c r="V226" s="37"/>
      <x:c r="W226" s="70"/>
      <x:c r="X226"/>
      <x:c r="Y226"/>
      <x:c r="Z226"/>
      <x:c r="AA226"/>
    </x:row>
    <x:row r="227">
      <x:c r="A227" s="37"/>
      <x:c r="B227" s="37"/>
      <x:c r="C227" s="37"/>
      <x:c r="D227" s="37"/>
      <x:c r="E227" s="37"/>
      <x:c r="F227" s="37"/>
      <x:c r="G227" s="56"/>
      <x:c r="H227" s="37"/>
      <x:c r="I227" s="37"/>
      <x:c r="J227" s="37"/>
      <x:c r="K227" s="56"/>
      <x:c r="L227" s="37"/>
      <x:c r="M227" s="37"/>
      <x:c r="N227" s="57"/>
      <x:c r="O227" s="57"/>
      <x:c r="P227" s="57"/>
      <x:c r="Q227" s="57"/>
      <x:c r="R227" s="57"/>
      <x:c r="S227" s="37"/>
      <x:c r="T227" s="37"/>
      <x:c r="U227" s="37"/>
      <x:c r="V227" s="37"/>
      <x:c r="W227" s="70"/>
      <x:c r="X227"/>
      <x:c r="Y227"/>
      <x:c r="Z227"/>
      <x:c r="AA227"/>
    </x:row>
    <x:row r="228">
      <x:c r="A228" s="37"/>
      <x:c r="B228" s="37"/>
      <x:c r="C228" s="37"/>
      <x:c r="D228" s="37"/>
      <x:c r="E228" s="37"/>
      <x:c r="F228" s="37"/>
      <x:c r="G228" s="56"/>
      <x:c r="H228" s="37"/>
      <x:c r="I228" s="37"/>
      <x:c r="J228" s="37"/>
      <x:c r="K228" s="56"/>
      <x:c r="L228" s="37"/>
      <x:c r="M228" s="37"/>
      <x:c r="N228" s="57"/>
      <x:c r="O228" s="57"/>
      <x:c r="P228" s="57"/>
      <x:c r="Q228" s="57"/>
      <x:c r="R228" s="57"/>
      <x:c r="S228" s="37"/>
      <x:c r="T228" s="37"/>
      <x:c r="U228" s="37"/>
      <x:c r="V228" s="37"/>
      <x:c r="W228" s="70"/>
      <x:c r="X228"/>
      <x:c r="Y228"/>
      <x:c r="Z228"/>
      <x:c r="AA228"/>
    </x:row>
    <x:row r="229">
      <x:c r="A229" s="37"/>
      <x:c r="B229" s="37"/>
      <x:c r="C229" s="37"/>
      <x:c r="D229" s="37"/>
      <x:c r="E229" s="37"/>
      <x:c r="F229" s="37"/>
      <x:c r="G229" s="56"/>
      <x:c r="H229" s="37"/>
      <x:c r="I229" s="37"/>
      <x:c r="J229" s="37"/>
      <x:c r="K229" s="56"/>
      <x:c r="L229" s="37"/>
      <x:c r="M229" s="37"/>
      <x:c r="N229" s="57"/>
      <x:c r="O229" s="57"/>
      <x:c r="P229" s="57"/>
      <x:c r="Q229" s="57"/>
      <x:c r="R229" s="57"/>
      <x:c r="S229" s="37"/>
      <x:c r="T229" s="37"/>
      <x:c r="U229" s="37"/>
      <x:c r="V229" s="37"/>
      <x:c r="W229" s="70"/>
      <x:c r="X229"/>
      <x:c r="Y229"/>
      <x:c r="Z229"/>
      <x:c r="AA229"/>
    </x:row>
    <x:row r="230">
      <x:c r="A230" s="37"/>
      <x:c r="B230" s="37"/>
      <x:c r="C230" s="37"/>
      <x:c r="D230" s="37"/>
      <x:c r="E230" s="37"/>
      <x:c r="F230" s="37"/>
      <x:c r="G230" s="56"/>
      <x:c r="H230" s="37"/>
      <x:c r="I230" s="37"/>
      <x:c r="J230" s="37"/>
      <x:c r="K230" s="56"/>
      <x:c r="L230" s="37"/>
      <x:c r="M230" s="37"/>
      <x:c r="N230" s="57"/>
      <x:c r="O230" s="57"/>
      <x:c r="P230" s="57"/>
      <x:c r="Q230" s="57"/>
      <x:c r="R230" s="57"/>
      <x:c r="S230" s="37"/>
      <x:c r="T230" s="37"/>
      <x:c r="U230" s="37"/>
      <x:c r="V230" s="37"/>
      <x:c r="W230" s="70"/>
      <x:c r="X230"/>
      <x:c r="Y230"/>
      <x:c r="Z230"/>
      <x:c r="AA230"/>
    </x:row>
    <x:row r="231">
      <x:c r="A231" s="37"/>
      <x:c r="B231" s="37"/>
      <x:c r="C231" s="37"/>
      <x:c r="D231" s="37"/>
      <x:c r="E231" s="37"/>
      <x:c r="F231" s="37"/>
      <x:c r="G231" s="56"/>
      <x:c r="H231" s="37"/>
      <x:c r="I231" s="37"/>
      <x:c r="J231" s="37"/>
      <x:c r="K231" s="56"/>
      <x:c r="L231" s="37"/>
      <x:c r="M231" s="37"/>
      <x:c r="N231" s="57"/>
      <x:c r="O231" s="57"/>
      <x:c r="P231" s="57"/>
      <x:c r="Q231" s="57"/>
      <x:c r="R231" s="57"/>
      <x:c r="S231" s="37"/>
      <x:c r="T231" s="37"/>
      <x:c r="U231" s="37"/>
      <x:c r="V231" s="37"/>
      <x:c r="W231" s="70"/>
      <x:c r="X231"/>
      <x:c r="Y231"/>
      <x:c r="Z231"/>
      <x:c r="AA231"/>
    </x:row>
    <x:row r="232">
      <x:c r="A232" s="37"/>
      <x:c r="B232" s="37"/>
      <x:c r="C232" s="37"/>
      <x:c r="D232" s="37"/>
      <x:c r="E232" s="37"/>
      <x:c r="F232" s="37"/>
      <x:c r="G232" s="56"/>
      <x:c r="H232" s="37"/>
      <x:c r="I232" s="37"/>
      <x:c r="J232" s="37"/>
      <x:c r="K232" s="56"/>
      <x:c r="L232" s="37"/>
      <x:c r="M232" s="37"/>
      <x:c r="N232" s="57"/>
      <x:c r="O232" s="57"/>
      <x:c r="P232" s="57"/>
      <x:c r="Q232" s="57"/>
      <x:c r="R232" s="57"/>
      <x:c r="S232" s="37"/>
      <x:c r="T232" s="37"/>
      <x:c r="U232" s="37"/>
      <x:c r="V232" s="37"/>
      <x:c r="W232" s="70"/>
      <x:c r="X232"/>
      <x:c r="Y232"/>
      <x:c r="Z232"/>
      <x:c r="AA232"/>
    </x:row>
    <x:row r="233">
      <x:c r="A233" s="37"/>
      <x:c r="B233" s="37"/>
      <x:c r="C233" s="37"/>
      <x:c r="D233" s="37"/>
      <x:c r="E233" s="37"/>
      <x:c r="F233" s="37"/>
      <x:c r="G233" s="56"/>
      <x:c r="H233" s="37"/>
      <x:c r="I233" s="37"/>
      <x:c r="J233" s="37"/>
      <x:c r="K233" s="56"/>
      <x:c r="L233" s="37"/>
      <x:c r="M233" s="37"/>
      <x:c r="N233" s="57"/>
      <x:c r="O233" s="57"/>
      <x:c r="P233" s="57"/>
      <x:c r="Q233" s="57"/>
      <x:c r="R233" s="57"/>
      <x:c r="S233" s="37"/>
      <x:c r="T233" s="37"/>
      <x:c r="U233" s="37"/>
      <x:c r="V233" s="37"/>
      <x:c r="W233" s="70"/>
      <x:c r="X233"/>
      <x:c r="Y233"/>
      <x:c r="Z233"/>
      <x:c r="AA233"/>
    </x:row>
    <x:row r="234">
      <x:c r="A234" s="37"/>
      <x:c r="B234" s="37"/>
      <x:c r="C234" s="37"/>
      <x:c r="D234" s="37"/>
      <x:c r="E234" s="37"/>
      <x:c r="F234" s="37"/>
      <x:c r="G234" s="56"/>
      <x:c r="H234" s="37"/>
      <x:c r="I234" s="37"/>
      <x:c r="J234" s="37"/>
      <x:c r="K234" s="56"/>
      <x:c r="L234" s="37"/>
      <x:c r="M234" s="37"/>
      <x:c r="N234" s="57"/>
      <x:c r="O234" s="57"/>
      <x:c r="P234" s="57"/>
      <x:c r="Q234" s="57"/>
      <x:c r="R234" s="57"/>
      <x:c r="S234" s="37"/>
      <x:c r="T234" s="37"/>
      <x:c r="U234" s="37"/>
      <x:c r="V234" s="37"/>
      <x:c r="W234" s="70"/>
      <x:c r="X234"/>
      <x:c r="Y234"/>
      <x:c r="Z234"/>
      <x:c r="AA234"/>
    </x:row>
    <x:row r="235">
      <x:c r="A235" s="37"/>
      <x:c r="B235" s="37"/>
      <x:c r="C235" s="37"/>
      <x:c r="D235" s="37"/>
      <x:c r="E235" s="37"/>
      <x:c r="F235" s="37"/>
      <x:c r="G235" s="56"/>
      <x:c r="H235" s="37"/>
      <x:c r="I235" s="37"/>
      <x:c r="J235" s="37"/>
      <x:c r="K235" s="56"/>
      <x:c r="L235" s="37"/>
      <x:c r="M235" s="37"/>
      <x:c r="N235" s="57"/>
      <x:c r="O235" s="57"/>
      <x:c r="P235" s="57"/>
      <x:c r="Q235" s="57"/>
      <x:c r="R235" s="57"/>
      <x:c r="S235" s="37"/>
      <x:c r="T235" s="37"/>
      <x:c r="U235" s="37"/>
      <x:c r="V235" s="37"/>
      <x:c r="W235" s="70"/>
      <x:c r="X235"/>
      <x:c r="Y235"/>
      <x:c r="Z235"/>
      <x:c r="AA235"/>
    </x:row>
    <x:row r="236">
      <x:c r="A236" s="37"/>
      <x:c r="B236" s="37"/>
      <x:c r="C236" s="37"/>
      <x:c r="D236" s="37"/>
      <x:c r="E236" s="37"/>
      <x:c r="F236" s="37"/>
      <x:c r="G236" s="56"/>
      <x:c r="H236" s="37"/>
      <x:c r="I236" s="37"/>
      <x:c r="J236" s="37"/>
      <x:c r="K236" s="56"/>
      <x:c r="L236" s="37"/>
      <x:c r="M236" s="37"/>
      <x:c r="N236" s="57"/>
      <x:c r="O236" s="57"/>
      <x:c r="P236" s="57"/>
      <x:c r="Q236" s="57"/>
      <x:c r="R236" s="57"/>
      <x:c r="S236" s="37"/>
      <x:c r="T236" s="37"/>
      <x:c r="U236" s="37"/>
      <x:c r="V236" s="37"/>
      <x:c r="W236" s="70"/>
      <x:c r="X236"/>
      <x:c r="Y236"/>
      <x:c r="Z236"/>
      <x:c r="AA236"/>
    </x:row>
    <x:row r="237">
      <x:c r="A237" s="37"/>
      <x:c r="B237" s="37"/>
      <x:c r="C237" s="37"/>
      <x:c r="D237" s="37"/>
      <x:c r="E237" s="37"/>
      <x:c r="F237" s="37"/>
      <x:c r="G237" s="56"/>
      <x:c r="H237" s="37"/>
      <x:c r="I237" s="37"/>
      <x:c r="J237" s="37"/>
      <x:c r="K237" s="56"/>
      <x:c r="L237" s="37"/>
      <x:c r="M237" s="37"/>
      <x:c r="N237" s="57"/>
      <x:c r="O237" s="57"/>
      <x:c r="P237" s="57"/>
      <x:c r="Q237" s="57"/>
      <x:c r="R237" s="57"/>
      <x:c r="S237" s="37"/>
      <x:c r="T237" s="37"/>
      <x:c r="U237" s="37"/>
      <x:c r="V237" s="37"/>
      <x:c r="W237" s="70"/>
      <x:c r="X237"/>
      <x:c r="Y237"/>
      <x:c r="Z237"/>
      <x:c r="AA237"/>
    </x:row>
    <x:row r="238">
      <x:c r="A238" s="37"/>
      <x:c r="B238" s="37"/>
      <x:c r="C238" s="37"/>
      <x:c r="D238" s="37"/>
      <x:c r="E238" s="37"/>
      <x:c r="F238" s="37"/>
      <x:c r="G238" s="56"/>
      <x:c r="H238" s="37"/>
      <x:c r="I238" s="37"/>
      <x:c r="J238" s="37"/>
      <x:c r="K238" s="56"/>
      <x:c r="L238" s="37"/>
      <x:c r="M238" s="37"/>
      <x:c r="N238" s="57"/>
      <x:c r="O238" s="57"/>
      <x:c r="P238" s="57"/>
      <x:c r="Q238" s="57"/>
      <x:c r="R238" s="57"/>
      <x:c r="S238" s="37"/>
      <x:c r="T238" s="37"/>
      <x:c r="U238" s="37"/>
      <x:c r="V238" s="37"/>
      <x:c r="W238" s="70"/>
      <x:c r="X238"/>
      <x:c r="Y238"/>
      <x:c r="Z238"/>
      <x:c r="AA238"/>
    </x:row>
    <x:row r="239">
      <x:c r="A239" s="37"/>
      <x:c r="B239" s="37"/>
      <x:c r="C239" s="37"/>
      <x:c r="D239" s="37"/>
      <x:c r="E239" s="37"/>
      <x:c r="F239" s="37"/>
      <x:c r="G239" s="56"/>
      <x:c r="H239" s="37"/>
      <x:c r="I239" s="37"/>
      <x:c r="J239" s="37"/>
      <x:c r="K239" s="56"/>
      <x:c r="L239" s="37"/>
      <x:c r="M239" s="37"/>
      <x:c r="N239" s="57"/>
      <x:c r="O239" s="57"/>
      <x:c r="P239" s="57"/>
      <x:c r="Q239" s="57"/>
      <x:c r="R239" s="57"/>
      <x:c r="S239" s="37"/>
      <x:c r="T239" s="37"/>
      <x:c r="U239" s="37"/>
      <x:c r="V239" s="37"/>
      <x:c r="W239" s="70"/>
      <x:c r="X239"/>
      <x:c r="Y239"/>
      <x:c r="Z239"/>
      <x:c r="AA239"/>
    </x:row>
    <x:row r="240">
      <x:c r="A240" s="37"/>
      <x:c r="B240" s="37"/>
      <x:c r="C240" s="37"/>
      <x:c r="D240" s="37"/>
      <x:c r="E240" s="37"/>
      <x:c r="F240" s="37"/>
      <x:c r="G240" s="56"/>
      <x:c r="H240" s="37"/>
      <x:c r="I240" s="37"/>
      <x:c r="J240" s="37"/>
      <x:c r="K240" s="56"/>
      <x:c r="L240" s="37"/>
      <x:c r="M240" s="37"/>
      <x:c r="N240" s="57"/>
      <x:c r="O240" s="57"/>
      <x:c r="P240" s="57"/>
      <x:c r="Q240" s="57"/>
      <x:c r="R240" s="57"/>
      <x:c r="S240" s="37"/>
      <x:c r="T240" s="37"/>
      <x:c r="U240" s="37"/>
      <x:c r="V240" s="37"/>
      <x:c r="W240" s="70"/>
      <x:c r="X240"/>
      <x:c r="Y240"/>
      <x:c r="Z240"/>
      <x:c r="AA240"/>
    </x:row>
    <x:row r="241">
      <x:c r="A241" s="37"/>
      <x:c r="B241" s="37"/>
      <x:c r="C241" s="37"/>
      <x:c r="D241" s="37"/>
      <x:c r="E241" s="37"/>
      <x:c r="F241" s="37"/>
      <x:c r="G241" s="56"/>
      <x:c r="H241" s="37"/>
      <x:c r="I241" s="37"/>
      <x:c r="J241" s="37"/>
      <x:c r="K241" s="56"/>
      <x:c r="L241" s="37"/>
      <x:c r="M241" s="37"/>
      <x:c r="N241" s="57"/>
      <x:c r="O241" s="57"/>
      <x:c r="P241" s="57"/>
      <x:c r="Q241" s="57"/>
      <x:c r="R241" s="57"/>
      <x:c r="S241" s="37"/>
      <x:c r="T241" s="37"/>
      <x:c r="U241" s="37"/>
      <x:c r="V241" s="37"/>
      <x:c r="W241" s="70"/>
      <x:c r="X241"/>
      <x:c r="Y241"/>
      <x:c r="Z241"/>
      <x:c r="AA241"/>
    </x:row>
    <x:row r="242">
      <x:c r="A242" s="37"/>
      <x:c r="B242" s="37"/>
      <x:c r="C242" s="37"/>
      <x:c r="D242" s="37"/>
      <x:c r="E242" s="37"/>
      <x:c r="F242" s="37"/>
      <x:c r="G242" s="56"/>
      <x:c r="H242" s="37"/>
      <x:c r="I242" s="37"/>
      <x:c r="J242" s="37"/>
      <x:c r="K242" s="56"/>
      <x:c r="L242" s="37"/>
      <x:c r="M242" s="37"/>
      <x:c r="N242" s="57"/>
      <x:c r="O242" s="57"/>
      <x:c r="P242" s="57"/>
      <x:c r="Q242" s="57"/>
      <x:c r="R242" s="57"/>
      <x:c r="S242" s="37"/>
      <x:c r="T242" s="37"/>
      <x:c r="U242" s="37"/>
      <x:c r="V242" s="37"/>
      <x:c r="W242" s="70"/>
      <x:c r="X242"/>
      <x:c r="Y242"/>
      <x:c r="Z242"/>
      <x:c r="AA242"/>
    </x:row>
    <x:row r="243">
      <x:c r="A243" s="37"/>
      <x:c r="B243" s="37"/>
      <x:c r="C243" s="37"/>
      <x:c r="D243" s="37"/>
      <x:c r="E243" s="37"/>
      <x:c r="F243" s="37"/>
      <x:c r="G243" s="56"/>
      <x:c r="H243" s="37"/>
      <x:c r="I243" s="37"/>
      <x:c r="J243" s="37"/>
      <x:c r="K243" s="56"/>
      <x:c r="L243" s="37"/>
      <x:c r="M243" s="37"/>
      <x:c r="N243" s="57"/>
      <x:c r="O243" s="57"/>
      <x:c r="P243" s="57"/>
      <x:c r="Q243" s="57"/>
      <x:c r="R243" s="57"/>
      <x:c r="S243" s="37"/>
      <x:c r="T243" s="37"/>
      <x:c r="U243" s="37"/>
      <x:c r="V243" s="37"/>
      <x:c r="W243" s="70"/>
      <x:c r="X243"/>
      <x:c r="Y243"/>
      <x:c r="Z243"/>
      <x:c r="AA243"/>
    </x:row>
    <x:row r="244">
      <x:c r="A244" s="37"/>
      <x:c r="B244" s="37"/>
      <x:c r="C244" s="37"/>
      <x:c r="D244" s="37"/>
      <x:c r="E244" s="37"/>
      <x:c r="F244" s="37"/>
      <x:c r="G244" s="56"/>
      <x:c r="H244" s="37"/>
      <x:c r="I244" s="37"/>
      <x:c r="J244" s="37"/>
      <x:c r="K244" s="56"/>
      <x:c r="L244" s="37"/>
      <x:c r="M244" s="37"/>
      <x:c r="N244" s="57"/>
      <x:c r="O244" s="57"/>
      <x:c r="P244" s="57"/>
      <x:c r="Q244" s="57"/>
      <x:c r="R244" s="57"/>
      <x:c r="S244" s="37"/>
      <x:c r="T244" s="37"/>
      <x:c r="U244" s="37"/>
      <x:c r="V244" s="37"/>
      <x:c r="W244" s="70"/>
      <x:c r="X244"/>
      <x:c r="Y244"/>
      <x:c r="Z244"/>
      <x:c r="AA244"/>
    </x:row>
    <x:row r="245">
      <x:c r="A245" s="37"/>
      <x:c r="B245" s="37"/>
      <x:c r="C245" s="37"/>
      <x:c r="D245" s="37"/>
      <x:c r="E245" s="37"/>
      <x:c r="F245" s="37"/>
      <x:c r="G245" s="56"/>
      <x:c r="H245" s="37"/>
      <x:c r="I245" s="37"/>
      <x:c r="J245" s="37"/>
      <x:c r="K245" s="56"/>
      <x:c r="L245" s="37"/>
      <x:c r="M245" s="37"/>
      <x:c r="N245" s="57"/>
      <x:c r="O245" s="57"/>
      <x:c r="P245" s="57"/>
      <x:c r="Q245" s="57"/>
      <x:c r="R245" s="57"/>
      <x:c r="S245" s="37"/>
      <x:c r="T245" s="37"/>
      <x:c r="U245" s="37"/>
      <x:c r="V245" s="37"/>
      <x:c r="W245" s="70"/>
      <x:c r="X245"/>
      <x:c r="Y245"/>
      <x:c r="Z245"/>
      <x:c r="AA245"/>
    </x:row>
    <x:row r="246">
      <x:c r="A246" s="37"/>
      <x:c r="B246" s="37"/>
      <x:c r="C246" s="37"/>
      <x:c r="D246" s="37"/>
      <x:c r="E246" s="37"/>
      <x:c r="F246" s="37"/>
      <x:c r="G246" s="56"/>
      <x:c r="H246" s="37"/>
      <x:c r="I246" s="37"/>
      <x:c r="J246" s="37"/>
      <x:c r="K246" s="56"/>
      <x:c r="L246" s="37"/>
      <x:c r="M246" s="37"/>
      <x:c r="N246" s="57"/>
      <x:c r="O246" s="57"/>
      <x:c r="P246" s="57"/>
      <x:c r="Q246" s="57"/>
      <x:c r="R246" s="57"/>
      <x:c r="S246" s="37"/>
      <x:c r="T246" s="37"/>
      <x:c r="U246" s="37"/>
      <x:c r="V246" s="37"/>
      <x:c r="W246" s="70"/>
      <x:c r="X246"/>
      <x:c r="Y246"/>
      <x:c r="Z246"/>
      <x:c r="AA246"/>
    </x:row>
    <x:row r="247">
      <x:c r="A247" s="37"/>
      <x:c r="B247" s="37"/>
      <x:c r="C247" s="37"/>
      <x:c r="D247" s="37"/>
      <x:c r="E247" s="37"/>
      <x:c r="F247" s="37"/>
      <x:c r="G247" s="56"/>
      <x:c r="H247" s="37"/>
      <x:c r="I247" s="37"/>
      <x:c r="J247" s="37"/>
      <x:c r="K247" s="56"/>
      <x:c r="L247" s="37"/>
      <x:c r="M247" s="37"/>
      <x:c r="N247" s="57"/>
      <x:c r="O247" s="57"/>
      <x:c r="P247" s="57"/>
      <x:c r="Q247" s="57"/>
      <x:c r="R247" s="57"/>
      <x:c r="S247" s="37"/>
      <x:c r="T247" s="37"/>
      <x:c r="U247" s="37"/>
      <x:c r="V247" s="37"/>
      <x:c r="W247" s="70"/>
      <x:c r="X247"/>
      <x:c r="Y247"/>
      <x:c r="Z247"/>
      <x:c r="AA247"/>
    </x:row>
    <x:row r="248">
      <x:c r="A248" s="37"/>
      <x:c r="B248" s="37"/>
      <x:c r="C248" s="37"/>
      <x:c r="D248" s="37"/>
      <x:c r="E248" s="37"/>
      <x:c r="F248" s="37"/>
      <x:c r="G248" s="56"/>
      <x:c r="H248" s="37"/>
      <x:c r="I248" s="37"/>
      <x:c r="J248" s="37"/>
      <x:c r="K248" s="56"/>
      <x:c r="L248" s="37"/>
      <x:c r="M248" s="37"/>
      <x:c r="N248" s="57"/>
      <x:c r="O248" s="57"/>
      <x:c r="P248" s="57"/>
      <x:c r="Q248" s="57"/>
      <x:c r="R248" s="57"/>
      <x:c r="S248" s="37"/>
      <x:c r="T248" s="37"/>
      <x:c r="U248" s="37"/>
      <x:c r="V248" s="37"/>
      <x:c r="W248" s="70"/>
      <x:c r="X248"/>
      <x:c r="Y248"/>
      <x:c r="Z248"/>
      <x:c r="AA248"/>
    </x:row>
    <x:row r="249">
      <x:c r="A249" s="37"/>
      <x:c r="B249" s="37"/>
      <x:c r="C249" s="37"/>
      <x:c r="D249" s="37"/>
      <x:c r="E249" s="37"/>
      <x:c r="F249" s="37"/>
      <x:c r="G249" s="56"/>
      <x:c r="H249" s="37"/>
      <x:c r="I249" s="37"/>
      <x:c r="J249" s="37"/>
      <x:c r="K249" s="56"/>
      <x:c r="L249" s="37"/>
      <x:c r="M249" s="37"/>
      <x:c r="N249" s="57"/>
      <x:c r="O249" s="57"/>
      <x:c r="P249" s="57"/>
      <x:c r="Q249" s="57"/>
      <x:c r="R249" s="57"/>
      <x:c r="S249" s="37"/>
      <x:c r="T249" s="37"/>
      <x:c r="U249" s="37"/>
      <x:c r="V249" s="37"/>
      <x:c r="W249" s="70"/>
      <x:c r="X249"/>
      <x:c r="Y249"/>
      <x:c r="Z249"/>
      <x:c r="AA249"/>
    </x:row>
    <x:row r="250">
      <x:c r="A250" s="37"/>
      <x:c r="B250" s="37"/>
      <x:c r="C250" s="37"/>
      <x:c r="D250" s="37"/>
      <x:c r="E250" s="37"/>
      <x:c r="F250" s="37"/>
      <x:c r="G250" s="56"/>
      <x:c r="H250" s="37"/>
      <x:c r="I250" s="37"/>
      <x:c r="J250" s="37"/>
      <x:c r="K250" s="56"/>
      <x:c r="L250" s="37"/>
      <x:c r="M250" s="37"/>
      <x:c r="N250" s="57"/>
      <x:c r="O250" s="57"/>
      <x:c r="P250" s="57"/>
      <x:c r="Q250" s="57"/>
      <x:c r="R250" s="57"/>
      <x:c r="S250" s="37"/>
      <x:c r="T250" s="37"/>
      <x:c r="U250" s="37"/>
      <x:c r="V250" s="37"/>
      <x:c r="W250" s="70"/>
      <x:c r="X250"/>
      <x:c r="Y250"/>
      <x:c r="Z250"/>
      <x:c r="AA250"/>
    </x:row>
    <x:row r="251">
      <x:c r="A251" s="37"/>
      <x:c r="B251" s="37"/>
      <x:c r="C251" s="37"/>
      <x:c r="D251" s="37"/>
      <x:c r="E251" s="37"/>
      <x:c r="F251" s="37"/>
      <x:c r="G251" s="56"/>
      <x:c r="H251" s="37"/>
      <x:c r="I251" s="37"/>
      <x:c r="J251" s="37"/>
      <x:c r="K251" s="56"/>
      <x:c r="L251" s="37"/>
      <x:c r="M251" s="37"/>
      <x:c r="N251" s="57"/>
      <x:c r="O251" s="57"/>
      <x:c r="P251" s="57"/>
      <x:c r="Q251" s="57"/>
      <x:c r="R251" s="57"/>
      <x:c r="S251" s="37"/>
      <x:c r="T251" s="37"/>
      <x:c r="U251" s="37"/>
      <x:c r="V251" s="37"/>
      <x:c r="W251" s="70"/>
      <x:c r="X251"/>
      <x:c r="Y251"/>
      <x:c r="Z251"/>
      <x:c r="AA251"/>
    </x:row>
    <x:row r="252">
      <x:c r="A252" s="37"/>
      <x:c r="B252" s="37"/>
      <x:c r="C252" s="37"/>
      <x:c r="D252" s="37"/>
      <x:c r="E252" s="37"/>
      <x:c r="F252" s="37"/>
      <x:c r="G252" s="56"/>
      <x:c r="H252" s="37"/>
      <x:c r="I252" s="37"/>
      <x:c r="J252" s="37"/>
      <x:c r="K252" s="56"/>
      <x:c r="L252" s="37"/>
      <x:c r="M252" s="37"/>
      <x:c r="N252" s="57"/>
      <x:c r="O252" s="57"/>
      <x:c r="P252" s="57"/>
      <x:c r="Q252" s="57"/>
      <x:c r="R252" s="57"/>
      <x:c r="S252" s="37"/>
      <x:c r="T252" s="37"/>
      <x:c r="U252" s="37"/>
      <x:c r="V252" s="37"/>
      <x:c r="W252" s="70"/>
      <x:c r="X252"/>
      <x:c r="Y252"/>
      <x:c r="Z252"/>
      <x:c r="AA252"/>
    </x:row>
    <x:row r="253">
      <x:c r="A253" s="37"/>
      <x:c r="B253" s="37"/>
      <x:c r="C253" s="37"/>
      <x:c r="D253" s="37"/>
      <x:c r="E253" s="37"/>
      <x:c r="F253" s="37"/>
      <x:c r="G253" s="56"/>
      <x:c r="H253" s="37"/>
      <x:c r="I253" s="37"/>
      <x:c r="J253" s="37"/>
      <x:c r="K253" s="56"/>
      <x:c r="L253" s="37"/>
      <x:c r="M253" s="37"/>
      <x:c r="N253" s="57"/>
      <x:c r="O253" s="57"/>
      <x:c r="P253" s="57"/>
      <x:c r="Q253" s="57"/>
      <x:c r="R253" s="57"/>
      <x:c r="S253" s="37"/>
      <x:c r="T253" s="37"/>
      <x:c r="U253" s="37"/>
      <x:c r="V253" s="37"/>
      <x:c r="W253" s="70"/>
      <x:c r="X253"/>
      <x:c r="Y253"/>
      <x:c r="Z253"/>
      <x:c r="AA253"/>
    </x:row>
    <x:row r="254">
      <x:c r="A254" s="37"/>
      <x:c r="B254" s="37"/>
      <x:c r="C254" s="37"/>
      <x:c r="D254" s="37"/>
      <x:c r="E254" s="37"/>
      <x:c r="F254" s="37"/>
      <x:c r="G254" s="56"/>
      <x:c r="H254" s="37"/>
      <x:c r="I254" s="37"/>
      <x:c r="J254" s="37"/>
      <x:c r="K254" s="56"/>
      <x:c r="L254" s="37"/>
      <x:c r="M254" s="37"/>
      <x:c r="N254" s="57"/>
      <x:c r="O254" s="57"/>
      <x:c r="P254" s="57"/>
      <x:c r="Q254" s="57"/>
      <x:c r="R254" s="57"/>
      <x:c r="S254" s="37"/>
      <x:c r="T254" s="37"/>
      <x:c r="U254" s="37"/>
      <x:c r="V254" s="37"/>
      <x:c r="W254" s="70"/>
      <x:c r="X254"/>
      <x:c r="Y254"/>
      <x:c r="Z254"/>
      <x:c r="AA254"/>
    </x:row>
    <x:row r="255">
      <x:c r="A255" s="37"/>
      <x:c r="B255" s="37"/>
      <x:c r="C255" s="37"/>
      <x:c r="D255" s="37"/>
      <x:c r="E255" s="37"/>
      <x:c r="F255" s="37"/>
      <x:c r="G255" s="56"/>
      <x:c r="H255" s="37"/>
      <x:c r="I255" s="37"/>
      <x:c r="J255" s="37"/>
      <x:c r="K255" s="56"/>
      <x:c r="L255" s="37"/>
      <x:c r="M255" s="37"/>
      <x:c r="N255" s="57"/>
      <x:c r="O255" s="57"/>
      <x:c r="P255" s="57"/>
      <x:c r="Q255" s="57"/>
      <x:c r="R255" s="57"/>
      <x:c r="S255" s="37"/>
      <x:c r="T255" s="37"/>
      <x:c r="U255" s="37"/>
      <x:c r="V255" s="37"/>
      <x:c r="W255" s="70"/>
      <x:c r="X255"/>
      <x:c r="Y255"/>
      <x:c r="Z255"/>
      <x:c r="AA255"/>
    </x:row>
    <x:row r="256">
      <x:c r="A256" s="37"/>
      <x:c r="B256" s="37"/>
      <x:c r="C256" s="37"/>
      <x:c r="D256" s="37"/>
      <x:c r="E256" s="37"/>
      <x:c r="F256" s="37"/>
      <x:c r="G256" s="56"/>
      <x:c r="H256" s="37"/>
      <x:c r="I256" s="37"/>
      <x:c r="J256" s="37"/>
      <x:c r="K256" s="56"/>
      <x:c r="L256" s="37"/>
      <x:c r="M256" s="37"/>
      <x:c r="N256" s="57"/>
      <x:c r="O256" s="57"/>
      <x:c r="P256" s="57"/>
      <x:c r="Q256" s="57"/>
      <x:c r="R256" s="57"/>
      <x:c r="S256" s="37"/>
      <x:c r="T256" s="37"/>
      <x:c r="U256" s="37"/>
      <x:c r="V256" s="37"/>
      <x:c r="W256" s="70"/>
      <x:c r="X256"/>
      <x:c r="Y256"/>
      <x:c r="Z256"/>
      <x:c r="AA256"/>
    </x:row>
    <x:row r="257">
      <x:c r="A257" s="37"/>
      <x:c r="B257" s="37"/>
      <x:c r="C257" s="37"/>
      <x:c r="D257" s="37"/>
      <x:c r="E257" s="37"/>
      <x:c r="F257" s="37"/>
      <x:c r="G257" s="56"/>
      <x:c r="H257" s="37"/>
      <x:c r="I257" s="37"/>
      <x:c r="J257" s="37"/>
      <x:c r="K257" s="56"/>
      <x:c r="L257" s="37"/>
      <x:c r="M257" s="37"/>
      <x:c r="N257" s="57"/>
      <x:c r="O257" s="57"/>
      <x:c r="P257" s="57"/>
      <x:c r="Q257" s="57"/>
      <x:c r="R257" s="57"/>
      <x:c r="S257" s="37"/>
      <x:c r="T257" s="37"/>
      <x:c r="U257" s="37"/>
      <x:c r="V257" s="37"/>
      <x:c r="W257" s="70"/>
      <x:c r="X257"/>
      <x:c r="Y257"/>
      <x:c r="Z257"/>
      <x:c r="AA257"/>
    </x:row>
    <x:row r="258">
      <x:c r="A258" s="37"/>
      <x:c r="B258" s="37"/>
      <x:c r="C258" s="37"/>
      <x:c r="D258" s="37"/>
      <x:c r="E258" s="37"/>
      <x:c r="F258" s="37"/>
      <x:c r="G258" s="56"/>
      <x:c r="H258" s="37"/>
      <x:c r="I258" s="37"/>
      <x:c r="J258" s="37"/>
      <x:c r="K258" s="56"/>
      <x:c r="L258" s="37"/>
      <x:c r="M258" s="37"/>
      <x:c r="N258" s="57"/>
      <x:c r="O258" s="57"/>
      <x:c r="P258" s="57"/>
      <x:c r="Q258" s="57"/>
      <x:c r="R258" s="57"/>
      <x:c r="S258" s="37"/>
      <x:c r="T258" s="37"/>
      <x:c r="U258" s="37"/>
      <x:c r="V258" s="37"/>
      <x:c r="W258" s="70"/>
      <x:c r="X258"/>
      <x:c r="Y258"/>
      <x:c r="Z258"/>
      <x:c r="AA258"/>
    </x:row>
    <x:row r="259">
      <x:c r="A259" s="37"/>
      <x:c r="B259" s="37"/>
      <x:c r="C259" s="37"/>
      <x:c r="D259" s="37"/>
      <x:c r="E259" s="37"/>
      <x:c r="F259" s="37"/>
      <x:c r="G259" s="56"/>
      <x:c r="H259" s="37"/>
      <x:c r="I259" s="37"/>
      <x:c r="J259" s="37"/>
      <x:c r="K259" s="56"/>
      <x:c r="L259" s="37"/>
      <x:c r="M259" s="37"/>
      <x:c r="N259" s="57"/>
      <x:c r="O259" s="57"/>
      <x:c r="P259" s="57"/>
      <x:c r="Q259" s="57"/>
      <x:c r="R259" s="57"/>
      <x:c r="S259" s="37"/>
      <x:c r="T259" s="37"/>
      <x:c r="U259" s="37"/>
      <x:c r="V259" s="37"/>
      <x:c r="W259" s="70"/>
      <x:c r="X259"/>
      <x:c r="Y259"/>
      <x:c r="Z259"/>
      <x:c r="AA259"/>
    </x:row>
    <x:row r="260">
      <x:c r="A260" s="37"/>
      <x:c r="B260" s="37"/>
      <x:c r="C260" s="37"/>
      <x:c r="D260" s="37"/>
      <x:c r="E260" s="37"/>
      <x:c r="F260" s="37"/>
      <x:c r="G260" s="56"/>
      <x:c r="H260" s="37"/>
      <x:c r="I260" s="37"/>
      <x:c r="J260" s="37"/>
      <x:c r="K260" s="56"/>
      <x:c r="L260" s="37"/>
      <x:c r="M260" s="37"/>
      <x:c r="N260" s="57"/>
      <x:c r="O260" s="57"/>
      <x:c r="P260" s="57"/>
      <x:c r="Q260" s="57"/>
      <x:c r="R260" s="57"/>
      <x:c r="S260" s="37"/>
      <x:c r="T260" s="37"/>
      <x:c r="U260" s="37"/>
      <x:c r="V260" s="37"/>
      <x:c r="W260" s="70"/>
      <x:c r="X260"/>
      <x:c r="Y260"/>
      <x:c r="Z260"/>
      <x:c r="AA260"/>
    </x:row>
    <x:row r="261">
      <x:c r="A261" s="37"/>
      <x:c r="B261" s="37"/>
      <x:c r="C261" s="37"/>
      <x:c r="D261" s="37"/>
      <x:c r="E261" s="37"/>
      <x:c r="F261" s="37"/>
      <x:c r="G261" s="56"/>
      <x:c r="H261" s="37"/>
      <x:c r="I261" s="37"/>
      <x:c r="J261" s="37"/>
      <x:c r="K261" s="56"/>
      <x:c r="L261" s="37"/>
      <x:c r="M261" s="37"/>
      <x:c r="N261" s="57"/>
      <x:c r="O261" s="57"/>
      <x:c r="P261" s="57"/>
      <x:c r="Q261" s="57"/>
      <x:c r="R261" s="57"/>
      <x:c r="S261" s="37"/>
      <x:c r="T261" s="37"/>
      <x:c r="U261" s="37"/>
      <x:c r="V261" s="37"/>
      <x:c r="W261" s="70"/>
      <x:c r="X261"/>
      <x:c r="Y261"/>
      <x:c r="Z261"/>
      <x:c r="AA261"/>
    </x:row>
    <x:row r="262">
      <x:c r="A262" s="37"/>
      <x:c r="B262" s="37"/>
      <x:c r="C262" s="37"/>
      <x:c r="D262" s="37"/>
      <x:c r="E262" s="37"/>
      <x:c r="F262" s="37"/>
      <x:c r="G262" s="56"/>
      <x:c r="H262" s="37"/>
      <x:c r="I262" s="37"/>
      <x:c r="J262" s="37"/>
      <x:c r="K262" s="56"/>
      <x:c r="L262" s="37"/>
      <x:c r="M262" s="37"/>
      <x:c r="N262" s="57"/>
      <x:c r="O262" s="57"/>
      <x:c r="P262" s="57"/>
      <x:c r="Q262" s="57"/>
      <x:c r="R262" s="57"/>
      <x:c r="S262" s="37"/>
      <x:c r="T262" s="37"/>
      <x:c r="U262" s="37"/>
      <x:c r="V262" s="37"/>
      <x:c r="W262" s="70"/>
      <x:c r="X262"/>
      <x:c r="Y262"/>
      <x:c r="Z262"/>
      <x:c r="AA262"/>
    </x:row>
    <x:row r="263">
      <x:c r="A263" s="37"/>
      <x:c r="B263" s="37"/>
      <x:c r="C263" s="37"/>
      <x:c r="D263" s="37"/>
      <x:c r="E263" s="37"/>
      <x:c r="F263" s="37"/>
      <x:c r="G263" s="56"/>
      <x:c r="H263" s="37"/>
      <x:c r="I263" s="37"/>
      <x:c r="J263" s="37"/>
      <x:c r="K263" s="56"/>
      <x:c r="L263" s="37"/>
      <x:c r="M263" s="37"/>
      <x:c r="N263" s="57"/>
      <x:c r="O263" s="57"/>
      <x:c r="P263" s="57"/>
      <x:c r="Q263" s="57"/>
      <x:c r="R263" s="57"/>
      <x:c r="S263" s="37"/>
      <x:c r="T263" s="37"/>
      <x:c r="U263" s="37"/>
      <x:c r="V263" s="37"/>
      <x:c r="W263" s="70"/>
      <x:c r="X263"/>
      <x:c r="Y263"/>
      <x:c r="Z263"/>
      <x:c r="AA263"/>
    </x:row>
    <x:row r="264">
      <x:c r="A264" s="37"/>
      <x:c r="B264" s="37"/>
      <x:c r="C264" s="37"/>
      <x:c r="D264" s="37"/>
      <x:c r="E264" s="37"/>
      <x:c r="F264" s="37"/>
      <x:c r="G264" s="56"/>
      <x:c r="H264" s="37"/>
      <x:c r="I264" s="37"/>
      <x:c r="J264" s="37"/>
      <x:c r="K264" s="56"/>
      <x:c r="L264" s="37"/>
      <x:c r="M264" s="37"/>
      <x:c r="N264" s="57"/>
      <x:c r="O264" s="57"/>
      <x:c r="P264" s="57"/>
      <x:c r="Q264" s="57"/>
      <x:c r="R264" s="57"/>
      <x:c r="S264" s="37"/>
      <x:c r="T264" s="37"/>
      <x:c r="U264" s="37"/>
      <x:c r="V264" s="37"/>
      <x:c r="W264" s="70"/>
      <x:c r="X264"/>
      <x:c r="Y264"/>
      <x:c r="Z264"/>
      <x:c r="AA264"/>
    </x:row>
    <x:row r="265">
      <x:c r="A265" s="37"/>
      <x:c r="B265" s="37"/>
      <x:c r="C265" s="37"/>
      <x:c r="D265" s="37"/>
      <x:c r="E265" s="37"/>
      <x:c r="F265" s="37"/>
      <x:c r="G265" s="56"/>
      <x:c r="H265" s="37"/>
      <x:c r="I265" s="37"/>
      <x:c r="J265" s="37"/>
      <x:c r="K265" s="56"/>
      <x:c r="L265" s="37"/>
      <x:c r="M265" s="37"/>
      <x:c r="N265" s="57"/>
      <x:c r="O265" s="57"/>
      <x:c r="P265" s="57"/>
      <x:c r="Q265" s="57"/>
      <x:c r="R265" s="57"/>
      <x:c r="S265" s="37"/>
      <x:c r="T265" s="37"/>
      <x:c r="U265" s="37"/>
      <x:c r="V265" s="37"/>
      <x:c r="W265" s="70"/>
      <x:c r="X265"/>
      <x:c r="Y265"/>
      <x:c r="Z265"/>
      <x:c r="AA265"/>
    </x:row>
    <x:row r="266">
      <x:c r="A266" s="37"/>
      <x:c r="B266" s="37"/>
      <x:c r="C266" s="37"/>
      <x:c r="D266" s="37"/>
      <x:c r="E266" s="37"/>
      <x:c r="F266" s="37"/>
      <x:c r="G266" s="56"/>
      <x:c r="H266" s="37"/>
      <x:c r="I266" s="37"/>
      <x:c r="J266" s="37"/>
      <x:c r="K266" s="56"/>
      <x:c r="L266" s="37"/>
      <x:c r="M266" s="37"/>
      <x:c r="N266" s="57"/>
      <x:c r="O266" s="57"/>
      <x:c r="P266" s="57"/>
      <x:c r="Q266" s="57"/>
      <x:c r="R266" s="57"/>
      <x:c r="S266" s="37"/>
      <x:c r="T266" s="37"/>
      <x:c r="U266" s="37"/>
      <x:c r="V266" s="37"/>
      <x:c r="W266" s="70"/>
      <x:c r="X266"/>
      <x:c r="Y266"/>
      <x:c r="Z266"/>
      <x:c r="AA266"/>
    </x:row>
    <x:row r="267">
      <x:c r="A267" s="37"/>
      <x:c r="B267" s="37"/>
      <x:c r="C267" s="37"/>
      <x:c r="D267" s="37"/>
      <x:c r="E267" s="37"/>
      <x:c r="F267" s="37"/>
      <x:c r="G267" s="56"/>
      <x:c r="H267" s="37"/>
      <x:c r="I267" s="37"/>
      <x:c r="J267" s="37"/>
      <x:c r="K267" s="56"/>
      <x:c r="L267" s="37"/>
      <x:c r="M267" s="37"/>
      <x:c r="N267" s="57"/>
      <x:c r="O267" s="57"/>
      <x:c r="P267" s="57"/>
      <x:c r="Q267" s="57"/>
      <x:c r="R267" s="57"/>
      <x:c r="S267" s="37"/>
      <x:c r="T267" s="37"/>
      <x:c r="U267" s="37"/>
      <x:c r="V267" s="37"/>
      <x:c r="W267" s="70"/>
      <x:c r="X267"/>
      <x:c r="Y267"/>
      <x:c r="Z267"/>
      <x:c r="AA267"/>
    </x:row>
    <x:row r="268">
      <x:c r="A268" s="37"/>
      <x:c r="B268" s="37"/>
      <x:c r="C268" s="37"/>
      <x:c r="D268" s="37"/>
      <x:c r="E268" s="37"/>
      <x:c r="F268" s="37"/>
      <x:c r="G268" s="56"/>
      <x:c r="H268" s="37"/>
      <x:c r="I268" s="37"/>
      <x:c r="J268" s="37"/>
      <x:c r="K268" s="56"/>
      <x:c r="L268" s="37"/>
      <x:c r="M268" s="37"/>
      <x:c r="N268" s="57"/>
      <x:c r="O268" s="57"/>
      <x:c r="P268" s="57"/>
      <x:c r="Q268" s="57"/>
      <x:c r="R268" s="57"/>
      <x:c r="S268" s="37"/>
      <x:c r="T268" s="37"/>
      <x:c r="U268" s="37"/>
      <x:c r="V268" s="37"/>
      <x:c r="W268" s="70"/>
      <x:c r="X268"/>
      <x:c r="Y268"/>
      <x:c r="Z268"/>
      <x:c r="AA268"/>
    </x:row>
    <x:row r="269">
      <x:c r="A269" s="37"/>
      <x:c r="B269" s="37"/>
      <x:c r="C269" s="37"/>
      <x:c r="D269" s="37"/>
      <x:c r="E269" s="37"/>
      <x:c r="F269" s="37"/>
      <x:c r="G269" s="56"/>
      <x:c r="H269" s="37"/>
      <x:c r="I269" s="37"/>
      <x:c r="J269" s="37"/>
      <x:c r="K269" s="56"/>
      <x:c r="L269" s="37"/>
      <x:c r="M269" s="37"/>
      <x:c r="N269" s="57"/>
      <x:c r="O269" s="57"/>
      <x:c r="P269" s="57"/>
      <x:c r="Q269" s="57"/>
      <x:c r="R269" s="57"/>
      <x:c r="S269" s="37"/>
      <x:c r="T269" s="37"/>
      <x:c r="U269" s="37"/>
      <x:c r="V269" s="37"/>
      <x:c r="W269" s="70"/>
      <x:c r="X269"/>
      <x:c r="Y269"/>
      <x:c r="Z269"/>
      <x:c r="AA269"/>
    </x:row>
    <x:row r="270">
      <x:c r="A270" s="37"/>
      <x:c r="B270" s="37"/>
      <x:c r="C270" s="37"/>
      <x:c r="D270" s="37"/>
      <x:c r="E270" s="37"/>
      <x:c r="F270" s="37"/>
      <x:c r="G270" s="56"/>
      <x:c r="H270" s="37"/>
      <x:c r="I270" s="37"/>
      <x:c r="J270" s="37"/>
      <x:c r="K270" s="56"/>
      <x:c r="L270" s="37"/>
      <x:c r="M270" s="37"/>
      <x:c r="N270" s="57"/>
      <x:c r="O270" s="57"/>
      <x:c r="P270" s="57"/>
      <x:c r="Q270" s="57"/>
      <x:c r="R270" s="57"/>
      <x:c r="S270" s="37"/>
      <x:c r="T270" s="37"/>
      <x:c r="U270" s="37"/>
      <x:c r="V270" s="37"/>
      <x:c r="W270" s="70"/>
      <x:c r="X270"/>
      <x:c r="Y270"/>
      <x:c r="Z270"/>
      <x:c r="AA270"/>
    </x:row>
    <x:row r="271">
      <x:c r="A271" s="37"/>
      <x:c r="B271" s="37"/>
      <x:c r="C271" s="37"/>
      <x:c r="D271" s="37"/>
      <x:c r="E271" s="37"/>
      <x:c r="F271" s="37"/>
      <x:c r="G271" s="56"/>
      <x:c r="H271" s="37"/>
      <x:c r="I271" s="37"/>
      <x:c r="J271" s="37"/>
      <x:c r="K271" s="56"/>
      <x:c r="L271" s="37"/>
      <x:c r="M271" s="37"/>
      <x:c r="N271" s="57"/>
      <x:c r="O271" s="57"/>
      <x:c r="P271" s="57"/>
      <x:c r="Q271" s="57"/>
      <x:c r="R271" s="57"/>
      <x:c r="S271" s="37"/>
      <x:c r="T271" s="37"/>
      <x:c r="U271" s="37"/>
      <x:c r="V271" s="37"/>
      <x:c r="W271" s="70"/>
      <x:c r="X271"/>
      <x:c r="Y271"/>
      <x:c r="Z271"/>
      <x:c r="AA271"/>
    </x:row>
    <x:row r="272">
      <x:c r="A272" s="37"/>
      <x:c r="B272" s="37"/>
      <x:c r="C272" s="37"/>
      <x:c r="D272" s="37"/>
      <x:c r="E272" s="37"/>
      <x:c r="F272" s="37"/>
      <x:c r="G272" s="56"/>
      <x:c r="H272" s="37"/>
      <x:c r="I272" s="37"/>
      <x:c r="J272" s="37"/>
      <x:c r="K272" s="56"/>
      <x:c r="L272" s="37"/>
      <x:c r="M272" s="37"/>
      <x:c r="N272" s="57"/>
      <x:c r="O272" s="57"/>
      <x:c r="P272" s="57"/>
      <x:c r="Q272" s="57"/>
      <x:c r="R272" s="57"/>
      <x:c r="S272" s="37"/>
      <x:c r="T272" s="37"/>
      <x:c r="U272" s="37"/>
      <x:c r="V272" s="37"/>
      <x:c r="W272" s="70"/>
      <x:c r="X272"/>
      <x:c r="Y272"/>
      <x:c r="Z272"/>
      <x:c r="AA272"/>
    </x:row>
    <x:row r="273">
      <x:c r="A273" s="37"/>
      <x:c r="B273" s="37"/>
      <x:c r="C273" s="37"/>
      <x:c r="D273" s="37"/>
      <x:c r="E273" s="37"/>
      <x:c r="F273" s="37"/>
      <x:c r="G273" s="56"/>
      <x:c r="H273" s="37"/>
      <x:c r="I273" s="37"/>
      <x:c r="J273" s="37"/>
      <x:c r="K273" s="56"/>
      <x:c r="L273" s="37"/>
      <x:c r="M273" s="37"/>
      <x:c r="N273" s="57"/>
      <x:c r="O273" s="57"/>
      <x:c r="P273" s="57"/>
      <x:c r="Q273" s="57"/>
      <x:c r="R273" s="57"/>
      <x:c r="S273" s="37"/>
      <x:c r="T273" s="37"/>
      <x:c r="U273" s="37"/>
      <x:c r="V273" s="37"/>
      <x:c r="W273" s="70"/>
      <x:c r="X273"/>
      <x:c r="Y273"/>
      <x:c r="Z273"/>
      <x:c r="AA273"/>
    </x:row>
    <x:row r="274">
      <x:c r="A274" s="37"/>
      <x:c r="B274" s="37"/>
      <x:c r="C274" s="37"/>
      <x:c r="D274" s="37"/>
      <x:c r="E274" s="37"/>
      <x:c r="F274" s="37"/>
      <x:c r="G274" s="56"/>
      <x:c r="H274" s="37"/>
      <x:c r="I274" s="37"/>
      <x:c r="J274" s="37"/>
      <x:c r="K274" s="56"/>
      <x:c r="L274" s="37"/>
      <x:c r="M274" s="37"/>
      <x:c r="N274" s="57"/>
      <x:c r="O274" s="57"/>
      <x:c r="P274" s="57"/>
      <x:c r="Q274" s="57"/>
      <x:c r="R274" s="57"/>
      <x:c r="S274" s="37"/>
      <x:c r="T274" s="37"/>
      <x:c r="U274" s="37"/>
      <x:c r="V274" s="37"/>
      <x:c r="W274" s="70"/>
      <x:c r="X274"/>
      <x:c r="Y274"/>
      <x:c r="Z274"/>
      <x:c r="AA274"/>
    </x:row>
    <x:row r="275">
      <x:c r="A275" s="37"/>
      <x:c r="B275" s="37"/>
      <x:c r="C275" s="37"/>
      <x:c r="D275" s="37"/>
      <x:c r="E275" s="37"/>
      <x:c r="F275" s="37"/>
      <x:c r="G275" s="56"/>
      <x:c r="H275" s="37"/>
      <x:c r="I275" s="37"/>
      <x:c r="J275" s="37"/>
      <x:c r="K275" s="56"/>
      <x:c r="L275" s="37"/>
      <x:c r="M275" s="37"/>
      <x:c r="N275" s="57"/>
      <x:c r="O275" s="57"/>
      <x:c r="P275" s="57"/>
      <x:c r="Q275" s="57"/>
      <x:c r="R275" s="57"/>
      <x:c r="S275" s="37"/>
      <x:c r="T275" s="37"/>
      <x:c r="U275" s="37"/>
      <x:c r="V275" s="37"/>
      <x:c r="W275" s="70"/>
      <x:c r="X275"/>
      <x:c r="Y275"/>
      <x:c r="Z275"/>
      <x:c r="AA275"/>
    </x:row>
    <x:row r="276">
      <x:c r="A276" s="37"/>
      <x:c r="B276" s="37"/>
      <x:c r="C276" s="37"/>
      <x:c r="D276" s="37"/>
      <x:c r="E276" s="37"/>
      <x:c r="F276" s="37"/>
      <x:c r="G276" s="56"/>
      <x:c r="H276" s="37"/>
      <x:c r="I276" s="37"/>
      <x:c r="J276" s="37"/>
      <x:c r="K276" s="56"/>
      <x:c r="L276" s="37"/>
      <x:c r="M276" s="37"/>
      <x:c r="N276" s="57"/>
      <x:c r="O276" s="57"/>
      <x:c r="P276" s="57"/>
      <x:c r="Q276" s="57"/>
      <x:c r="R276" s="57"/>
      <x:c r="S276" s="37"/>
      <x:c r="T276" s="37"/>
      <x:c r="U276" s="37"/>
      <x:c r="V276" s="37"/>
      <x:c r="W276" s="70"/>
      <x:c r="X276"/>
      <x:c r="Y276"/>
      <x:c r="Z276"/>
      <x:c r="AA276"/>
    </x:row>
    <x:row r="277">
      <x:c r="A277" s="37"/>
      <x:c r="B277" s="37"/>
      <x:c r="C277" s="37"/>
      <x:c r="D277" s="37"/>
      <x:c r="E277" s="37"/>
      <x:c r="F277" s="37"/>
      <x:c r="G277" s="56"/>
      <x:c r="H277" s="37"/>
      <x:c r="I277" s="37"/>
      <x:c r="J277" s="37"/>
      <x:c r="K277" s="56"/>
      <x:c r="L277" s="37"/>
      <x:c r="M277" s="37"/>
      <x:c r="N277" s="57"/>
      <x:c r="O277" s="57"/>
      <x:c r="P277" s="57"/>
      <x:c r="Q277" s="57"/>
      <x:c r="R277" s="57"/>
      <x:c r="S277" s="37"/>
      <x:c r="T277" s="37"/>
      <x:c r="U277" s="37"/>
      <x:c r="V277" s="37"/>
      <x:c r="W277" s="70"/>
      <x:c r="X277"/>
      <x:c r="Y277"/>
      <x:c r="Z277"/>
      <x:c r="AA277"/>
    </x:row>
    <x:row r="278">
      <x:c r="A278" s="37"/>
      <x:c r="B278" s="37"/>
      <x:c r="C278" s="37"/>
      <x:c r="D278" s="37"/>
      <x:c r="E278" s="37"/>
      <x:c r="F278" s="37"/>
      <x:c r="G278" s="56"/>
      <x:c r="H278" s="37"/>
      <x:c r="I278" s="37"/>
      <x:c r="J278" s="37"/>
      <x:c r="K278" s="56"/>
      <x:c r="L278" s="37"/>
      <x:c r="M278" s="37"/>
      <x:c r="N278" s="57"/>
      <x:c r="O278" s="57"/>
      <x:c r="P278" s="57"/>
      <x:c r="Q278" s="57"/>
      <x:c r="R278" s="57"/>
      <x:c r="S278" s="37"/>
      <x:c r="T278" s="37"/>
      <x:c r="U278" s="37"/>
      <x:c r="V278" s="37"/>
      <x:c r="W278" s="70"/>
      <x:c r="X278"/>
      <x:c r="Y278"/>
      <x:c r="Z278"/>
      <x:c r="AA278"/>
    </x:row>
    <x:row r="279">
      <x:c r="A279" s="37"/>
      <x:c r="B279" s="37"/>
      <x:c r="C279" s="37"/>
      <x:c r="D279" s="37"/>
      <x:c r="E279" s="37"/>
      <x:c r="F279" s="37"/>
      <x:c r="G279" s="56"/>
      <x:c r="H279" s="37"/>
      <x:c r="I279" s="37"/>
      <x:c r="J279" s="37"/>
      <x:c r="K279" s="56"/>
      <x:c r="L279" s="37"/>
      <x:c r="M279" s="37"/>
      <x:c r="N279" s="57"/>
      <x:c r="O279" s="57"/>
      <x:c r="P279" s="57"/>
      <x:c r="Q279" s="57"/>
      <x:c r="R279" s="57"/>
      <x:c r="S279" s="37"/>
      <x:c r="T279" s="37"/>
      <x:c r="U279" s="37"/>
      <x:c r="V279" s="37"/>
      <x:c r="W279" s="70"/>
      <x:c r="X279"/>
      <x:c r="Y279"/>
      <x:c r="Z279"/>
      <x:c r="AA279"/>
    </x:row>
    <x:row r="280">
      <x:c r="A280" s="37"/>
      <x:c r="B280" s="37"/>
      <x:c r="C280" s="37"/>
      <x:c r="D280" s="37"/>
      <x:c r="E280" s="37"/>
      <x:c r="F280" s="37"/>
      <x:c r="G280" s="56"/>
      <x:c r="H280" s="37"/>
      <x:c r="I280" s="37"/>
      <x:c r="J280" s="37"/>
      <x:c r="K280" s="56"/>
      <x:c r="L280" s="37"/>
      <x:c r="M280" s="37"/>
      <x:c r="N280" s="57"/>
      <x:c r="O280" s="57"/>
      <x:c r="P280" s="57"/>
      <x:c r="Q280" s="57"/>
      <x:c r="R280" s="57"/>
      <x:c r="S280" s="37"/>
      <x:c r="T280" s="37"/>
      <x:c r="U280" s="37"/>
      <x:c r="V280" s="37"/>
      <x:c r="W280" s="70"/>
      <x:c r="X280"/>
      <x:c r="Y280"/>
      <x:c r="Z280"/>
      <x:c r="AA280"/>
    </x:row>
    <x:row r="281">
      <x:c r="A281" s="37"/>
      <x:c r="B281" s="37"/>
      <x:c r="C281" s="37"/>
      <x:c r="D281" s="37"/>
      <x:c r="E281" s="37"/>
      <x:c r="F281" s="37"/>
      <x:c r="G281" s="56"/>
      <x:c r="H281" s="37"/>
      <x:c r="I281" s="37"/>
      <x:c r="J281" s="37"/>
      <x:c r="K281" s="56"/>
      <x:c r="L281" s="37"/>
      <x:c r="M281" s="37"/>
      <x:c r="N281" s="57"/>
      <x:c r="O281" s="57"/>
      <x:c r="P281" s="57"/>
      <x:c r="Q281" s="57"/>
      <x:c r="R281" s="57"/>
      <x:c r="S281" s="37"/>
      <x:c r="T281" s="37"/>
      <x:c r="U281" s="37"/>
      <x:c r="V281" s="37"/>
      <x:c r="W281" s="70"/>
      <x:c r="X281"/>
      <x:c r="Y281"/>
      <x:c r="Z281"/>
      <x:c r="AA281"/>
    </x:row>
    <x:row r="282">
      <x:c r="A282" s="37"/>
      <x:c r="B282" s="37"/>
      <x:c r="C282" s="37"/>
      <x:c r="D282" s="37"/>
      <x:c r="E282" s="37"/>
      <x:c r="F282" s="37"/>
      <x:c r="G282" s="56"/>
      <x:c r="H282" s="37"/>
      <x:c r="I282" s="37"/>
      <x:c r="J282" s="37"/>
      <x:c r="K282" s="56"/>
      <x:c r="L282" s="37"/>
      <x:c r="M282" s="37"/>
      <x:c r="N282" s="57"/>
      <x:c r="O282" s="57"/>
      <x:c r="P282" s="57"/>
      <x:c r="Q282" s="57"/>
      <x:c r="R282" s="57"/>
      <x:c r="S282" s="37"/>
      <x:c r="T282" s="37"/>
      <x:c r="U282" s="37"/>
      <x:c r="V282" s="37"/>
      <x:c r="W282" s="70"/>
      <x:c r="X282"/>
      <x:c r="Y282"/>
      <x:c r="Z282"/>
      <x:c r="AA282"/>
    </x:row>
    <x:row r="283">
      <x:c r="A283" s="37"/>
      <x:c r="B283" s="37"/>
      <x:c r="C283" s="37"/>
      <x:c r="D283" s="37"/>
      <x:c r="E283" s="37"/>
      <x:c r="F283" s="37"/>
      <x:c r="G283" s="56"/>
      <x:c r="H283" s="37"/>
      <x:c r="I283" s="37"/>
      <x:c r="J283" s="37"/>
      <x:c r="K283" s="56"/>
      <x:c r="L283" s="37"/>
      <x:c r="M283" s="37"/>
      <x:c r="N283" s="57"/>
      <x:c r="O283" s="57"/>
      <x:c r="P283" s="57"/>
      <x:c r="Q283" s="57"/>
      <x:c r="R283" s="57"/>
      <x:c r="S283" s="37"/>
      <x:c r="T283" s="37"/>
      <x:c r="U283" s="37"/>
      <x:c r="V283" s="37"/>
      <x:c r="W283" s="70"/>
      <x:c r="X283"/>
      <x:c r="Y283"/>
      <x:c r="Z283"/>
      <x:c r="AA283"/>
    </x:row>
    <x:row r="284">
      <x:c r="A284" s="37"/>
      <x:c r="B284" s="37"/>
      <x:c r="C284" s="37"/>
      <x:c r="D284" s="37"/>
      <x:c r="E284" s="37"/>
      <x:c r="F284" s="37"/>
      <x:c r="G284" s="56"/>
      <x:c r="H284" s="37"/>
      <x:c r="I284" s="37"/>
      <x:c r="J284" s="37"/>
      <x:c r="K284" s="56"/>
      <x:c r="L284" s="37"/>
      <x:c r="M284" s="37"/>
      <x:c r="N284" s="57"/>
      <x:c r="O284" s="57"/>
      <x:c r="P284" s="57"/>
      <x:c r="Q284" s="57"/>
      <x:c r="R284" s="57"/>
      <x:c r="S284" s="37"/>
      <x:c r="T284" s="37"/>
      <x:c r="U284" s="37"/>
      <x:c r="V284" s="37"/>
      <x:c r="W284" s="70"/>
      <x:c r="X284"/>
      <x:c r="Y284"/>
      <x:c r="Z284"/>
      <x:c r="AA284"/>
    </x:row>
    <x:row r="285">
      <x:c r="A285" s="37"/>
      <x:c r="B285" s="37"/>
      <x:c r="C285" s="37"/>
      <x:c r="D285" s="37"/>
      <x:c r="E285" s="37"/>
      <x:c r="F285" s="37"/>
      <x:c r="G285" s="56"/>
      <x:c r="H285" s="37"/>
      <x:c r="I285" s="37"/>
      <x:c r="J285" s="37"/>
      <x:c r="K285" s="56"/>
      <x:c r="L285" s="37"/>
      <x:c r="M285" s="37"/>
      <x:c r="N285" s="57"/>
      <x:c r="O285" s="57"/>
      <x:c r="P285" s="57"/>
      <x:c r="Q285" s="57"/>
      <x:c r="R285" s="57"/>
      <x:c r="S285" s="37"/>
      <x:c r="T285" s="37"/>
      <x:c r="U285" s="37"/>
      <x:c r="V285" s="37"/>
      <x:c r="W285" s="70"/>
      <x:c r="X285"/>
      <x:c r="Y285"/>
      <x:c r="Z285"/>
      <x:c r="AA285"/>
    </x:row>
    <x:row r="286">
      <x:c r="A286" s="37"/>
      <x:c r="B286" s="37"/>
      <x:c r="C286" s="37"/>
      <x:c r="D286" s="37"/>
      <x:c r="E286" s="37"/>
      <x:c r="F286" s="37"/>
      <x:c r="G286" s="56"/>
      <x:c r="H286" s="37"/>
      <x:c r="I286" s="37"/>
      <x:c r="J286" s="37"/>
      <x:c r="K286" s="56"/>
      <x:c r="L286" s="37"/>
      <x:c r="M286" s="37"/>
      <x:c r="N286" s="57"/>
      <x:c r="O286" s="57"/>
      <x:c r="P286" s="57"/>
      <x:c r="Q286" s="57"/>
      <x:c r="R286" s="57"/>
      <x:c r="S286" s="37"/>
      <x:c r="T286" s="37"/>
      <x:c r="U286" s="37"/>
      <x:c r="V286" s="37"/>
      <x:c r="W286" s="70"/>
      <x:c r="X286"/>
      <x:c r="Y286"/>
      <x:c r="Z286"/>
      <x:c r="AA286"/>
    </x:row>
    <x:row r="287">
      <x:c r="A287" s="37"/>
      <x:c r="B287" s="37"/>
      <x:c r="C287" s="37"/>
      <x:c r="D287" s="37"/>
      <x:c r="E287" s="37"/>
      <x:c r="F287" s="37"/>
      <x:c r="G287" s="56"/>
      <x:c r="H287" s="37"/>
      <x:c r="I287" s="37"/>
      <x:c r="J287" s="37"/>
      <x:c r="K287" s="56"/>
      <x:c r="L287" s="37"/>
      <x:c r="M287" s="37"/>
      <x:c r="N287" s="57"/>
      <x:c r="O287" s="57"/>
      <x:c r="P287" s="57"/>
      <x:c r="Q287" s="57"/>
      <x:c r="R287" s="57"/>
      <x:c r="S287" s="37"/>
      <x:c r="T287" s="37"/>
      <x:c r="U287" s="37"/>
      <x:c r="V287" s="37"/>
      <x:c r="W287" s="70"/>
      <x:c r="X287"/>
      <x:c r="Y287"/>
      <x:c r="Z287"/>
      <x:c r="AA287"/>
    </x:row>
    <x:row r="288">
      <x:c r="A288" s="37"/>
      <x:c r="B288" s="37"/>
      <x:c r="C288" s="37"/>
      <x:c r="D288" s="37"/>
      <x:c r="E288" s="37"/>
      <x:c r="F288" s="37"/>
      <x:c r="G288" s="56"/>
      <x:c r="H288" s="37"/>
      <x:c r="I288" s="37"/>
      <x:c r="J288" s="37"/>
      <x:c r="K288" s="56"/>
      <x:c r="L288" s="37"/>
      <x:c r="M288" s="37"/>
      <x:c r="N288" s="57"/>
      <x:c r="O288" s="57"/>
      <x:c r="P288" s="57"/>
      <x:c r="Q288" s="57"/>
      <x:c r="R288" s="57"/>
      <x:c r="S288" s="37"/>
      <x:c r="T288" s="37"/>
      <x:c r="U288" s="37"/>
      <x:c r="V288" s="37"/>
      <x:c r="W288" s="70"/>
      <x:c r="X288"/>
      <x:c r="Y288"/>
      <x:c r="Z288"/>
      <x:c r="AA288"/>
    </x:row>
    <x:row r="289">
      <x:c r="A289" s="37"/>
      <x:c r="B289" s="37"/>
      <x:c r="C289" s="37"/>
      <x:c r="D289" s="37"/>
      <x:c r="E289" s="37"/>
      <x:c r="F289" s="37"/>
      <x:c r="G289" s="56"/>
      <x:c r="H289" s="37"/>
      <x:c r="I289" s="37"/>
      <x:c r="J289" s="37"/>
      <x:c r="K289" s="56"/>
      <x:c r="L289" s="37"/>
      <x:c r="M289" s="37"/>
      <x:c r="N289" s="57"/>
      <x:c r="O289" s="57"/>
      <x:c r="P289" s="57"/>
      <x:c r="Q289" s="57"/>
      <x:c r="R289" s="57"/>
      <x:c r="S289" s="37"/>
      <x:c r="T289" s="37"/>
      <x:c r="U289" s="37"/>
      <x:c r="V289" s="37"/>
      <x:c r="W289" s="70"/>
      <x:c r="X289"/>
      <x:c r="Y289"/>
      <x:c r="Z289"/>
      <x:c r="AA289"/>
    </x:row>
    <x:row r="290">
      <x:c r="A290" s="37"/>
      <x:c r="B290" s="37"/>
      <x:c r="C290" s="37"/>
      <x:c r="D290" s="37"/>
      <x:c r="E290" s="37"/>
      <x:c r="F290" s="37"/>
      <x:c r="G290" s="56"/>
      <x:c r="H290" s="37"/>
      <x:c r="I290" s="37"/>
      <x:c r="J290" s="37"/>
      <x:c r="K290" s="56"/>
      <x:c r="L290" s="37"/>
      <x:c r="M290" s="37"/>
      <x:c r="N290" s="57"/>
      <x:c r="O290" s="57"/>
      <x:c r="P290" s="57"/>
      <x:c r="Q290" s="57"/>
      <x:c r="R290" s="57"/>
      <x:c r="S290" s="37"/>
      <x:c r="T290" s="37"/>
      <x:c r="U290" s="37"/>
      <x:c r="V290" s="37"/>
      <x:c r="W290" s="70"/>
      <x:c r="X290"/>
      <x:c r="Y290"/>
      <x:c r="Z290"/>
      <x:c r="AA290"/>
    </x:row>
    <x:row r="291">
      <x:c r="A291" s="37"/>
      <x:c r="B291" s="37"/>
      <x:c r="C291" s="37"/>
      <x:c r="D291" s="37"/>
      <x:c r="E291" s="37"/>
      <x:c r="F291" s="37"/>
      <x:c r="G291" s="56"/>
      <x:c r="H291" s="37"/>
      <x:c r="I291" s="37"/>
      <x:c r="J291" s="37"/>
      <x:c r="K291" s="56"/>
      <x:c r="L291" s="37"/>
      <x:c r="M291" s="37"/>
      <x:c r="N291" s="57"/>
      <x:c r="O291" s="57"/>
      <x:c r="P291" s="57"/>
      <x:c r="Q291" s="57"/>
      <x:c r="R291" s="57"/>
      <x:c r="S291" s="37"/>
      <x:c r="T291" s="37"/>
      <x:c r="U291" s="37"/>
      <x:c r="V291" s="37"/>
      <x:c r="W291" s="70"/>
      <x:c r="X291"/>
      <x:c r="Y291"/>
      <x:c r="Z291"/>
      <x:c r="AA291"/>
    </x:row>
    <x:row r="292">
      <x:c r="A292" s="37"/>
      <x:c r="B292" s="37"/>
      <x:c r="C292" s="37"/>
      <x:c r="D292" s="37"/>
      <x:c r="E292" s="37"/>
      <x:c r="F292" s="37"/>
      <x:c r="G292" s="56"/>
      <x:c r="H292" s="37"/>
      <x:c r="I292" s="37"/>
      <x:c r="J292" s="37"/>
      <x:c r="K292" s="56"/>
      <x:c r="L292" s="37"/>
      <x:c r="M292" s="37"/>
      <x:c r="N292" s="57"/>
      <x:c r="O292" s="57"/>
      <x:c r="P292" s="57"/>
      <x:c r="Q292" s="57"/>
      <x:c r="R292" s="57"/>
      <x:c r="S292" s="37"/>
      <x:c r="T292" s="37"/>
      <x:c r="U292" s="37"/>
      <x:c r="V292" s="37"/>
      <x:c r="W292" s="70"/>
      <x:c r="X292"/>
      <x:c r="Y292"/>
      <x:c r="Z292"/>
      <x:c r="AA292"/>
    </x:row>
    <x:row r="293">
      <x:c r="A293" s="37"/>
      <x:c r="B293" s="37"/>
      <x:c r="C293" s="37"/>
      <x:c r="D293" s="37"/>
      <x:c r="E293" s="37"/>
      <x:c r="F293" s="37"/>
      <x:c r="G293" s="56"/>
      <x:c r="H293" s="37"/>
      <x:c r="I293" s="37"/>
      <x:c r="J293" s="37"/>
      <x:c r="K293" s="56"/>
      <x:c r="L293" s="37"/>
      <x:c r="M293" s="37"/>
      <x:c r="N293" s="57"/>
      <x:c r="O293" s="57"/>
      <x:c r="P293" s="57"/>
      <x:c r="Q293" s="57"/>
      <x:c r="R293" s="57"/>
      <x:c r="S293" s="37"/>
      <x:c r="T293" s="37"/>
      <x:c r="U293" s="37"/>
      <x:c r="V293" s="37"/>
      <x:c r="W293" s="70"/>
      <x:c r="X293"/>
      <x:c r="Y293"/>
      <x:c r="Z293"/>
      <x:c r="AA293"/>
    </x:row>
    <x:row r="294">
      <x:c r="A294" s="37"/>
      <x:c r="B294" s="37"/>
      <x:c r="C294" s="37"/>
      <x:c r="D294" s="37"/>
      <x:c r="E294" s="37"/>
      <x:c r="F294" s="37"/>
      <x:c r="G294" s="56"/>
      <x:c r="H294" s="37"/>
      <x:c r="I294" s="37"/>
      <x:c r="J294" s="37"/>
      <x:c r="K294" s="56"/>
      <x:c r="L294" s="37"/>
      <x:c r="M294" s="37"/>
      <x:c r="N294" s="57"/>
      <x:c r="O294" s="57"/>
      <x:c r="P294" s="57"/>
      <x:c r="Q294" s="57"/>
      <x:c r="R294" s="57"/>
      <x:c r="S294" s="37"/>
      <x:c r="T294" s="37"/>
      <x:c r="U294" s="37"/>
      <x:c r="V294" s="37"/>
      <x:c r="W294" s="70"/>
      <x:c r="X294"/>
      <x:c r="Y294"/>
      <x:c r="Z294"/>
      <x:c r="AA294"/>
    </x:row>
    <x:row r="295">
      <x:c r="A295" s="37"/>
      <x:c r="B295" s="37"/>
      <x:c r="C295" s="37"/>
      <x:c r="D295" s="37"/>
      <x:c r="E295" s="37"/>
      <x:c r="F295" s="37"/>
      <x:c r="G295" s="56"/>
      <x:c r="H295" s="37"/>
      <x:c r="I295" s="37"/>
      <x:c r="J295" s="37"/>
      <x:c r="K295" s="56"/>
      <x:c r="L295" s="37"/>
      <x:c r="M295" s="37"/>
      <x:c r="N295" s="57"/>
      <x:c r="O295" s="57"/>
      <x:c r="P295" s="57"/>
      <x:c r="Q295" s="57"/>
      <x:c r="R295" s="57"/>
      <x:c r="S295" s="37"/>
      <x:c r="T295" s="37"/>
      <x:c r="U295" s="37"/>
      <x:c r="V295" s="37"/>
      <x:c r="W295" s="70"/>
      <x:c r="X295"/>
      <x:c r="Y295"/>
      <x:c r="Z295"/>
      <x:c r="AA295"/>
    </x:row>
    <x:row r="296">
      <x:c r="A296" s="37"/>
      <x:c r="B296" s="37"/>
      <x:c r="C296" s="37"/>
      <x:c r="D296" s="37"/>
      <x:c r="E296" s="37"/>
      <x:c r="F296" s="37"/>
      <x:c r="G296" s="56"/>
      <x:c r="H296" s="37"/>
      <x:c r="I296" s="37"/>
      <x:c r="J296" s="37"/>
      <x:c r="K296" s="56"/>
      <x:c r="L296" s="37"/>
      <x:c r="M296" s="37"/>
      <x:c r="N296" s="57"/>
      <x:c r="O296" s="57"/>
      <x:c r="P296" s="57"/>
      <x:c r="Q296" s="57"/>
      <x:c r="R296" s="57"/>
      <x:c r="S296" s="37"/>
      <x:c r="T296" s="37"/>
      <x:c r="U296" s="37"/>
      <x:c r="V296" s="37"/>
      <x:c r="W296" s="70"/>
      <x:c r="X296"/>
      <x:c r="Y296"/>
      <x:c r="Z296"/>
      <x:c r="AA296"/>
    </x:row>
    <x:row r="297">
      <x:c r="A297" s="37"/>
      <x:c r="B297" s="37"/>
      <x:c r="C297" s="37"/>
      <x:c r="D297" s="37"/>
      <x:c r="E297" s="37"/>
      <x:c r="F297" s="37"/>
      <x:c r="G297" s="56"/>
      <x:c r="H297" s="37"/>
      <x:c r="I297" s="37"/>
      <x:c r="J297" s="37"/>
      <x:c r="K297" s="56"/>
      <x:c r="L297" s="37"/>
      <x:c r="M297" s="37"/>
      <x:c r="N297" s="57"/>
      <x:c r="O297" s="57"/>
      <x:c r="P297" s="57"/>
      <x:c r="Q297" s="57"/>
      <x:c r="R297" s="57"/>
      <x:c r="S297" s="37"/>
      <x:c r="T297" s="37"/>
      <x:c r="U297" s="37"/>
      <x:c r="V297" s="37"/>
      <x:c r="W297" s="70"/>
      <x:c r="X297"/>
      <x:c r="Y297"/>
      <x:c r="Z297"/>
      <x:c r="AA297"/>
    </x:row>
    <x:row r="298">
      <x:c r="A298" s="37"/>
      <x:c r="B298" s="37"/>
      <x:c r="C298" s="37"/>
      <x:c r="D298" s="37"/>
      <x:c r="E298" s="37"/>
      <x:c r="F298" s="37"/>
      <x:c r="G298" s="56"/>
      <x:c r="H298" s="37"/>
      <x:c r="I298" s="37"/>
      <x:c r="J298" s="37"/>
      <x:c r="K298" s="56"/>
      <x:c r="L298" s="37"/>
      <x:c r="M298" s="37"/>
      <x:c r="N298" s="57"/>
      <x:c r="O298" s="57"/>
      <x:c r="P298" s="57"/>
      <x:c r="Q298" s="57"/>
      <x:c r="R298" s="57"/>
      <x:c r="S298" s="37"/>
      <x:c r="T298" s="37"/>
      <x:c r="U298" s="37"/>
      <x:c r="V298" s="37"/>
      <x:c r="W298" s="70"/>
      <x:c r="X298"/>
      <x:c r="Y298"/>
      <x:c r="Z298"/>
      <x:c r="AA298"/>
    </x:row>
    <x:row r="299">
      <x:c r="A299" s="37"/>
      <x:c r="B299" s="37"/>
      <x:c r="C299" s="37"/>
      <x:c r="D299" s="37"/>
      <x:c r="E299" s="37"/>
      <x:c r="F299" s="37"/>
      <x:c r="G299" s="56"/>
      <x:c r="H299" s="37"/>
      <x:c r="I299" s="37"/>
      <x:c r="J299" s="37"/>
      <x:c r="K299" s="56"/>
      <x:c r="L299" s="37"/>
      <x:c r="M299" s="37"/>
      <x:c r="N299" s="57"/>
      <x:c r="O299" s="57"/>
      <x:c r="P299" s="57"/>
      <x:c r="Q299" s="57"/>
      <x:c r="R299" s="57"/>
      <x:c r="S299" s="37"/>
      <x:c r="T299" s="37"/>
      <x:c r="U299" s="37"/>
      <x:c r="V299" s="37"/>
      <x:c r="W299" s="70"/>
      <x:c r="X299"/>
      <x:c r="Y299"/>
      <x:c r="Z299"/>
      <x:c r="AA299"/>
    </x:row>
    <x:row r="300">
      <x:c r="A300" s="37"/>
      <x:c r="B300" s="37"/>
      <x:c r="C300" s="37"/>
      <x:c r="D300" s="37"/>
      <x:c r="E300" s="37"/>
      <x:c r="F300" s="37"/>
      <x:c r="G300" s="56"/>
      <x:c r="H300" s="37"/>
      <x:c r="I300" s="37"/>
      <x:c r="J300" s="37"/>
      <x:c r="K300" s="56"/>
      <x:c r="L300" s="37"/>
      <x:c r="M300" s="37"/>
      <x:c r="N300" s="57"/>
      <x:c r="O300" s="57"/>
      <x:c r="P300" s="57"/>
      <x:c r="Q300" s="57"/>
      <x:c r="R300" s="57"/>
      <x:c r="S300" s="37"/>
      <x:c r="T300" s="37"/>
      <x:c r="U300" s="37"/>
      <x:c r="V300" s="37"/>
      <x:c r="W300" s="70"/>
      <x:c r="X300"/>
      <x:c r="Y300"/>
      <x:c r="Z300"/>
      <x:c r="AA300"/>
    </x:row>
    <x:row r="301">
      <x:c r="A301" s="37"/>
      <x:c r="B301" s="37"/>
      <x:c r="C301" s="37"/>
      <x:c r="D301" s="37"/>
      <x:c r="E301" s="37"/>
      <x:c r="F301" s="37"/>
      <x:c r="G301" s="56"/>
      <x:c r="H301" s="37"/>
      <x:c r="I301" s="37"/>
      <x:c r="J301" s="37"/>
      <x:c r="K301" s="56"/>
      <x:c r="L301" s="37"/>
      <x:c r="M301" s="37"/>
      <x:c r="N301" s="57"/>
      <x:c r="O301" s="57"/>
      <x:c r="P301" s="57"/>
      <x:c r="Q301" s="57"/>
      <x:c r="R301" s="57"/>
      <x:c r="S301" s="37"/>
      <x:c r="T301" s="37"/>
      <x:c r="U301" s="37"/>
      <x:c r="V301" s="37"/>
      <x:c r="W301" s="70"/>
      <x:c r="X301"/>
      <x:c r="Y301"/>
      <x:c r="Z301"/>
      <x:c r="AA301"/>
    </x:row>
    <x:row r="302">
      <x:c r="A302" s="37"/>
      <x:c r="B302" s="37"/>
      <x:c r="C302" s="37"/>
      <x:c r="D302" s="37"/>
      <x:c r="E302" s="37"/>
      <x:c r="F302" s="37"/>
      <x:c r="G302" s="56"/>
      <x:c r="H302" s="37"/>
      <x:c r="I302" s="37"/>
      <x:c r="J302" s="37"/>
      <x:c r="K302" s="56"/>
      <x:c r="L302" s="37"/>
      <x:c r="M302" s="37"/>
      <x:c r="N302" s="57"/>
      <x:c r="O302" s="57"/>
      <x:c r="P302" s="57"/>
      <x:c r="Q302" s="57"/>
      <x:c r="R302" s="57"/>
      <x:c r="S302" s="37"/>
      <x:c r="T302" s="37"/>
      <x:c r="U302" s="37"/>
      <x:c r="V302" s="37"/>
      <x:c r="W302" s="70"/>
      <x:c r="X302"/>
      <x:c r="Y302"/>
      <x:c r="Z302"/>
      <x:c r="AA302"/>
    </x:row>
    <x:row r="303">
      <x:c r="A303" s="37"/>
      <x:c r="B303" s="37"/>
      <x:c r="C303" s="37"/>
      <x:c r="D303" s="37"/>
      <x:c r="E303" s="37"/>
      <x:c r="F303" s="37"/>
      <x:c r="G303" s="56"/>
      <x:c r="H303" s="37"/>
      <x:c r="I303" s="37"/>
      <x:c r="J303" s="37"/>
      <x:c r="K303" s="56"/>
      <x:c r="L303" s="37"/>
      <x:c r="M303" s="37"/>
      <x:c r="N303" s="57"/>
      <x:c r="O303" s="57"/>
      <x:c r="P303" s="57"/>
      <x:c r="Q303" s="57"/>
      <x:c r="R303" s="57"/>
      <x:c r="S303" s="37"/>
      <x:c r="T303" s="37"/>
      <x:c r="U303" s="37"/>
      <x:c r="V303" s="37"/>
      <x:c r="W303" s="70"/>
      <x:c r="X303"/>
      <x:c r="Y303"/>
      <x:c r="Z303"/>
      <x:c r="AA303"/>
    </x:row>
    <x:row r="304">
      <x:c r="A304" s="37"/>
      <x:c r="B304" s="37"/>
      <x:c r="C304" s="37"/>
      <x:c r="D304" s="37"/>
      <x:c r="E304" s="37"/>
      <x:c r="F304" s="37"/>
      <x:c r="G304" s="56"/>
      <x:c r="H304" s="37"/>
      <x:c r="I304" s="37"/>
      <x:c r="J304" s="37"/>
      <x:c r="K304" s="56"/>
      <x:c r="L304" s="37"/>
      <x:c r="M304" s="37"/>
      <x:c r="N304" s="57"/>
      <x:c r="O304" s="57"/>
      <x:c r="P304" s="57"/>
      <x:c r="Q304" s="57"/>
      <x:c r="R304" s="57"/>
      <x:c r="S304" s="37"/>
      <x:c r="T304" s="37"/>
      <x:c r="U304" s="37"/>
      <x:c r="V304" s="37"/>
      <x:c r="W304" s="70"/>
      <x:c r="X304"/>
      <x:c r="Y304"/>
      <x:c r="Z304"/>
      <x:c r="AA304"/>
    </x:row>
    <x:row r="305">
      <x:c r="A305" s="37"/>
      <x:c r="B305" s="37"/>
      <x:c r="C305" s="37"/>
      <x:c r="D305" s="37"/>
      <x:c r="E305" s="37"/>
      <x:c r="F305" s="37"/>
      <x:c r="G305" s="56"/>
      <x:c r="H305" s="37"/>
      <x:c r="I305" s="37"/>
      <x:c r="J305" s="37"/>
      <x:c r="K305" s="56"/>
      <x:c r="L305" s="37"/>
      <x:c r="M305" s="37"/>
      <x:c r="N305" s="57"/>
      <x:c r="O305" s="57"/>
      <x:c r="P305" s="57"/>
      <x:c r="Q305" s="57"/>
      <x:c r="R305" s="57"/>
      <x:c r="S305" s="37"/>
      <x:c r="T305" s="37"/>
      <x:c r="U305" s="37"/>
      <x:c r="V305" s="37"/>
      <x:c r="W305" s="70"/>
      <x:c r="X305"/>
      <x:c r="Y305"/>
      <x:c r="Z305"/>
      <x:c r="AA305"/>
    </x:row>
    <x:row r="306">
      <x:c r="A306" s="37"/>
      <x:c r="B306" s="37"/>
      <x:c r="C306" s="37"/>
      <x:c r="D306" s="37"/>
      <x:c r="E306" s="37"/>
      <x:c r="F306" s="37"/>
      <x:c r="G306" s="56"/>
      <x:c r="H306" s="37"/>
      <x:c r="I306" s="37"/>
      <x:c r="J306" s="37"/>
      <x:c r="K306" s="56"/>
      <x:c r="L306" s="37"/>
      <x:c r="M306" s="37"/>
      <x:c r="N306" s="57"/>
      <x:c r="O306" s="57"/>
      <x:c r="P306" s="57"/>
      <x:c r="Q306" s="57"/>
      <x:c r="R306" s="57"/>
      <x:c r="S306" s="37"/>
      <x:c r="T306" s="37"/>
      <x:c r="U306" s="37"/>
      <x:c r="V306" s="37"/>
      <x:c r="W306" s="70"/>
      <x:c r="X306"/>
      <x:c r="Y306"/>
      <x:c r="Z306"/>
      <x:c r="AA306"/>
    </x:row>
    <x:row r="307">
      <x:c r="A307" s="37"/>
      <x:c r="B307" s="37"/>
      <x:c r="C307" s="37"/>
      <x:c r="D307" s="37"/>
      <x:c r="E307" s="37"/>
      <x:c r="F307" s="37"/>
      <x:c r="G307" s="56"/>
      <x:c r="H307" s="37"/>
      <x:c r="I307" s="37"/>
      <x:c r="J307" s="37"/>
      <x:c r="K307" s="56"/>
      <x:c r="L307" s="37"/>
      <x:c r="M307" s="37"/>
      <x:c r="N307" s="57"/>
      <x:c r="O307" s="57"/>
      <x:c r="P307" s="57"/>
      <x:c r="Q307" s="57"/>
      <x:c r="R307" s="57"/>
      <x:c r="S307" s="37"/>
      <x:c r="T307" s="37"/>
      <x:c r="U307" s="37"/>
      <x:c r="V307" s="37"/>
      <x:c r="W307" s="70"/>
      <x:c r="X307"/>
      <x:c r="Y307"/>
      <x:c r="Z307"/>
      <x:c r="AA307"/>
    </x:row>
    <x:row r="308">
      <x:c r="A308" s="37"/>
      <x:c r="B308" s="37"/>
      <x:c r="C308" s="37"/>
      <x:c r="D308" s="37"/>
      <x:c r="E308" s="37"/>
      <x:c r="F308" s="37"/>
      <x:c r="G308" s="56"/>
      <x:c r="H308" s="37"/>
      <x:c r="I308" s="37"/>
      <x:c r="J308" s="37"/>
      <x:c r="K308" s="56"/>
      <x:c r="L308" s="37"/>
      <x:c r="M308" s="37"/>
      <x:c r="N308" s="57"/>
      <x:c r="O308" s="57"/>
      <x:c r="P308" s="57"/>
      <x:c r="Q308" s="57"/>
      <x:c r="R308" s="57"/>
      <x:c r="S308" s="37"/>
      <x:c r="T308" s="37"/>
      <x:c r="U308" s="37"/>
      <x:c r="V308" s="37"/>
      <x:c r="W308" s="70"/>
      <x:c r="X308"/>
      <x:c r="Y308"/>
      <x:c r="Z308"/>
      <x:c r="AA308"/>
    </x:row>
    <x:row r="309">
      <x:c r="A309" s="37"/>
      <x:c r="B309" s="37"/>
      <x:c r="C309" s="37"/>
      <x:c r="D309" s="37"/>
      <x:c r="E309" s="37"/>
      <x:c r="F309" s="37"/>
      <x:c r="G309" s="56"/>
      <x:c r="H309" s="37"/>
      <x:c r="I309" s="37"/>
      <x:c r="J309" s="37"/>
      <x:c r="K309" s="56"/>
      <x:c r="L309" s="37"/>
      <x:c r="M309" s="37"/>
      <x:c r="N309" s="57"/>
      <x:c r="O309" s="57"/>
      <x:c r="P309" s="57"/>
      <x:c r="Q309" s="57"/>
      <x:c r="R309" s="57"/>
      <x:c r="S309" s="37"/>
      <x:c r="T309" s="37"/>
      <x:c r="U309" s="37"/>
      <x:c r="V309" s="37"/>
      <x:c r="W309" s="70"/>
      <x:c r="X309"/>
      <x:c r="Y309"/>
      <x:c r="Z309"/>
      <x:c r="AA309"/>
    </x:row>
    <x:row r="310">
      <x:c r="A310" s="37"/>
      <x:c r="B310" s="37"/>
      <x:c r="C310" s="37"/>
      <x:c r="D310" s="37"/>
      <x:c r="E310" s="37"/>
      <x:c r="F310" s="37"/>
      <x:c r="G310" s="56"/>
      <x:c r="H310" s="37"/>
      <x:c r="I310" s="37"/>
      <x:c r="J310" s="37"/>
      <x:c r="K310" s="56"/>
      <x:c r="L310" s="37"/>
      <x:c r="M310" s="37"/>
      <x:c r="N310" s="57"/>
      <x:c r="O310" s="57"/>
      <x:c r="P310" s="57"/>
      <x:c r="Q310" s="57"/>
      <x:c r="R310" s="57"/>
      <x:c r="S310" s="37"/>
      <x:c r="T310" s="37"/>
      <x:c r="U310" s="37"/>
      <x:c r="V310" s="37"/>
      <x:c r="W310" s="70"/>
      <x:c r="X310"/>
      <x:c r="Y310"/>
      <x:c r="Z310"/>
      <x:c r="AA310"/>
    </x:row>
    <x:row r="311">
      <x:c r="A311" s="37"/>
      <x:c r="B311" s="37"/>
      <x:c r="C311" s="37"/>
      <x:c r="D311" s="37"/>
      <x:c r="E311" s="37"/>
      <x:c r="F311" s="37"/>
      <x:c r="G311" s="56"/>
      <x:c r="H311" s="37"/>
      <x:c r="I311" s="37"/>
      <x:c r="J311" s="37"/>
      <x:c r="K311" s="56"/>
      <x:c r="L311" s="37"/>
      <x:c r="M311" s="37"/>
      <x:c r="N311" s="57"/>
      <x:c r="O311" s="57"/>
      <x:c r="P311" s="57"/>
      <x:c r="Q311" s="57"/>
      <x:c r="R311" s="57"/>
      <x:c r="S311" s="37"/>
      <x:c r="T311" s="37"/>
      <x:c r="U311" s="37"/>
      <x:c r="V311" s="37"/>
      <x:c r="W311" s="70"/>
      <x:c r="X311"/>
      <x:c r="Y311"/>
      <x:c r="Z311"/>
      <x:c r="AA311"/>
    </x:row>
    <x:row r="312">
      <x:c r="A312" s="37"/>
      <x:c r="B312" s="37"/>
      <x:c r="C312" s="37"/>
      <x:c r="D312" s="37"/>
      <x:c r="E312" s="37"/>
      <x:c r="F312" s="37"/>
      <x:c r="G312" s="56"/>
      <x:c r="H312" s="37"/>
      <x:c r="I312" s="37"/>
      <x:c r="J312" s="37"/>
      <x:c r="K312" s="56"/>
      <x:c r="L312" s="37"/>
      <x:c r="M312" s="37"/>
      <x:c r="N312" s="57"/>
      <x:c r="O312" s="57"/>
      <x:c r="P312" s="57"/>
      <x:c r="Q312" s="57"/>
      <x:c r="R312" s="57"/>
      <x:c r="S312" s="37"/>
      <x:c r="T312" s="37"/>
      <x:c r="U312" s="37"/>
      <x:c r="V312" s="37"/>
      <x:c r="W312" s="70"/>
      <x:c r="X312"/>
      <x:c r="Y312"/>
      <x:c r="Z312"/>
      <x:c r="AA312"/>
    </x:row>
    <x:row r="313">
      <x:c r="A313" s="37"/>
      <x:c r="B313" s="37"/>
      <x:c r="C313" s="37"/>
      <x:c r="D313" s="37"/>
      <x:c r="E313" s="37"/>
      <x:c r="F313" s="37"/>
      <x:c r="G313" s="56"/>
      <x:c r="H313" s="37"/>
      <x:c r="I313" s="37"/>
      <x:c r="J313" s="37"/>
      <x:c r="K313" s="56"/>
      <x:c r="L313" s="37"/>
      <x:c r="M313" s="37"/>
      <x:c r="N313" s="57"/>
      <x:c r="O313" s="57"/>
      <x:c r="P313" s="57"/>
      <x:c r="Q313" s="57"/>
      <x:c r="R313" s="57"/>
      <x:c r="S313" s="37"/>
      <x:c r="T313" s="37"/>
      <x:c r="U313" s="37"/>
      <x:c r="V313" s="37"/>
      <x:c r="W313" s="70"/>
      <x:c r="X313"/>
      <x:c r="Y313"/>
      <x:c r="Z313"/>
      <x:c r="AA313"/>
    </x:row>
    <x:row r="314">
      <x:c r="A314" s="37"/>
      <x:c r="B314" s="37"/>
      <x:c r="C314" s="37"/>
      <x:c r="D314" s="37"/>
      <x:c r="E314" s="37"/>
      <x:c r="F314" s="37"/>
      <x:c r="G314" s="56"/>
      <x:c r="H314" s="37"/>
      <x:c r="I314" s="37"/>
      <x:c r="J314" s="37"/>
      <x:c r="K314" s="56"/>
      <x:c r="L314" s="37"/>
      <x:c r="M314" s="37"/>
      <x:c r="N314" s="57"/>
      <x:c r="O314" s="57"/>
      <x:c r="P314" s="57"/>
      <x:c r="Q314" s="57"/>
      <x:c r="R314" s="57"/>
      <x:c r="S314" s="37"/>
      <x:c r="T314" s="37"/>
      <x:c r="U314" s="37"/>
      <x:c r="V314" s="37"/>
      <x:c r="W314" s="70"/>
      <x:c r="X314"/>
      <x:c r="Y314"/>
      <x:c r="Z314"/>
      <x:c r="AA314"/>
    </x:row>
    <x:row r="315">
      <x:c r="A315" s="37"/>
      <x:c r="B315" s="37"/>
      <x:c r="C315" s="37"/>
      <x:c r="D315" s="37"/>
      <x:c r="E315" s="37"/>
      <x:c r="F315" s="37"/>
      <x:c r="G315" s="56"/>
      <x:c r="H315" s="37"/>
      <x:c r="I315" s="37"/>
      <x:c r="J315" s="37"/>
      <x:c r="K315" s="56"/>
      <x:c r="L315" s="37"/>
      <x:c r="M315" s="37"/>
      <x:c r="N315" s="57"/>
      <x:c r="O315" s="57"/>
      <x:c r="P315" s="57"/>
      <x:c r="Q315" s="57"/>
      <x:c r="R315" s="57"/>
      <x:c r="S315" s="37"/>
      <x:c r="T315" s="37"/>
      <x:c r="U315" s="37"/>
      <x:c r="V315" s="37"/>
      <x:c r="W315" s="70"/>
      <x:c r="X315"/>
      <x:c r="Y315"/>
      <x:c r="Z315"/>
      <x:c r="AA315"/>
    </x:row>
    <x:row r="316">
      <x:c r="A316" s="37"/>
      <x:c r="B316" s="37"/>
      <x:c r="C316" s="37"/>
      <x:c r="D316" s="37"/>
      <x:c r="E316" s="37"/>
      <x:c r="F316" s="37"/>
      <x:c r="G316" s="56"/>
      <x:c r="H316" s="37"/>
      <x:c r="I316" s="37"/>
      <x:c r="J316" s="37"/>
      <x:c r="K316" s="56"/>
      <x:c r="L316" s="37"/>
      <x:c r="M316" s="37"/>
      <x:c r="N316" s="57"/>
      <x:c r="O316" s="57"/>
      <x:c r="P316" s="57"/>
      <x:c r="Q316" s="57"/>
      <x:c r="R316" s="57"/>
      <x:c r="S316" s="37"/>
      <x:c r="T316" s="37"/>
      <x:c r="U316" s="37"/>
      <x:c r="V316" s="37"/>
      <x:c r="W316" s="70"/>
      <x:c r="X316"/>
      <x:c r="Y316"/>
      <x:c r="Z316"/>
      <x:c r="AA316"/>
    </x:row>
    <x:row r="317">
      <x:c r="A317" s="37"/>
      <x:c r="B317" s="37"/>
      <x:c r="C317" s="37"/>
      <x:c r="D317" s="37"/>
      <x:c r="E317" s="37"/>
      <x:c r="F317" s="37"/>
      <x:c r="G317" s="56"/>
      <x:c r="H317" s="37"/>
      <x:c r="I317" s="37"/>
      <x:c r="J317" s="37"/>
      <x:c r="K317" s="56"/>
      <x:c r="L317" s="37"/>
      <x:c r="M317" s="37"/>
      <x:c r="N317" s="57"/>
      <x:c r="O317" s="57"/>
      <x:c r="P317" s="57"/>
      <x:c r="Q317" s="57"/>
      <x:c r="R317" s="57"/>
      <x:c r="S317" s="37"/>
      <x:c r="T317" s="37"/>
      <x:c r="U317" s="37"/>
      <x:c r="V317" s="37"/>
      <x:c r="W317" s="70"/>
      <x:c r="X317"/>
      <x:c r="Y317"/>
      <x:c r="Z317"/>
      <x:c r="AA317"/>
    </x:row>
    <x:row r="318">
      <x:c r="A318" s="37"/>
      <x:c r="B318" s="37"/>
      <x:c r="C318" s="37"/>
      <x:c r="D318" s="37"/>
      <x:c r="E318" s="37"/>
      <x:c r="F318" s="37"/>
      <x:c r="G318" s="56"/>
      <x:c r="H318" s="37"/>
      <x:c r="I318" s="37"/>
      <x:c r="J318" s="37"/>
      <x:c r="K318" s="56"/>
      <x:c r="L318" s="37"/>
      <x:c r="M318" s="37"/>
      <x:c r="N318" s="57"/>
      <x:c r="O318" s="57"/>
      <x:c r="P318" s="57"/>
      <x:c r="Q318" s="57"/>
      <x:c r="R318" s="57"/>
      <x:c r="S318" s="37"/>
      <x:c r="T318" s="37"/>
      <x:c r="U318" s="37"/>
      <x:c r="V318" s="37"/>
      <x:c r="W318" s="70"/>
      <x:c r="X318"/>
      <x:c r="Y318"/>
      <x:c r="Z318"/>
      <x:c r="AA318"/>
    </x:row>
    <x:row r="319">
      <x:c r="A319" s="37"/>
      <x:c r="B319" s="37"/>
      <x:c r="C319" s="37"/>
      <x:c r="D319" s="37"/>
      <x:c r="E319" s="37"/>
      <x:c r="F319" s="37"/>
      <x:c r="G319" s="56"/>
      <x:c r="H319" s="37"/>
      <x:c r="I319" s="37"/>
      <x:c r="J319" s="37"/>
      <x:c r="K319" s="56"/>
      <x:c r="L319" s="37"/>
      <x:c r="M319" s="37"/>
      <x:c r="N319" s="57"/>
      <x:c r="O319" s="57"/>
      <x:c r="P319" s="57"/>
      <x:c r="Q319" s="57"/>
      <x:c r="R319" s="57"/>
      <x:c r="S319" s="37"/>
      <x:c r="T319" s="37"/>
      <x:c r="U319" s="37"/>
      <x:c r="V319" s="37"/>
      <x:c r="W319" s="70"/>
      <x:c r="X319"/>
      <x:c r="Y319"/>
      <x:c r="Z319"/>
      <x:c r="AA319"/>
    </x:row>
    <x:row r="320">
      <x:c r="A320" s="37"/>
      <x:c r="B320" s="37"/>
      <x:c r="C320" s="37"/>
      <x:c r="D320" s="37"/>
      <x:c r="E320" s="37"/>
      <x:c r="F320" s="37"/>
      <x:c r="G320" s="56"/>
      <x:c r="H320" s="37"/>
      <x:c r="I320" s="37"/>
      <x:c r="J320" s="37"/>
      <x:c r="K320" s="56"/>
      <x:c r="L320" s="37"/>
      <x:c r="M320" s="37"/>
      <x:c r="N320" s="57"/>
      <x:c r="O320" s="57"/>
      <x:c r="P320" s="57"/>
      <x:c r="Q320" s="57"/>
      <x:c r="R320" s="57"/>
      <x:c r="S320" s="37"/>
      <x:c r="T320" s="37"/>
      <x:c r="U320" s="37"/>
      <x:c r="V320" s="37"/>
      <x:c r="W320" s="70"/>
      <x:c r="X320"/>
      <x:c r="Y320"/>
      <x:c r="Z320"/>
      <x:c r="AA320"/>
    </x:row>
    <x:row r="321">
      <x:c r="A321" s="37"/>
      <x:c r="B321" s="37"/>
      <x:c r="C321" s="37"/>
      <x:c r="D321" s="37"/>
      <x:c r="E321" s="37"/>
      <x:c r="F321" s="37"/>
      <x:c r="G321" s="56"/>
      <x:c r="H321" s="37"/>
      <x:c r="I321" s="37"/>
      <x:c r="J321" s="37"/>
      <x:c r="K321" s="56"/>
      <x:c r="L321" s="37"/>
      <x:c r="M321" s="37"/>
      <x:c r="N321" s="57"/>
      <x:c r="O321" s="57"/>
      <x:c r="P321" s="57"/>
      <x:c r="Q321" s="57"/>
      <x:c r="R321" s="57"/>
      <x:c r="S321" s="37"/>
      <x:c r="T321" s="37"/>
      <x:c r="U321" s="37"/>
      <x:c r="V321" s="37"/>
      <x:c r="W321" s="70"/>
      <x:c r="X321"/>
      <x:c r="Y321"/>
      <x:c r="Z321"/>
      <x:c r="AA321"/>
    </x:row>
    <x:row r="322">
      <x:c r="A322" s="37"/>
      <x:c r="B322" s="37"/>
      <x:c r="C322" s="37"/>
      <x:c r="D322" s="37"/>
      <x:c r="E322" s="37"/>
      <x:c r="F322" s="37"/>
      <x:c r="G322" s="56"/>
      <x:c r="H322" s="37"/>
      <x:c r="I322" s="37"/>
      <x:c r="J322" s="37"/>
      <x:c r="K322" s="56"/>
      <x:c r="L322" s="37"/>
      <x:c r="M322" s="37"/>
      <x:c r="N322" s="57"/>
      <x:c r="O322" s="57"/>
      <x:c r="P322" s="57"/>
      <x:c r="Q322" s="57"/>
      <x:c r="R322" s="57"/>
      <x:c r="S322" s="37"/>
      <x:c r="T322" s="37"/>
      <x:c r="U322" s="37"/>
      <x:c r="V322" s="37"/>
      <x:c r="W322" s="70"/>
      <x:c r="X322"/>
      <x:c r="Y322"/>
      <x:c r="Z322"/>
      <x:c r="AA322"/>
    </x:row>
    <x:row r="323">
      <x:c r="A323" s="37"/>
      <x:c r="B323" s="37"/>
      <x:c r="C323" s="37"/>
      <x:c r="D323" s="37"/>
      <x:c r="E323" s="37"/>
      <x:c r="F323" s="37"/>
      <x:c r="G323" s="56"/>
      <x:c r="H323" s="37"/>
      <x:c r="I323" s="37"/>
      <x:c r="J323" s="37"/>
      <x:c r="K323" s="56"/>
      <x:c r="L323" s="37"/>
      <x:c r="M323" s="37"/>
      <x:c r="N323" s="57"/>
      <x:c r="O323" s="57"/>
      <x:c r="P323" s="57"/>
      <x:c r="Q323" s="57"/>
      <x:c r="R323" s="57"/>
      <x:c r="S323" s="37"/>
      <x:c r="T323" s="37"/>
      <x:c r="U323" s="37"/>
      <x:c r="V323" s="37"/>
      <x:c r="W323" s="70"/>
      <x:c r="X323"/>
      <x:c r="Y323"/>
      <x:c r="Z323"/>
      <x:c r="AA323"/>
    </x:row>
    <x:row r="324">
      <x:c r="A324" s="37"/>
      <x:c r="B324" s="37"/>
      <x:c r="C324" s="37"/>
      <x:c r="D324" s="37"/>
      <x:c r="E324" s="37"/>
      <x:c r="F324" s="37"/>
      <x:c r="G324" s="56"/>
      <x:c r="H324" s="37"/>
      <x:c r="I324" s="37"/>
      <x:c r="J324" s="37"/>
      <x:c r="K324" s="56"/>
      <x:c r="L324" s="37"/>
      <x:c r="M324" s="37"/>
      <x:c r="N324" s="57"/>
      <x:c r="O324" s="57"/>
      <x:c r="P324" s="57"/>
      <x:c r="Q324" s="57"/>
      <x:c r="R324" s="57"/>
      <x:c r="S324" s="37"/>
      <x:c r="T324" s="37"/>
      <x:c r="U324" s="37"/>
      <x:c r="V324" s="37"/>
      <x:c r="W324" s="70"/>
      <x:c r="X324"/>
      <x:c r="Y324"/>
      <x:c r="Z324"/>
      <x:c r="AA324"/>
    </x:row>
    <x:row r="325">
      <x:c r="A325" s="37"/>
      <x:c r="B325" s="37"/>
      <x:c r="C325" s="37"/>
      <x:c r="D325" s="37"/>
      <x:c r="E325" s="37"/>
      <x:c r="F325" s="37"/>
      <x:c r="G325" s="56"/>
      <x:c r="H325" s="37"/>
      <x:c r="I325" s="37"/>
      <x:c r="J325" s="37"/>
      <x:c r="K325" s="56"/>
      <x:c r="L325" s="37"/>
      <x:c r="M325" s="37"/>
      <x:c r="N325" s="57"/>
      <x:c r="O325" s="57"/>
      <x:c r="P325" s="57"/>
      <x:c r="Q325" s="57"/>
      <x:c r="R325" s="57"/>
      <x:c r="S325" s="37"/>
      <x:c r="T325" s="37"/>
      <x:c r="U325" s="37"/>
      <x:c r="V325" s="37"/>
      <x:c r="W325" s="70"/>
      <x:c r="X325"/>
      <x:c r="Y325"/>
      <x:c r="Z325"/>
      <x:c r="AA325"/>
    </x:row>
    <x:row r="326">
      <x:c r="A326" s="37"/>
      <x:c r="B326" s="37"/>
      <x:c r="C326" s="37"/>
      <x:c r="D326" s="37"/>
      <x:c r="E326" s="37"/>
      <x:c r="F326" s="37"/>
      <x:c r="G326" s="56"/>
      <x:c r="H326" s="37"/>
      <x:c r="I326" s="37"/>
      <x:c r="J326" s="37"/>
      <x:c r="K326" s="56"/>
      <x:c r="L326" s="37"/>
      <x:c r="M326" s="37"/>
      <x:c r="N326" s="57"/>
      <x:c r="O326" s="57"/>
      <x:c r="P326" s="57"/>
      <x:c r="Q326" s="57"/>
      <x:c r="R326" s="57"/>
      <x:c r="S326" s="37"/>
      <x:c r="T326" s="37"/>
      <x:c r="U326" s="37"/>
      <x:c r="V326" s="37"/>
      <x:c r="W326" s="70"/>
      <x:c r="X326"/>
      <x:c r="Y326"/>
      <x:c r="Z326"/>
      <x:c r="AA326"/>
    </x:row>
    <x:row r="327">
      <x:c r="A327" s="37"/>
      <x:c r="B327" s="37"/>
      <x:c r="C327" s="37"/>
      <x:c r="D327" s="37"/>
      <x:c r="E327" s="37"/>
      <x:c r="F327" s="37"/>
      <x:c r="G327" s="56"/>
      <x:c r="H327" s="37"/>
      <x:c r="I327" s="37"/>
      <x:c r="J327" s="37"/>
      <x:c r="K327" s="56"/>
      <x:c r="L327" s="37"/>
      <x:c r="M327" s="37"/>
      <x:c r="N327" s="57"/>
      <x:c r="O327" s="57"/>
      <x:c r="P327" s="57"/>
      <x:c r="Q327" s="57"/>
      <x:c r="R327" s="57"/>
      <x:c r="S327" s="37"/>
      <x:c r="T327" s="37"/>
      <x:c r="U327" s="37"/>
      <x:c r="V327" s="37"/>
      <x:c r="W327" s="70"/>
      <x:c r="X327"/>
      <x:c r="Y327"/>
      <x:c r="Z327"/>
      <x:c r="AA327"/>
    </x:row>
    <x:row r="328">
      <x:c r="A328" s="37"/>
      <x:c r="B328" s="37"/>
      <x:c r="C328" s="37"/>
      <x:c r="D328" s="37"/>
      <x:c r="E328" s="37"/>
      <x:c r="F328" s="37"/>
      <x:c r="G328" s="56"/>
      <x:c r="H328" s="37"/>
      <x:c r="I328" s="37"/>
      <x:c r="J328" s="37"/>
      <x:c r="K328" s="56"/>
      <x:c r="L328" s="37"/>
      <x:c r="M328" s="37"/>
      <x:c r="N328" s="57"/>
      <x:c r="O328" s="57"/>
      <x:c r="P328" s="57"/>
      <x:c r="Q328" s="57"/>
      <x:c r="R328" s="57"/>
      <x:c r="S328" s="37"/>
      <x:c r="T328" s="37"/>
      <x:c r="U328" s="37"/>
      <x:c r="V328" s="37"/>
      <x:c r="W328" s="70"/>
      <x:c r="X328"/>
      <x:c r="Y328"/>
      <x:c r="Z328"/>
      <x:c r="AA328"/>
    </x:row>
    <x:row r="329">
      <x:c r="A329" s="37"/>
      <x:c r="B329" s="37"/>
      <x:c r="C329" s="37"/>
      <x:c r="D329" s="37"/>
      <x:c r="E329" s="37"/>
      <x:c r="F329" s="37"/>
      <x:c r="G329" s="56"/>
      <x:c r="H329" s="37"/>
      <x:c r="I329" s="37"/>
      <x:c r="J329" s="37"/>
      <x:c r="K329" s="56"/>
      <x:c r="L329" s="37"/>
      <x:c r="M329" s="37"/>
      <x:c r="N329" s="57"/>
      <x:c r="O329" s="57"/>
      <x:c r="P329" s="57"/>
      <x:c r="Q329" s="57"/>
      <x:c r="R329" s="57"/>
      <x:c r="S329" s="37"/>
      <x:c r="T329" s="37"/>
      <x:c r="U329" s="37"/>
      <x:c r="V329" s="37"/>
      <x:c r="W329" s="70"/>
      <x:c r="X329"/>
      <x:c r="Y329"/>
      <x:c r="Z329"/>
      <x:c r="AA329"/>
    </x:row>
    <x:row r="330">
      <x:c r="A330" s="37"/>
      <x:c r="B330" s="37"/>
      <x:c r="C330" s="37"/>
      <x:c r="D330" s="37"/>
      <x:c r="E330" s="37"/>
      <x:c r="F330" s="37"/>
      <x:c r="G330" s="56"/>
      <x:c r="H330" s="37"/>
      <x:c r="I330" s="37"/>
      <x:c r="J330" s="37"/>
      <x:c r="K330" s="56"/>
      <x:c r="L330" s="37"/>
      <x:c r="M330" s="37"/>
      <x:c r="N330" s="57"/>
      <x:c r="O330" s="57"/>
      <x:c r="P330" s="57"/>
      <x:c r="Q330" s="57"/>
      <x:c r="R330" s="57"/>
      <x:c r="S330" s="37"/>
      <x:c r="T330" s="37"/>
      <x:c r="U330" s="37"/>
      <x:c r="V330" s="37"/>
      <x:c r="W330" s="70"/>
      <x:c r="X330"/>
      <x:c r="Y330"/>
      <x:c r="Z330"/>
      <x:c r="AA330"/>
    </x:row>
    <x:row r="331">
      <x:c r="A331" s="37"/>
      <x:c r="B331" s="37"/>
      <x:c r="C331" s="37"/>
      <x:c r="D331" s="37"/>
      <x:c r="E331" s="37"/>
      <x:c r="F331" s="37"/>
      <x:c r="G331" s="56"/>
      <x:c r="H331" s="37"/>
      <x:c r="I331" s="37"/>
      <x:c r="J331" s="37"/>
      <x:c r="K331" s="56"/>
      <x:c r="L331" s="37"/>
      <x:c r="M331" s="37"/>
      <x:c r="N331" s="57"/>
      <x:c r="O331" s="57"/>
      <x:c r="P331" s="57"/>
      <x:c r="Q331" s="57"/>
      <x:c r="R331" s="57"/>
      <x:c r="S331" s="37"/>
      <x:c r="T331" s="37"/>
      <x:c r="U331" s="37"/>
      <x:c r="V331" s="37"/>
      <x:c r="W331" s="70"/>
      <x:c r="X331"/>
      <x:c r="Y331"/>
      <x:c r="Z331"/>
      <x:c r="AA331"/>
    </x:row>
    <x:row r="332">
      <x:c r="A332" s="37"/>
      <x:c r="B332" s="37"/>
      <x:c r="C332" s="37"/>
      <x:c r="D332" s="37"/>
      <x:c r="E332" s="37"/>
      <x:c r="F332" s="37"/>
      <x:c r="G332" s="56"/>
      <x:c r="H332" s="37"/>
      <x:c r="I332" s="37"/>
      <x:c r="J332" s="37"/>
      <x:c r="K332" s="56"/>
      <x:c r="L332" s="37"/>
      <x:c r="M332" s="37"/>
      <x:c r="N332" s="57"/>
      <x:c r="O332" s="57"/>
      <x:c r="P332" s="57"/>
      <x:c r="Q332" s="57"/>
      <x:c r="R332" s="57"/>
      <x:c r="S332" s="37"/>
      <x:c r="T332" s="37"/>
      <x:c r="U332" s="37"/>
      <x:c r="V332" s="37"/>
      <x:c r="W332" s="70"/>
      <x:c r="X332"/>
      <x:c r="Y332"/>
      <x:c r="Z332"/>
      <x:c r="AA332"/>
    </x:row>
    <x:row r="333">
      <x:c r="A333" s="37"/>
      <x:c r="B333" s="37"/>
      <x:c r="C333" s="37"/>
      <x:c r="D333" s="37"/>
      <x:c r="E333" s="37"/>
      <x:c r="F333" s="37"/>
      <x:c r="G333" s="56"/>
      <x:c r="H333" s="37"/>
      <x:c r="I333" s="37"/>
      <x:c r="J333" s="37"/>
      <x:c r="K333" s="56"/>
      <x:c r="L333" s="37"/>
      <x:c r="M333" s="37"/>
      <x:c r="N333" s="57"/>
      <x:c r="O333" s="57"/>
      <x:c r="P333" s="57"/>
      <x:c r="Q333" s="57"/>
      <x:c r="R333" s="57"/>
      <x:c r="S333" s="37"/>
      <x:c r="T333" s="37"/>
      <x:c r="U333" s="37"/>
      <x:c r="V333" s="37"/>
      <x:c r="W333" s="70"/>
      <x:c r="X333"/>
      <x:c r="Y333"/>
      <x:c r="Z333"/>
      <x:c r="AA333"/>
    </x:row>
    <x:row r="334">
      <x:c r="A334" s="37"/>
      <x:c r="B334" s="37"/>
      <x:c r="C334" s="37"/>
      <x:c r="D334" s="37"/>
      <x:c r="E334" s="37"/>
      <x:c r="F334" s="37"/>
      <x:c r="G334" s="56"/>
      <x:c r="H334" s="37"/>
      <x:c r="I334" s="37"/>
      <x:c r="J334" s="37"/>
      <x:c r="K334" s="56"/>
      <x:c r="L334" s="37"/>
      <x:c r="M334" s="37"/>
      <x:c r="N334" s="57"/>
      <x:c r="O334" s="57"/>
      <x:c r="P334" s="57"/>
      <x:c r="Q334" s="57"/>
      <x:c r="R334" s="57"/>
      <x:c r="S334" s="37"/>
      <x:c r="T334" s="37"/>
      <x:c r="U334" s="37"/>
      <x:c r="V334" s="37"/>
      <x:c r="W334" s="70"/>
      <x:c r="X334"/>
      <x:c r="Y334"/>
      <x:c r="Z334"/>
      <x:c r="AA334"/>
    </x:row>
    <x:row r="335">
      <x:c r="A335" s="37"/>
      <x:c r="B335" s="37"/>
      <x:c r="C335" s="37"/>
      <x:c r="D335" s="37"/>
      <x:c r="E335" s="37"/>
      <x:c r="F335" s="37"/>
      <x:c r="G335" s="56"/>
      <x:c r="H335" s="37"/>
      <x:c r="I335" s="37"/>
      <x:c r="J335" s="37"/>
      <x:c r="K335" s="56"/>
      <x:c r="L335" s="37"/>
      <x:c r="M335" s="37"/>
      <x:c r="N335" s="57"/>
      <x:c r="O335" s="57"/>
      <x:c r="P335" s="57"/>
      <x:c r="Q335" s="57"/>
      <x:c r="R335" s="57"/>
      <x:c r="S335" s="37"/>
      <x:c r="T335" s="37"/>
      <x:c r="U335" s="37"/>
      <x:c r="V335" s="37"/>
      <x:c r="W335" s="70"/>
      <x:c r="X335"/>
      <x:c r="Y335"/>
      <x:c r="Z335"/>
      <x:c r="AA335"/>
    </x:row>
    <x:row r="336">
      <x:c r="A336" s="37"/>
      <x:c r="B336" s="37"/>
      <x:c r="C336" s="37"/>
      <x:c r="D336" s="37"/>
      <x:c r="E336" s="37"/>
      <x:c r="F336" s="37"/>
      <x:c r="G336" s="56"/>
      <x:c r="H336" s="37"/>
      <x:c r="I336" s="37"/>
      <x:c r="J336" s="37"/>
      <x:c r="K336" s="56"/>
      <x:c r="L336" s="37"/>
      <x:c r="M336" s="37"/>
      <x:c r="N336" s="57"/>
      <x:c r="O336" s="57"/>
      <x:c r="P336" s="57"/>
      <x:c r="Q336" s="57"/>
      <x:c r="R336" s="57"/>
      <x:c r="S336" s="37"/>
      <x:c r="T336" s="37"/>
      <x:c r="U336" s="37"/>
      <x:c r="V336" s="37"/>
      <x:c r="W336" s="70"/>
      <x:c r="X336"/>
      <x:c r="Y336"/>
      <x:c r="Z336"/>
      <x:c r="AA336"/>
    </x:row>
    <x:row r="337">
      <x:c r="A337" s="37"/>
      <x:c r="B337" s="37"/>
      <x:c r="C337" s="37"/>
      <x:c r="D337" s="37"/>
      <x:c r="E337" s="37"/>
      <x:c r="F337" s="37"/>
      <x:c r="G337" s="56"/>
      <x:c r="H337" s="37"/>
      <x:c r="I337" s="37"/>
      <x:c r="J337" s="37"/>
      <x:c r="K337" s="56"/>
      <x:c r="L337" s="37"/>
      <x:c r="M337" s="37"/>
      <x:c r="N337" s="57"/>
      <x:c r="O337" s="57"/>
      <x:c r="P337" s="57"/>
      <x:c r="Q337" s="57"/>
      <x:c r="R337" s="57"/>
      <x:c r="S337" s="37"/>
      <x:c r="T337" s="37"/>
      <x:c r="U337" s="37"/>
      <x:c r="V337" s="37"/>
      <x:c r="W337" s="70"/>
      <x:c r="X337"/>
      <x:c r="Y337"/>
      <x:c r="Z337"/>
      <x:c r="AA337"/>
    </x:row>
    <x:row r="338">
      <x:c r="A338" s="37"/>
      <x:c r="B338" s="37"/>
      <x:c r="C338" s="37"/>
      <x:c r="D338" s="37"/>
      <x:c r="E338" s="37"/>
      <x:c r="F338" s="37"/>
      <x:c r="G338" s="56"/>
      <x:c r="H338" s="37"/>
      <x:c r="I338" s="37"/>
      <x:c r="J338" s="37"/>
      <x:c r="K338" s="56"/>
      <x:c r="L338" s="37"/>
      <x:c r="M338" s="37"/>
      <x:c r="N338" s="57"/>
      <x:c r="O338" s="57"/>
      <x:c r="P338" s="57"/>
      <x:c r="Q338" s="57"/>
      <x:c r="R338" s="57"/>
      <x:c r="S338" s="37"/>
      <x:c r="T338" s="37"/>
      <x:c r="U338" s="37"/>
      <x:c r="V338" s="37"/>
      <x:c r="W338" s="70"/>
      <x:c r="X338"/>
      <x:c r="Y338"/>
      <x:c r="Z338"/>
      <x:c r="AA338"/>
    </x:row>
    <x:row r="339">
      <x:c r="A339" s="37"/>
      <x:c r="B339" s="37"/>
      <x:c r="C339" s="37"/>
      <x:c r="D339" s="37"/>
      <x:c r="E339" s="37"/>
      <x:c r="F339" s="37"/>
      <x:c r="G339" s="56"/>
      <x:c r="H339" s="37"/>
      <x:c r="I339" s="37"/>
      <x:c r="J339" s="37"/>
      <x:c r="K339" s="56"/>
      <x:c r="L339" s="37"/>
      <x:c r="M339" s="37"/>
      <x:c r="N339" s="57"/>
      <x:c r="O339" s="57"/>
      <x:c r="P339" s="57"/>
      <x:c r="Q339" s="57"/>
      <x:c r="R339" s="57"/>
      <x:c r="S339" s="37"/>
      <x:c r="T339" s="37"/>
      <x:c r="U339" s="37"/>
      <x:c r="V339" s="37"/>
      <x:c r="W339" s="70"/>
      <x:c r="X339"/>
      <x:c r="Y339"/>
      <x:c r="Z339"/>
      <x:c r="AA339"/>
    </x:row>
    <x:row r="340">
      <x:c r="A340" s="37"/>
      <x:c r="B340" s="37"/>
      <x:c r="C340" s="37"/>
      <x:c r="D340" s="37"/>
      <x:c r="E340" s="37"/>
      <x:c r="F340" s="37"/>
      <x:c r="G340" s="56"/>
      <x:c r="H340" s="37"/>
      <x:c r="I340" s="37"/>
      <x:c r="J340" s="37"/>
      <x:c r="K340" s="56"/>
      <x:c r="L340" s="37"/>
      <x:c r="M340" s="37"/>
      <x:c r="N340" s="57"/>
      <x:c r="O340" s="57"/>
      <x:c r="P340" s="57"/>
      <x:c r="Q340" s="57"/>
      <x:c r="R340" s="57"/>
      <x:c r="S340" s="37"/>
      <x:c r="T340" s="37"/>
      <x:c r="U340" s="37"/>
      <x:c r="V340" s="37"/>
      <x:c r="W340" s="70"/>
      <x:c r="X340"/>
      <x:c r="Y340"/>
      <x:c r="Z340"/>
      <x:c r="AA340"/>
    </x:row>
    <x:row r="341">
      <x:c r="A341" s="37"/>
      <x:c r="B341" s="37"/>
      <x:c r="C341" s="37"/>
      <x:c r="D341" s="37"/>
      <x:c r="E341" s="37"/>
      <x:c r="F341" s="37"/>
      <x:c r="G341" s="56"/>
      <x:c r="H341" s="37"/>
      <x:c r="I341" s="37"/>
      <x:c r="J341" s="37"/>
      <x:c r="K341" s="56"/>
      <x:c r="L341" s="37"/>
      <x:c r="M341" s="37"/>
      <x:c r="N341" s="57"/>
      <x:c r="O341" s="57"/>
      <x:c r="P341" s="57"/>
      <x:c r="Q341" s="57"/>
      <x:c r="R341" s="57"/>
      <x:c r="S341" s="37"/>
      <x:c r="T341" s="37"/>
      <x:c r="U341" s="37"/>
      <x:c r="V341" s="37"/>
      <x:c r="W341" s="70"/>
      <x:c r="X341"/>
      <x:c r="Y341"/>
      <x:c r="Z341"/>
      <x:c r="AA341"/>
    </x:row>
    <x:row r="342">
      <x:c r="A342" s="37"/>
      <x:c r="B342" s="37"/>
      <x:c r="C342" s="37"/>
      <x:c r="D342" s="37"/>
      <x:c r="E342" s="37"/>
      <x:c r="F342" s="37"/>
      <x:c r="G342" s="56"/>
      <x:c r="H342" s="37"/>
      <x:c r="I342" s="37"/>
      <x:c r="J342" s="37"/>
      <x:c r="K342" s="56"/>
      <x:c r="L342" s="37"/>
      <x:c r="M342" s="37"/>
      <x:c r="N342" s="57"/>
      <x:c r="O342" s="57"/>
      <x:c r="P342" s="57"/>
      <x:c r="Q342" s="57"/>
      <x:c r="R342" s="57"/>
      <x:c r="S342" s="37"/>
      <x:c r="T342" s="37"/>
      <x:c r="U342" s="37"/>
      <x:c r="V342" s="37"/>
      <x:c r="W342" s="70"/>
      <x:c r="X342"/>
      <x:c r="Y342"/>
      <x:c r="Z342"/>
      <x:c r="AA342"/>
    </x:row>
    <x:row r="343">
      <x:c r="A343" s="37"/>
      <x:c r="B343" s="37"/>
      <x:c r="C343" s="37"/>
      <x:c r="D343" s="37"/>
      <x:c r="E343" s="37"/>
      <x:c r="F343" s="37"/>
      <x:c r="G343" s="56"/>
      <x:c r="H343" s="37"/>
      <x:c r="I343" s="37"/>
      <x:c r="J343" s="37"/>
      <x:c r="K343" s="56"/>
      <x:c r="L343" s="37"/>
      <x:c r="M343" s="37"/>
      <x:c r="N343" s="57"/>
      <x:c r="O343" s="57"/>
      <x:c r="P343" s="57"/>
      <x:c r="Q343" s="57"/>
      <x:c r="R343" s="57"/>
      <x:c r="S343" s="37"/>
      <x:c r="T343" s="37"/>
      <x:c r="U343" s="37"/>
      <x:c r="V343" s="37"/>
      <x:c r="W343" s="70"/>
      <x:c r="X343"/>
      <x:c r="Y343"/>
      <x:c r="Z343"/>
      <x:c r="AA343"/>
    </x:row>
    <x:row r="344">
      <x:c r="A344" s="37"/>
      <x:c r="B344" s="37"/>
      <x:c r="C344" s="37"/>
      <x:c r="D344" s="37"/>
      <x:c r="E344" s="37"/>
      <x:c r="F344" s="37"/>
      <x:c r="G344" s="56"/>
      <x:c r="H344" s="37"/>
      <x:c r="I344" s="37"/>
      <x:c r="J344" s="37"/>
      <x:c r="K344" s="56"/>
      <x:c r="L344" s="37"/>
      <x:c r="M344" s="37"/>
      <x:c r="N344" s="57"/>
      <x:c r="O344" s="57"/>
      <x:c r="P344" s="57"/>
      <x:c r="Q344" s="57"/>
      <x:c r="R344" s="57"/>
      <x:c r="S344" s="37"/>
      <x:c r="T344" s="37"/>
      <x:c r="U344" s="37"/>
      <x:c r="V344" s="37"/>
      <x:c r="W344" s="70"/>
      <x:c r="X344"/>
      <x:c r="Y344"/>
      <x:c r="Z344"/>
      <x:c r="AA344"/>
    </x:row>
    <x:row r="345">
      <x:c r="A345" s="37"/>
      <x:c r="B345" s="37"/>
      <x:c r="C345" s="37"/>
      <x:c r="D345" s="37"/>
      <x:c r="E345" s="37"/>
      <x:c r="F345" s="37"/>
      <x:c r="G345" s="56"/>
      <x:c r="H345" s="37"/>
      <x:c r="I345" s="37"/>
      <x:c r="J345" s="37"/>
      <x:c r="K345" s="56"/>
      <x:c r="L345" s="37"/>
      <x:c r="M345" s="37"/>
      <x:c r="N345" s="57"/>
      <x:c r="O345" s="57"/>
      <x:c r="P345" s="57"/>
      <x:c r="Q345" s="57"/>
      <x:c r="R345" s="57"/>
      <x:c r="S345" s="37"/>
      <x:c r="T345" s="37"/>
      <x:c r="U345" s="37"/>
      <x:c r="V345" s="37"/>
      <x:c r="W345" s="70"/>
      <x:c r="X345"/>
      <x:c r="Y345"/>
      <x:c r="Z345"/>
      <x:c r="AA345"/>
    </x:row>
    <x:row r="346">
      <x:c r="A346" s="37"/>
      <x:c r="B346" s="37"/>
      <x:c r="C346" s="37"/>
      <x:c r="D346" s="37"/>
      <x:c r="E346" s="37"/>
      <x:c r="F346" s="37"/>
      <x:c r="G346" s="56"/>
      <x:c r="H346" s="37"/>
      <x:c r="I346" s="37"/>
      <x:c r="J346" s="37"/>
      <x:c r="K346" s="56"/>
      <x:c r="L346" s="37"/>
      <x:c r="M346" s="37"/>
      <x:c r="N346" s="57"/>
      <x:c r="O346" s="57"/>
      <x:c r="P346" s="57"/>
      <x:c r="Q346" s="57"/>
      <x:c r="R346" s="57"/>
      <x:c r="S346" s="37"/>
      <x:c r="T346" s="37"/>
      <x:c r="U346" s="37"/>
      <x:c r="V346" s="37"/>
      <x:c r="W346" s="70"/>
      <x:c r="X346"/>
      <x:c r="Y346"/>
      <x:c r="Z346"/>
      <x:c r="AA346"/>
    </x:row>
    <x:row r="347">
      <x:c r="A347" s="37"/>
      <x:c r="B347" s="37"/>
      <x:c r="C347" s="37"/>
      <x:c r="D347" s="37"/>
      <x:c r="E347" s="37"/>
      <x:c r="F347" s="37"/>
      <x:c r="G347" s="56"/>
      <x:c r="H347" s="37"/>
      <x:c r="I347" s="37"/>
      <x:c r="J347" s="37"/>
      <x:c r="K347" s="56"/>
      <x:c r="L347" s="37"/>
      <x:c r="M347" s="37"/>
      <x:c r="N347" s="57"/>
      <x:c r="O347" s="57"/>
      <x:c r="P347" s="57"/>
      <x:c r="Q347" s="57"/>
      <x:c r="R347" s="57"/>
      <x:c r="S347" s="37"/>
      <x:c r="T347" s="37"/>
      <x:c r="U347" s="37"/>
      <x:c r="V347" s="37"/>
      <x:c r="W347" s="70"/>
      <x:c r="X347"/>
      <x:c r="Y347"/>
      <x:c r="Z347"/>
      <x:c r="AA347"/>
    </x:row>
    <x:row r="348">
      <x:c r="A348" s="37"/>
      <x:c r="B348" s="37"/>
      <x:c r="C348" s="37"/>
      <x:c r="D348" s="37"/>
      <x:c r="E348" s="37"/>
      <x:c r="F348" s="37"/>
      <x:c r="G348" s="56"/>
      <x:c r="H348" s="37"/>
      <x:c r="I348" s="37"/>
      <x:c r="J348" s="37"/>
      <x:c r="K348" s="56"/>
      <x:c r="L348" s="37"/>
      <x:c r="M348" s="37"/>
      <x:c r="N348" s="57"/>
      <x:c r="O348" s="57"/>
      <x:c r="P348" s="57"/>
      <x:c r="Q348" s="57"/>
      <x:c r="R348" s="57"/>
      <x:c r="S348" s="37"/>
      <x:c r="T348" s="37"/>
      <x:c r="U348" s="37"/>
      <x:c r="V348" s="37"/>
      <x:c r="W348" s="70"/>
      <x:c r="X348"/>
      <x:c r="Y348"/>
      <x:c r="Z348"/>
      <x:c r="AA348"/>
    </x:row>
    <x:row r="349">
      <x:c r="A349" s="37"/>
      <x:c r="B349" s="37"/>
      <x:c r="C349" s="37"/>
      <x:c r="D349" s="37"/>
      <x:c r="E349" s="37"/>
      <x:c r="F349" s="37"/>
      <x:c r="G349" s="56"/>
      <x:c r="H349" s="37"/>
      <x:c r="I349" s="37"/>
      <x:c r="J349" s="37"/>
      <x:c r="K349" s="56"/>
      <x:c r="L349" s="37"/>
      <x:c r="M349" s="37"/>
      <x:c r="N349" s="57"/>
      <x:c r="O349" s="57"/>
      <x:c r="P349" s="57"/>
      <x:c r="Q349" s="57"/>
      <x:c r="R349" s="57"/>
      <x:c r="S349" s="37"/>
      <x:c r="T349" s="37"/>
      <x:c r="U349" s="37"/>
      <x:c r="V349" s="37"/>
      <x:c r="W349" s="70"/>
      <x:c r="X349"/>
      <x:c r="Y349"/>
      <x:c r="Z349"/>
      <x:c r="AA349"/>
    </x:row>
    <x:row r="350">
      <x:c r="A350" s="37"/>
      <x:c r="B350" s="37"/>
      <x:c r="C350" s="37"/>
      <x:c r="D350" s="37"/>
      <x:c r="E350" s="37"/>
      <x:c r="F350" s="37"/>
      <x:c r="G350" s="56"/>
      <x:c r="H350" s="37"/>
      <x:c r="I350" s="37"/>
      <x:c r="J350" s="37"/>
      <x:c r="K350" s="56"/>
      <x:c r="L350" s="37"/>
      <x:c r="M350" s="37"/>
      <x:c r="N350" s="57"/>
      <x:c r="O350" s="57"/>
      <x:c r="P350" s="57"/>
      <x:c r="Q350" s="57"/>
      <x:c r="R350" s="57"/>
      <x:c r="S350" s="37"/>
      <x:c r="T350" s="37"/>
      <x:c r="U350" s="37"/>
      <x:c r="V350" s="37"/>
      <x:c r="W350" s="70"/>
      <x:c r="X350"/>
      <x:c r="Y350"/>
      <x:c r="Z350"/>
      <x:c r="AA350"/>
    </x:row>
    <x:row r="351">
      <x:c r="A351" s="37"/>
      <x:c r="B351" s="37"/>
      <x:c r="C351" s="37"/>
      <x:c r="D351" s="37"/>
      <x:c r="E351" s="37"/>
      <x:c r="F351" s="37"/>
      <x:c r="G351" s="56"/>
      <x:c r="H351" s="37"/>
      <x:c r="I351" s="37"/>
      <x:c r="J351" s="37"/>
      <x:c r="K351" s="56"/>
      <x:c r="L351" s="37"/>
      <x:c r="M351" s="37"/>
      <x:c r="N351" s="57"/>
      <x:c r="O351" s="57"/>
      <x:c r="P351" s="57"/>
      <x:c r="Q351" s="57"/>
      <x:c r="R351" s="57"/>
      <x:c r="S351" s="37"/>
      <x:c r="T351" s="37"/>
      <x:c r="U351" s="37"/>
      <x:c r="V351" s="37"/>
      <x:c r="W351" s="70"/>
      <x:c r="X351"/>
      <x:c r="Y351"/>
      <x:c r="Z351"/>
      <x:c r="AA351"/>
    </x:row>
    <x:row r="352">
      <x:c r="A352" s="37"/>
      <x:c r="B352" s="37"/>
      <x:c r="C352" s="37"/>
      <x:c r="D352" s="37"/>
      <x:c r="E352" s="37"/>
      <x:c r="F352" s="37"/>
      <x:c r="G352" s="56"/>
      <x:c r="H352" s="37"/>
      <x:c r="I352" s="37"/>
      <x:c r="J352" s="37"/>
      <x:c r="K352" s="56"/>
      <x:c r="L352" s="37"/>
      <x:c r="M352" s="37"/>
      <x:c r="N352" s="57"/>
      <x:c r="O352" s="57"/>
      <x:c r="P352" s="57"/>
      <x:c r="Q352" s="57"/>
      <x:c r="R352" s="57"/>
      <x:c r="S352" s="37"/>
      <x:c r="T352" s="37"/>
      <x:c r="U352" s="37"/>
      <x:c r="V352" s="37"/>
      <x:c r="W352" s="70"/>
      <x:c r="X352"/>
      <x:c r="Y352"/>
      <x:c r="Z352"/>
      <x:c r="AA352"/>
    </x:row>
    <x:row r="353">
      <x:c r="A353" s="37"/>
      <x:c r="B353" s="37"/>
      <x:c r="C353" s="37"/>
      <x:c r="D353" s="37"/>
      <x:c r="E353" s="37"/>
      <x:c r="F353" s="37"/>
      <x:c r="G353" s="56"/>
      <x:c r="H353" s="37"/>
      <x:c r="I353" s="37"/>
      <x:c r="J353" s="37"/>
      <x:c r="K353" s="56"/>
      <x:c r="L353" s="37"/>
      <x:c r="M353" s="37"/>
      <x:c r="N353" s="57"/>
      <x:c r="O353" s="57"/>
      <x:c r="P353" s="57"/>
      <x:c r="Q353" s="57"/>
      <x:c r="R353" s="57"/>
      <x:c r="S353" s="37"/>
      <x:c r="T353" s="37"/>
      <x:c r="U353" s="37"/>
      <x:c r="V353" s="37"/>
      <x:c r="W353" s="70"/>
      <x:c r="X353"/>
      <x:c r="Y353"/>
      <x:c r="Z353"/>
      <x:c r="AA353"/>
    </x:row>
    <x:row r="354">
      <x:c r="A354" s="37"/>
      <x:c r="B354" s="37"/>
      <x:c r="C354" s="37"/>
      <x:c r="D354" s="37"/>
      <x:c r="E354" s="37"/>
      <x:c r="F354" s="37"/>
      <x:c r="G354" s="56"/>
      <x:c r="H354" s="37"/>
      <x:c r="I354" s="37"/>
      <x:c r="J354" s="37"/>
      <x:c r="K354" s="56"/>
      <x:c r="L354" s="37"/>
      <x:c r="M354" s="37"/>
      <x:c r="N354" s="57"/>
      <x:c r="O354" s="57"/>
      <x:c r="P354" s="57"/>
      <x:c r="Q354" s="57"/>
      <x:c r="R354" s="57"/>
      <x:c r="S354" s="37"/>
      <x:c r="T354" s="37"/>
      <x:c r="U354" s="37"/>
      <x:c r="V354" s="37"/>
      <x:c r="W354" s="70"/>
      <x:c r="X354"/>
      <x:c r="Y354"/>
      <x:c r="Z354"/>
      <x:c r="AA354"/>
    </x:row>
    <x:row r="355">
      <x:c r="A355" s="37"/>
      <x:c r="B355" s="37"/>
      <x:c r="C355" s="37"/>
      <x:c r="D355" s="37"/>
      <x:c r="E355" s="37"/>
      <x:c r="F355" s="37"/>
      <x:c r="G355" s="56"/>
      <x:c r="H355" s="37"/>
      <x:c r="I355" s="37"/>
      <x:c r="J355" s="37"/>
      <x:c r="K355" s="56"/>
      <x:c r="L355" s="37"/>
      <x:c r="M355" s="37"/>
      <x:c r="N355" s="57"/>
      <x:c r="O355" s="57"/>
      <x:c r="P355" s="57"/>
      <x:c r="Q355" s="57"/>
      <x:c r="R355" s="57"/>
      <x:c r="S355" s="37"/>
      <x:c r="T355" s="37"/>
      <x:c r="U355" s="37"/>
      <x:c r="V355" s="37"/>
      <x:c r="W355" s="70"/>
      <x:c r="X355"/>
      <x:c r="Y355"/>
      <x:c r="Z355"/>
      <x:c r="AA355"/>
    </x:row>
    <x:row r="356">
      <x:c r="A356" s="37"/>
      <x:c r="B356" s="37"/>
      <x:c r="C356" s="37"/>
      <x:c r="D356" s="37"/>
      <x:c r="E356" s="37"/>
      <x:c r="F356" s="37"/>
      <x:c r="G356" s="56"/>
      <x:c r="H356" s="37"/>
      <x:c r="I356" s="37"/>
      <x:c r="J356" s="37"/>
      <x:c r="K356" s="56"/>
      <x:c r="L356" s="37"/>
      <x:c r="M356" s="37"/>
      <x:c r="N356" s="57"/>
      <x:c r="O356" s="57"/>
      <x:c r="P356" s="57"/>
      <x:c r="Q356" s="57"/>
      <x:c r="R356" s="57"/>
      <x:c r="S356" s="37"/>
      <x:c r="T356" s="37"/>
      <x:c r="U356" s="37"/>
      <x:c r="V356" s="37"/>
      <x:c r="W356" s="70"/>
      <x:c r="X356"/>
      <x:c r="Y356"/>
      <x:c r="Z356"/>
      <x:c r="AA356"/>
    </x:row>
    <x:row r="357">
      <x:c r="A357" s="37"/>
      <x:c r="B357" s="37"/>
      <x:c r="C357" s="37"/>
      <x:c r="D357" s="37"/>
      <x:c r="E357" s="37"/>
      <x:c r="F357" s="37"/>
      <x:c r="G357" s="56"/>
      <x:c r="H357" s="37"/>
      <x:c r="I357" s="37"/>
      <x:c r="J357" s="37"/>
      <x:c r="K357" s="56"/>
      <x:c r="L357" s="37"/>
      <x:c r="M357" s="37"/>
      <x:c r="N357" s="57"/>
      <x:c r="O357" s="57"/>
      <x:c r="P357" s="57"/>
      <x:c r="Q357" s="57"/>
      <x:c r="R357" s="57"/>
      <x:c r="S357" s="37"/>
      <x:c r="T357" s="37"/>
      <x:c r="U357" s="37"/>
      <x:c r="V357" s="37"/>
      <x:c r="W357" s="70"/>
      <x:c r="X357"/>
      <x:c r="Y357"/>
      <x:c r="Z357"/>
      <x:c r="AA357"/>
    </x:row>
    <x:row r="358">
      <x:c r="A358" s="37"/>
      <x:c r="B358" s="37"/>
      <x:c r="C358" s="37"/>
      <x:c r="D358" s="37"/>
      <x:c r="E358" s="37"/>
      <x:c r="F358" s="37"/>
      <x:c r="G358" s="56"/>
      <x:c r="H358" s="37"/>
      <x:c r="I358" s="37"/>
      <x:c r="J358" s="37"/>
      <x:c r="K358" s="56"/>
      <x:c r="L358" s="37"/>
      <x:c r="M358" s="37"/>
      <x:c r="N358" s="57"/>
      <x:c r="O358" s="57"/>
      <x:c r="P358" s="57"/>
      <x:c r="Q358" s="57"/>
      <x:c r="R358" s="57"/>
      <x:c r="S358" s="37"/>
      <x:c r="T358" s="37"/>
      <x:c r="U358" s="37"/>
      <x:c r="V358" s="37"/>
      <x:c r="W358" s="70"/>
      <x:c r="X358"/>
      <x:c r="Y358"/>
      <x:c r="Z358"/>
      <x:c r="AA358"/>
    </x:row>
    <x:row r="359">
      <x:c r="A359" s="37"/>
      <x:c r="B359" s="37"/>
      <x:c r="C359" s="37"/>
      <x:c r="D359" s="37"/>
      <x:c r="E359" s="37"/>
      <x:c r="F359" s="37"/>
      <x:c r="G359" s="56"/>
      <x:c r="H359" s="37"/>
      <x:c r="I359" s="37"/>
      <x:c r="J359" s="37"/>
      <x:c r="K359" s="56"/>
      <x:c r="L359" s="37"/>
      <x:c r="M359" s="37"/>
      <x:c r="N359" s="57"/>
      <x:c r="O359" s="57"/>
      <x:c r="P359" s="57"/>
      <x:c r="Q359" s="57"/>
      <x:c r="R359" s="57"/>
      <x:c r="S359" s="37"/>
      <x:c r="T359" s="37"/>
      <x:c r="U359" s="37"/>
      <x:c r="V359" s="37"/>
      <x:c r="W359" s="70"/>
      <x:c r="X359"/>
      <x:c r="Y359"/>
      <x:c r="Z359"/>
      <x:c r="AA359"/>
    </x:row>
    <x:row r="360">
      <x:c r="A360" s="37"/>
      <x:c r="B360" s="37"/>
      <x:c r="C360" s="37"/>
      <x:c r="D360" s="37"/>
      <x:c r="E360" s="37"/>
      <x:c r="F360" s="37"/>
      <x:c r="G360" s="56"/>
      <x:c r="H360" s="37"/>
      <x:c r="I360" s="37"/>
      <x:c r="J360" s="37"/>
      <x:c r="K360" s="56"/>
      <x:c r="L360" s="37"/>
      <x:c r="M360" s="37"/>
      <x:c r="N360" s="57"/>
      <x:c r="O360" s="57"/>
      <x:c r="P360" s="57"/>
      <x:c r="Q360" s="57"/>
      <x:c r="R360" s="57"/>
      <x:c r="S360" s="37"/>
      <x:c r="T360" s="37"/>
      <x:c r="U360" s="37"/>
      <x:c r="V360" s="37"/>
      <x:c r="W360" s="70"/>
      <x:c r="X360"/>
      <x:c r="Y360"/>
      <x:c r="Z360"/>
      <x:c r="AA360"/>
    </x:row>
    <x:row r="361">
      <x:c r="A361" s="37"/>
      <x:c r="B361" s="37"/>
      <x:c r="C361" s="37"/>
      <x:c r="D361" s="37"/>
      <x:c r="E361" s="37"/>
      <x:c r="F361" s="37"/>
      <x:c r="G361" s="56"/>
      <x:c r="H361" s="37"/>
      <x:c r="I361" s="37"/>
      <x:c r="J361" s="37"/>
      <x:c r="K361" s="56"/>
      <x:c r="L361" s="37"/>
      <x:c r="M361" s="37"/>
      <x:c r="N361" s="57"/>
      <x:c r="O361" s="57"/>
      <x:c r="P361" s="57"/>
      <x:c r="Q361" s="57"/>
      <x:c r="R361" s="57"/>
      <x:c r="S361" s="37"/>
      <x:c r="T361" s="37"/>
      <x:c r="U361" s="37"/>
      <x:c r="V361" s="37"/>
      <x:c r="W361" s="70"/>
      <x:c r="X361"/>
      <x:c r="Y361"/>
      <x:c r="Z361"/>
      <x:c r="AA361"/>
    </x:row>
    <x:row r="362">
      <x:c r="A362" s="37"/>
      <x:c r="B362" s="37"/>
      <x:c r="C362" s="37"/>
      <x:c r="D362" s="37"/>
      <x:c r="E362" s="37"/>
      <x:c r="F362" s="37"/>
      <x:c r="G362" s="56"/>
      <x:c r="H362" s="37"/>
      <x:c r="I362" s="37"/>
      <x:c r="J362" s="37"/>
      <x:c r="K362" s="56"/>
      <x:c r="L362" s="37"/>
      <x:c r="M362" s="37"/>
      <x:c r="N362" s="57"/>
      <x:c r="O362" s="57"/>
      <x:c r="P362" s="57"/>
      <x:c r="Q362" s="57"/>
      <x:c r="R362" s="57"/>
      <x:c r="S362" s="37"/>
      <x:c r="T362" s="37"/>
      <x:c r="U362" s="37"/>
      <x:c r="V362" s="37"/>
      <x:c r="W362" s="70"/>
      <x:c r="X362"/>
      <x:c r="Y362"/>
      <x:c r="Z362"/>
      <x:c r="AA362"/>
    </x:row>
    <x:row r="363">
      <x:c r="A363" s="37"/>
      <x:c r="B363" s="37"/>
      <x:c r="C363" s="37"/>
      <x:c r="D363" s="37"/>
      <x:c r="E363" s="37"/>
      <x:c r="F363" s="37"/>
      <x:c r="G363" s="56"/>
      <x:c r="H363" s="37"/>
      <x:c r="I363" s="37"/>
      <x:c r="J363" s="37"/>
      <x:c r="K363" s="56"/>
      <x:c r="L363" s="37"/>
      <x:c r="M363" s="37"/>
      <x:c r="N363" s="57"/>
      <x:c r="O363" s="57"/>
      <x:c r="P363" s="57"/>
      <x:c r="Q363" s="57"/>
      <x:c r="R363" s="57"/>
      <x:c r="S363" s="37"/>
      <x:c r="T363" s="37"/>
      <x:c r="U363" s="37"/>
      <x:c r="V363" s="37"/>
      <x:c r="W363" s="70"/>
      <x:c r="X363"/>
      <x:c r="Y363"/>
      <x:c r="Z363"/>
      <x:c r="AA363"/>
    </x:row>
    <x:row r="364">
      <x:c r="A364" s="37"/>
      <x:c r="B364" s="37"/>
      <x:c r="C364" s="37"/>
      <x:c r="D364" s="37"/>
      <x:c r="E364" s="37"/>
      <x:c r="F364" s="37"/>
      <x:c r="G364" s="56"/>
      <x:c r="H364" s="37"/>
      <x:c r="I364" s="37"/>
      <x:c r="J364" s="37"/>
      <x:c r="K364" s="56"/>
      <x:c r="L364" s="37"/>
      <x:c r="M364" s="37"/>
      <x:c r="N364" s="57"/>
      <x:c r="O364" s="57"/>
      <x:c r="P364" s="57"/>
      <x:c r="Q364" s="57"/>
      <x:c r="R364" s="57"/>
      <x:c r="S364" s="37"/>
      <x:c r="T364" s="37"/>
      <x:c r="U364" s="37"/>
      <x:c r="V364" s="37"/>
      <x:c r="W364" s="70"/>
      <x:c r="X364"/>
      <x:c r="Y364"/>
      <x:c r="Z364"/>
      <x:c r="AA364"/>
    </x:row>
    <x:row r="365">
      <x:c r="A365" s="37"/>
      <x:c r="B365" s="37"/>
      <x:c r="C365" s="37"/>
      <x:c r="D365" s="37"/>
      <x:c r="E365" s="37"/>
      <x:c r="F365" s="37"/>
      <x:c r="G365" s="56"/>
      <x:c r="H365" s="37"/>
      <x:c r="I365" s="37"/>
      <x:c r="J365" s="37"/>
      <x:c r="K365" s="56"/>
      <x:c r="L365" s="37"/>
      <x:c r="M365" s="37"/>
      <x:c r="N365" s="57"/>
      <x:c r="O365" s="57"/>
      <x:c r="P365" s="57"/>
      <x:c r="Q365" s="57"/>
      <x:c r="R365" s="57"/>
      <x:c r="S365" s="37"/>
      <x:c r="T365" s="37"/>
      <x:c r="U365" s="37"/>
      <x:c r="V365" s="37"/>
      <x:c r="W365" s="70"/>
      <x:c r="X365"/>
      <x:c r="Y365"/>
      <x:c r="Z365"/>
      <x:c r="AA365"/>
    </x:row>
    <x:row r="366">
      <x:c r="A366" s="37"/>
      <x:c r="B366" s="37"/>
      <x:c r="C366" s="37"/>
      <x:c r="D366" s="37"/>
      <x:c r="E366" s="37"/>
      <x:c r="F366" s="37"/>
      <x:c r="G366" s="56"/>
      <x:c r="H366" s="37"/>
      <x:c r="I366" s="37"/>
      <x:c r="J366" s="37"/>
      <x:c r="K366" s="56"/>
      <x:c r="L366" s="37"/>
      <x:c r="M366" s="37"/>
      <x:c r="N366" s="57"/>
      <x:c r="O366" s="57"/>
      <x:c r="P366" s="57"/>
      <x:c r="Q366" s="57"/>
      <x:c r="R366" s="57"/>
      <x:c r="S366" s="37"/>
      <x:c r="T366" s="37"/>
      <x:c r="U366" s="37"/>
      <x:c r="V366" s="37"/>
      <x:c r="W366" s="70"/>
      <x:c r="X366"/>
      <x:c r="Y366"/>
      <x:c r="Z366"/>
      <x:c r="AA366"/>
    </x:row>
    <x:row r="367">
      <x:c r="A367" s="37"/>
      <x:c r="B367" s="37"/>
      <x:c r="C367" s="37"/>
      <x:c r="D367" s="37"/>
      <x:c r="E367" s="37"/>
      <x:c r="F367" s="37"/>
      <x:c r="G367" s="56"/>
      <x:c r="H367" s="37"/>
      <x:c r="I367" s="37"/>
      <x:c r="J367" s="37"/>
      <x:c r="K367" s="56"/>
      <x:c r="L367" s="37"/>
      <x:c r="M367" s="37"/>
      <x:c r="N367" s="57"/>
      <x:c r="O367" s="57"/>
      <x:c r="P367" s="57"/>
      <x:c r="Q367" s="57"/>
      <x:c r="R367" s="57"/>
      <x:c r="S367" s="37"/>
      <x:c r="T367" s="37"/>
      <x:c r="U367" s="37"/>
      <x:c r="V367" s="37"/>
      <x:c r="W367" s="70"/>
      <x:c r="X367"/>
      <x:c r="Y367"/>
      <x:c r="Z367"/>
      <x:c r="AA367"/>
    </x:row>
    <x:row r="368">
      <x:c r="A368" s="37"/>
      <x:c r="B368" s="37"/>
      <x:c r="C368" s="37"/>
      <x:c r="D368" s="37"/>
      <x:c r="E368" s="37"/>
      <x:c r="F368" s="37"/>
      <x:c r="G368" s="56"/>
      <x:c r="H368" s="37"/>
      <x:c r="I368" s="37"/>
      <x:c r="J368" s="37"/>
      <x:c r="K368" s="56"/>
      <x:c r="L368" s="37"/>
      <x:c r="M368" s="37"/>
      <x:c r="N368" s="57"/>
      <x:c r="O368" s="57"/>
      <x:c r="P368" s="57"/>
      <x:c r="Q368" s="57"/>
      <x:c r="R368" s="57"/>
      <x:c r="S368" s="37"/>
      <x:c r="T368" s="37"/>
      <x:c r="U368" s="37"/>
      <x:c r="V368" s="37"/>
      <x:c r="W368" s="70"/>
      <x:c r="X368"/>
      <x:c r="Y368"/>
      <x:c r="Z368"/>
      <x:c r="AA368"/>
    </x:row>
    <x:row r="369">
      <x:c r="A369" s="37"/>
      <x:c r="B369" s="37"/>
      <x:c r="C369" s="37"/>
      <x:c r="D369" s="37"/>
      <x:c r="E369" s="37"/>
      <x:c r="F369" s="37"/>
      <x:c r="G369" s="56"/>
      <x:c r="H369" s="37"/>
      <x:c r="I369" s="37"/>
      <x:c r="J369" s="37"/>
      <x:c r="K369" s="56"/>
      <x:c r="L369" s="37"/>
      <x:c r="M369" s="37"/>
      <x:c r="N369" s="57"/>
      <x:c r="O369" s="57"/>
      <x:c r="P369" s="57"/>
      <x:c r="Q369" s="57"/>
      <x:c r="R369" s="57"/>
      <x:c r="S369" s="37"/>
      <x:c r="T369" s="37"/>
      <x:c r="U369" s="37"/>
      <x:c r="V369" s="37"/>
      <x:c r="W369" s="70"/>
      <x:c r="X369"/>
      <x:c r="Y369"/>
      <x:c r="Z369"/>
      <x:c r="AA369"/>
    </x:row>
    <x:row r="370">
      <x:c r="A370" s="37"/>
      <x:c r="B370" s="37"/>
      <x:c r="C370" s="37"/>
      <x:c r="D370" s="37"/>
      <x:c r="E370" s="37"/>
      <x:c r="F370" s="37"/>
      <x:c r="G370" s="56"/>
      <x:c r="H370" s="37"/>
      <x:c r="I370" s="37"/>
      <x:c r="J370" s="37"/>
      <x:c r="K370" s="56"/>
      <x:c r="L370" s="37"/>
      <x:c r="M370" s="37"/>
      <x:c r="N370" s="57"/>
      <x:c r="O370" s="57"/>
      <x:c r="P370" s="57"/>
      <x:c r="Q370" s="57"/>
      <x:c r="R370" s="57"/>
      <x:c r="S370" s="37"/>
      <x:c r="T370" s="37"/>
      <x:c r="U370" s="37"/>
      <x:c r="V370" s="37"/>
      <x:c r="W370" s="70"/>
      <x:c r="X370"/>
      <x:c r="Y370"/>
      <x:c r="Z370"/>
      <x:c r="AA370"/>
    </x:row>
    <x:row r="371">
      <x:c r="A371" s="37"/>
      <x:c r="B371" s="37"/>
      <x:c r="C371" s="37"/>
      <x:c r="D371" s="37"/>
      <x:c r="E371" s="37"/>
      <x:c r="F371" s="37"/>
      <x:c r="G371" s="56"/>
      <x:c r="H371" s="37"/>
      <x:c r="I371" s="37"/>
      <x:c r="J371" s="37"/>
      <x:c r="K371" s="56"/>
      <x:c r="L371" s="37"/>
      <x:c r="M371" s="37"/>
      <x:c r="N371" s="57"/>
      <x:c r="O371" s="57"/>
      <x:c r="P371" s="57"/>
      <x:c r="Q371" s="57"/>
      <x:c r="R371" s="57"/>
      <x:c r="S371" s="37"/>
      <x:c r="T371" s="37"/>
      <x:c r="U371" s="37"/>
      <x:c r="V371" s="37"/>
      <x:c r="W371" s="70"/>
      <x:c r="X371"/>
      <x:c r="Y371"/>
      <x:c r="Z371"/>
      <x:c r="AA371"/>
    </x:row>
    <x:row r="372">
      <x:c r="A372" s="37"/>
      <x:c r="B372" s="37"/>
      <x:c r="C372" s="37"/>
      <x:c r="D372" s="37"/>
      <x:c r="E372" s="37"/>
      <x:c r="F372" s="37"/>
      <x:c r="G372" s="56"/>
      <x:c r="H372" s="37"/>
      <x:c r="I372" s="37"/>
      <x:c r="J372" s="37"/>
      <x:c r="K372" s="56"/>
      <x:c r="L372" s="37"/>
      <x:c r="M372" s="37"/>
      <x:c r="N372" s="57"/>
      <x:c r="O372" s="57"/>
      <x:c r="P372" s="57"/>
      <x:c r="Q372" s="57"/>
      <x:c r="R372" s="57"/>
      <x:c r="S372" s="37"/>
      <x:c r="T372" s="37"/>
      <x:c r="U372" s="37"/>
      <x:c r="V372" s="37"/>
      <x:c r="W372" s="70"/>
      <x:c r="X372"/>
      <x:c r="Y372"/>
      <x:c r="Z372"/>
      <x:c r="AA372"/>
    </x:row>
    <x:row r="373">
      <x:c r="A373" s="37"/>
      <x:c r="B373" s="37"/>
      <x:c r="C373" s="37"/>
      <x:c r="D373" s="37"/>
      <x:c r="E373" s="37"/>
      <x:c r="F373" s="37"/>
      <x:c r="G373" s="56"/>
      <x:c r="H373" s="37"/>
      <x:c r="I373" s="37"/>
      <x:c r="J373" s="37"/>
      <x:c r="K373" s="56"/>
      <x:c r="L373" s="37"/>
      <x:c r="M373" s="37"/>
      <x:c r="N373" s="57"/>
      <x:c r="O373" s="57"/>
      <x:c r="P373" s="57"/>
      <x:c r="Q373" s="57"/>
      <x:c r="R373" s="57"/>
      <x:c r="S373" s="37"/>
      <x:c r="T373" s="37"/>
      <x:c r="U373" s="37"/>
      <x:c r="V373" s="37"/>
      <x:c r="W373" s="70"/>
      <x:c r="X373"/>
      <x:c r="Y373"/>
      <x:c r="Z373"/>
      <x:c r="AA373"/>
    </x:row>
    <x:row r="374">
      <x:c r="A374" s="37"/>
      <x:c r="B374" s="37"/>
      <x:c r="C374" s="37"/>
      <x:c r="D374" s="37"/>
      <x:c r="E374" s="37"/>
      <x:c r="F374" s="37"/>
      <x:c r="G374" s="56"/>
      <x:c r="H374" s="37"/>
      <x:c r="I374" s="37"/>
      <x:c r="J374" s="37"/>
      <x:c r="K374" s="56"/>
      <x:c r="L374" s="37"/>
      <x:c r="M374" s="37"/>
      <x:c r="N374" s="57"/>
      <x:c r="O374" s="57"/>
      <x:c r="P374" s="57"/>
      <x:c r="Q374" s="57"/>
      <x:c r="R374" s="57"/>
      <x:c r="S374" s="37"/>
      <x:c r="T374" s="37"/>
      <x:c r="U374" s="37"/>
      <x:c r="V374" s="37"/>
      <x:c r="W374" s="70"/>
      <x:c r="X374"/>
      <x:c r="Y374"/>
      <x:c r="Z374"/>
      <x:c r="AA374"/>
    </x:row>
    <x:row r="375">
      <x:c r="A375" s="37"/>
      <x:c r="B375" s="37"/>
      <x:c r="C375" s="37"/>
      <x:c r="D375" s="37"/>
      <x:c r="E375" s="37"/>
      <x:c r="F375" s="37"/>
      <x:c r="G375" s="56"/>
      <x:c r="H375" s="37"/>
      <x:c r="I375" s="37"/>
      <x:c r="J375" s="37"/>
      <x:c r="K375" s="56"/>
      <x:c r="L375" s="37"/>
      <x:c r="M375" s="37"/>
      <x:c r="N375" s="57"/>
      <x:c r="O375" s="57"/>
      <x:c r="P375" s="57"/>
      <x:c r="Q375" s="57"/>
      <x:c r="R375" s="57"/>
      <x:c r="S375" s="37"/>
      <x:c r="T375" s="37"/>
      <x:c r="U375" s="37"/>
      <x:c r="V375" s="37"/>
      <x:c r="W375" s="70"/>
      <x:c r="X375"/>
      <x:c r="Y375"/>
      <x:c r="Z375"/>
      <x:c r="AA375"/>
    </x:row>
    <x:row r="376">
      <x:c r="A376" s="37"/>
      <x:c r="B376" s="37"/>
      <x:c r="C376" s="37"/>
      <x:c r="D376" s="37"/>
      <x:c r="E376" s="37"/>
      <x:c r="F376" s="37"/>
      <x:c r="G376" s="56"/>
      <x:c r="H376" s="37"/>
      <x:c r="I376" s="37"/>
      <x:c r="J376" s="37"/>
      <x:c r="K376" s="56"/>
      <x:c r="L376" s="37"/>
      <x:c r="M376" s="37"/>
      <x:c r="N376" s="57"/>
      <x:c r="O376" s="57"/>
      <x:c r="P376" s="57"/>
      <x:c r="Q376" s="57"/>
      <x:c r="R376" s="57"/>
      <x:c r="S376" s="37"/>
      <x:c r="T376" s="37"/>
      <x:c r="U376" s="37"/>
      <x:c r="V376" s="37"/>
      <x:c r="W376" s="70"/>
      <x:c r="X376"/>
      <x:c r="Y376"/>
      <x:c r="Z376"/>
      <x:c r="AA376"/>
    </x:row>
    <x:row r="377">
      <x:c r="A377" s="37"/>
      <x:c r="B377" s="37"/>
      <x:c r="C377" s="37"/>
      <x:c r="D377" s="37"/>
      <x:c r="E377" s="37"/>
      <x:c r="F377" s="37"/>
      <x:c r="G377" s="56"/>
      <x:c r="H377" s="37"/>
      <x:c r="I377" s="37"/>
      <x:c r="J377" s="37"/>
      <x:c r="K377" s="56"/>
      <x:c r="L377" s="37"/>
      <x:c r="M377" s="37"/>
      <x:c r="N377" s="57"/>
      <x:c r="O377" s="57"/>
      <x:c r="P377" s="57"/>
      <x:c r="Q377" s="57"/>
      <x:c r="R377" s="57"/>
      <x:c r="S377" s="37"/>
      <x:c r="T377" s="37"/>
      <x:c r="U377" s="37"/>
      <x:c r="V377" s="37"/>
      <x:c r="W377" s="70"/>
      <x:c r="X377"/>
      <x:c r="Y377"/>
      <x:c r="Z377"/>
      <x:c r="AA377"/>
    </x:row>
    <x:row r="378">
      <x:c r="A378" s="37"/>
      <x:c r="B378" s="37"/>
      <x:c r="C378" s="37"/>
      <x:c r="D378" s="37"/>
      <x:c r="E378" s="37"/>
      <x:c r="F378" s="37"/>
      <x:c r="G378" s="56"/>
      <x:c r="H378" s="37"/>
      <x:c r="I378" s="37"/>
      <x:c r="J378" s="37"/>
      <x:c r="K378" s="56"/>
      <x:c r="L378" s="37"/>
      <x:c r="M378" s="37"/>
      <x:c r="N378" s="57"/>
      <x:c r="O378" s="57"/>
      <x:c r="P378" s="57"/>
      <x:c r="Q378" s="57"/>
      <x:c r="R378" s="57"/>
      <x:c r="S378" s="37"/>
      <x:c r="T378" s="37"/>
      <x:c r="U378" s="37"/>
      <x:c r="V378" s="37"/>
      <x:c r="W378" s="70"/>
      <x:c r="X378"/>
      <x:c r="Y378"/>
      <x:c r="Z378"/>
      <x:c r="AA378"/>
    </x:row>
    <x:row r="379">
      <x:c r="A379" s="37"/>
      <x:c r="B379" s="37"/>
      <x:c r="C379" s="37"/>
      <x:c r="D379" s="37"/>
      <x:c r="E379" s="37"/>
      <x:c r="F379" s="37"/>
      <x:c r="G379" s="56"/>
      <x:c r="H379" s="37"/>
      <x:c r="I379" s="37"/>
      <x:c r="J379" s="37"/>
      <x:c r="K379" s="56"/>
      <x:c r="L379" s="37"/>
      <x:c r="M379" s="37"/>
      <x:c r="N379" s="57"/>
      <x:c r="O379" s="57"/>
      <x:c r="P379" s="57"/>
      <x:c r="Q379" s="57"/>
      <x:c r="R379" s="57"/>
      <x:c r="S379" s="37"/>
      <x:c r="T379" s="37"/>
      <x:c r="U379" s="37"/>
      <x:c r="V379" s="37"/>
      <x:c r="W379" s="70"/>
      <x:c r="X379"/>
      <x:c r="Y379"/>
      <x:c r="Z379"/>
      <x:c r="AA379"/>
    </x:row>
    <x:row r="380">
      <x:c r="A380" s="37"/>
      <x:c r="B380" s="37"/>
      <x:c r="C380" s="37"/>
      <x:c r="D380" s="37"/>
      <x:c r="E380" s="37"/>
      <x:c r="F380" s="37"/>
      <x:c r="G380" s="56"/>
      <x:c r="H380" s="37"/>
      <x:c r="I380" s="37"/>
      <x:c r="J380" s="37"/>
      <x:c r="K380" s="56"/>
      <x:c r="L380" s="37"/>
      <x:c r="M380" s="37"/>
      <x:c r="N380" s="57"/>
      <x:c r="O380" s="57"/>
      <x:c r="P380" s="57"/>
      <x:c r="Q380" s="57"/>
      <x:c r="R380" s="57"/>
      <x:c r="S380" s="37"/>
      <x:c r="T380" s="37"/>
      <x:c r="U380" s="37"/>
      <x:c r="V380" s="37"/>
      <x:c r="W380" s="70"/>
      <x:c r="X380"/>
      <x:c r="Y380"/>
      <x:c r="Z380"/>
      <x:c r="AA380"/>
    </x:row>
    <x:row r="381">
      <x:c r="A381" s="37"/>
      <x:c r="B381" s="37"/>
      <x:c r="C381" s="37"/>
      <x:c r="D381" s="37"/>
      <x:c r="E381" s="37"/>
      <x:c r="F381" s="37"/>
      <x:c r="G381" s="56"/>
      <x:c r="H381" s="37"/>
      <x:c r="I381" s="37"/>
      <x:c r="J381" s="37"/>
      <x:c r="K381" s="56"/>
      <x:c r="L381" s="37"/>
      <x:c r="M381" s="37"/>
      <x:c r="N381" s="57"/>
      <x:c r="O381" s="57"/>
      <x:c r="P381" s="57"/>
      <x:c r="Q381" s="57"/>
      <x:c r="R381" s="57"/>
      <x:c r="S381" s="37"/>
      <x:c r="T381" s="37"/>
      <x:c r="U381" s="37"/>
      <x:c r="V381" s="37"/>
      <x:c r="W381" s="70"/>
      <x:c r="X381"/>
      <x:c r="Y381"/>
      <x:c r="Z381"/>
      <x:c r="AA381"/>
    </x:row>
    <x:row r="382">
      <x:c r="A382" s="37"/>
      <x:c r="B382" s="37"/>
      <x:c r="C382" s="37"/>
      <x:c r="D382" s="37"/>
      <x:c r="E382" s="37"/>
      <x:c r="F382" s="37"/>
      <x:c r="G382" s="56"/>
      <x:c r="H382" s="37"/>
      <x:c r="I382" s="37"/>
      <x:c r="J382" s="37"/>
      <x:c r="K382" s="56"/>
      <x:c r="L382" s="37"/>
      <x:c r="M382" s="37"/>
      <x:c r="N382" s="57"/>
      <x:c r="O382" s="57"/>
      <x:c r="P382" s="57"/>
      <x:c r="Q382" s="57"/>
      <x:c r="R382" s="57"/>
      <x:c r="S382" s="37"/>
      <x:c r="T382" s="37"/>
      <x:c r="U382" s="37"/>
      <x:c r="V382" s="37"/>
      <x:c r="W382" s="70"/>
      <x:c r="X382"/>
      <x:c r="Y382"/>
      <x:c r="Z382"/>
      <x:c r="AA382"/>
    </x:row>
    <x:row r="383">
      <x:c r="A383" s="37"/>
      <x:c r="B383" s="37"/>
      <x:c r="C383" s="37"/>
      <x:c r="D383" s="37"/>
      <x:c r="E383" s="37"/>
      <x:c r="F383" s="37"/>
      <x:c r="G383" s="56"/>
      <x:c r="H383" s="37"/>
      <x:c r="I383" s="37"/>
      <x:c r="J383" s="37"/>
      <x:c r="K383" s="56"/>
      <x:c r="L383" s="37"/>
      <x:c r="M383" s="37"/>
      <x:c r="N383" s="57"/>
      <x:c r="O383" s="57"/>
      <x:c r="P383" s="57"/>
      <x:c r="Q383" s="57"/>
      <x:c r="R383" s="57"/>
      <x:c r="S383" s="37"/>
      <x:c r="T383" s="37"/>
      <x:c r="U383" s="37"/>
      <x:c r="V383" s="37"/>
      <x:c r="W383" s="70"/>
      <x:c r="X383"/>
      <x:c r="Y383"/>
      <x:c r="Z383"/>
      <x:c r="AA383"/>
    </x:row>
    <x:row r="384">
      <x:c r="A384" s="37"/>
      <x:c r="B384" s="37"/>
      <x:c r="C384" s="37"/>
      <x:c r="D384" s="37"/>
      <x:c r="E384" s="37"/>
      <x:c r="F384" s="37"/>
      <x:c r="G384" s="56"/>
      <x:c r="H384" s="37"/>
      <x:c r="I384" s="37"/>
      <x:c r="J384" s="37"/>
      <x:c r="K384" s="56"/>
      <x:c r="L384" s="37"/>
      <x:c r="M384" s="37"/>
      <x:c r="N384" s="57"/>
      <x:c r="O384" s="57"/>
      <x:c r="P384" s="57"/>
      <x:c r="Q384" s="57"/>
      <x:c r="R384" s="57"/>
      <x:c r="S384" s="37"/>
      <x:c r="T384" s="37"/>
      <x:c r="U384" s="37"/>
      <x:c r="V384" s="37"/>
      <x:c r="W384" s="70"/>
      <x:c r="X384"/>
      <x:c r="Y384"/>
      <x:c r="Z384"/>
      <x:c r="AA384"/>
    </x:row>
    <x:row r="385">
      <x:c r="A385" s="37"/>
      <x:c r="B385" s="37"/>
      <x:c r="C385" s="37"/>
      <x:c r="D385" s="37"/>
      <x:c r="E385" s="37"/>
      <x:c r="F385" s="37"/>
      <x:c r="G385" s="56"/>
      <x:c r="H385" s="37"/>
      <x:c r="I385" s="37"/>
      <x:c r="J385" s="37"/>
      <x:c r="K385" s="56"/>
      <x:c r="L385" s="37"/>
      <x:c r="M385" s="37"/>
      <x:c r="N385" s="57"/>
      <x:c r="O385" s="57"/>
      <x:c r="P385" s="57"/>
      <x:c r="Q385" s="57"/>
      <x:c r="R385" s="57"/>
      <x:c r="S385" s="37"/>
      <x:c r="T385" s="37"/>
      <x:c r="U385" s="37"/>
      <x:c r="V385" s="37"/>
      <x:c r="W385" s="70"/>
      <x:c r="X385"/>
      <x:c r="Y385"/>
      <x:c r="Z385"/>
      <x:c r="AA385"/>
    </x:row>
    <x:row r="386">
      <x:c r="A386" s="37"/>
      <x:c r="B386" s="37"/>
      <x:c r="C386" s="37"/>
      <x:c r="D386" s="37"/>
      <x:c r="E386" s="37"/>
      <x:c r="F386" s="37"/>
      <x:c r="G386" s="56"/>
      <x:c r="H386" s="37"/>
      <x:c r="I386" s="37"/>
      <x:c r="J386" s="37"/>
      <x:c r="K386" s="56"/>
      <x:c r="L386" s="37"/>
      <x:c r="M386" s="37"/>
      <x:c r="N386" s="57"/>
      <x:c r="O386" s="57"/>
      <x:c r="P386" s="57"/>
      <x:c r="Q386" s="57"/>
      <x:c r="R386" s="57"/>
      <x:c r="S386" s="37"/>
      <x:c r="T386" s="37"/>
      <x:c r="U386" s="37"/>
      <x:c r="V386" s="37"/>
      <x:c r="W386" s="70"/>
      <x:c r="X386"/>
      <x:c r="Y386"/>
      <x:c r="Z386"/>
      <x:c r="AA386"/>
    </x:row>
    <x:row r="387">
      <x:c r="A387" s="37"/>
      <x:c r="B387" s="37"/>
      <x:c r="C387" s="37"/>
      <x:c r="D387" s="37"/>
      <x:c r="E387" s="37"/>
      <x:c r="F387" s="37"/>
      <x:c r="G387" s="56"/>
      <x:c r="H387" s="37"/>
      <x:c r="I387" s="37"/>
      <x:c r="J387" s="37"/>
      <x:c r="K387" s="56"/>
      <x:c r="L387" s="37"/>
      <x:c r="M387" s="37"/>
      <x:c r="N387" s="57"/>
      <x:c r="O387" s="57"/>
      <x:c r="P387" s="57"/>
      <x:c r="Q387" s="57"/>
      <x:c r="R387" s="57"/>
      <x:c r="S387" s="37"/>
      <x:c r="T387" s="37"/>
      <x:c r="U387" s="37"/>
      <x:c r="V387" s="37"/>
      <x:c r="W387" s="70"/>
      <x:c r="X387"/>
      <x:c r="Y387"/>
      <x:c r="Z387"/>
      <x:c r="AA387"/>
    </x:row>
    <x:row r="388">
      <x:c r="A388" s="37"/>
      <x:c r="B388" s="37"/>
      <x:c r="C388" s="37"/>
      <x:c r="D388" s="37"/>
      <x:c r="E388" s="37"/>
      <x:c r="F388" s="37"/>
      <x:c r="G388" s="56"/>
      <x:c r="H388" s="37"/>
      <x:c r="I388" s="37"/>
      <x:c r="J388" s="37"/>
      <x:c r="K388" s="56"/>
      <x:c r="L388" s="37"/>
      <x:c r="M388" s="37"/>
      <x:c r="N388" s="57"/>
      <x:c r="O388" s="57"/>
      <x:c r="P388" s="57"/>
      <x:c r="Q388" s="57"/>
      <x:c r="R388" s="57"/>
      <x:c r="S388" s="37"/>
      <x:c r="T388" s="37"/>
      <x:c r="U388" s="37"/>
      <x:c r="V388" s="37"/>
      <x:c r="W388" s="70"/>
      <x:c r="X388"/>
      <x:c r="Y388"/>
      <x:c r="Z388"/>
      <x:c r="AA388"/>
    </x:row>
    <x:row r="389">
      <x:c r="A389" s="37"/>
      <x:c r="B389" s="37"/>
      <x:c r="C389" s="37"/>
      <x:c r="D389" s="37"/>
      <x:c r="E389" s="37"/>
      <x:c r="F389" s="37"/>
      <x:c r="G389" s="56"/>
      <x:c r="H389" s="37"/>
      <x:c r="I389" s="37"/>
      <x:c r="J389" s="37"/>
      <x:c r="K389" s="56"/>
      <x:c r="L389" s="37"/>
      <x:c r="M389" s="37"/>
      <x:c r="N389" s="57"/>
      <x:c r="O389" s="57"/>
      <x:c r="P389" s="57"/>
      <x:c r="Q389" s="57"/>
      <x:c r="R389" s="57"/>
      <x:c r="S389" s="37"/>
      <x:c r="T389" s="37"/>
      <x:c r="U389" s="37"/>
      <x:c r="V389" s="37"/>
      <x:c r="W389" s="70"/>
      <x:c r="X389"/>
      <x:c r="Y389"/>
      <x:c r="Z389"/>
      <x:c r="AA389"/>
    </x:row>
    <x:row r="390">
      <x:c r="A390" s="37"/>
      <x:c r="B390" s="37"/>
      <x:c r="C390" s="37"/>
      <x:c r="D390" s="37"/>
      <x:c r="E390" s="37"/>
      <x:c r="F390" s="37"/>
      <x:c r="G390" s="56"/>
      <x:c r="H390" s="37"/>
      <x:c r="I390" s="37"/>
      <x:c r="J390" s="37"/>
      <x:c r="K390" s="56"/>
      <x:c r="L390" s="37"/>
      <x:c r="M390" s="37"/>
      <x:c r="N390" s="57"/>
      <x:c r="O390" s="57"/>
      <x:c r="P390" s="57"/>
      <x:c r="Q390" s="57"/>
      <x:c r="R390" s="57"/>
      <x:c r="S390" s="37"/>
      <x:c r="T390" s="37"/>
      <x:c r="U390" s="37"/>
      <x:c r="V390" s="37"/>
      <x:c r="W390" s="70"/>
      <x:c r="X390"/>
      <x:c r="Y390"/>
      <x:c r="Z390"/>
      <x:c r="AA390"/>
    </x:row>
    <x:row r="391">
      <x:c r="A391" s="37"/>
      <x:c r="B391" s="37"/>
      <x:c r="C391" s="37"/>
      <x:c r="D391" s="37"/>
      <x:c r="E391" s="37"/>
      <x:c r="F391" s="37"/>
      <x:c r="G391" s="56"/>
      <x:c r="H391" s="37"/>
      <x:c r="I391" s="37"/>
      <x:c r="J391" s="37"/>
      <x:c r="K391" s="56"/>
      <x:c r="L391" s="37"/>
      <x:c r="M391" s="37"/>
      <x:c r="N391" s="57"/>
      <x:c r="O391" s="57"/>
      <x:c r="P391" s="57"/>
      <x:c r="Q391" s="57"/>
      <x:c r="R391" s="57"/>
      <x:c r="S391" s="37"/>
      <x:c r="T391" s="37"/>
      <x:c r="U391" s="37"/>
      <x:c r="V391" s="37"/>
      <x:c r="W391" s="70"/>
      <x:c r="X391"/>
      <x:c r="Y391"/>
      <x:c r="Z391"/>
      <x:c r="AA391"/>
    </x:row>
    <x:row r="392">
      <x:c r="A392" s="37"/>
      <x:c r="B392" s="37"/>
      <x:c r="C392" s="37"/>
      <x:c r="D392" s="37"/>
      <x:c r="E392" s="37"/>
      <x:c r="F392" s="37"/>
      <x:c r="G392" s="56"/>
      <x:c r="H392" s="37"/>
      <x:c r="I392" s="37"/>
      <x:c r="J392" s="37"/>
      <x:c r="K392" s="56"/>
      <x:c r="L392" s="37"/>
      <x:c r="M392" s="37"/>
      <x:c r="N392" s="57"/>
      <x:c r="O392" s="57"/>
      <x:c r="P392" s="57"/>
      <x:c r="Q392" s="57"/>
      <x:c r="R392" s="57"/>
      <x:c r="S392" s="37"/>
      <x:c r="T392" s="37"/>
      <x:c r="U392" s="37"/>
      <x:c r="V392" s="37"/>
      <x:c r="W392" s="70"/>
      <x:c r="X392"/>
      <x:c r="Y392"/>
      <x:c r="Z392"/>
      <x:c r="AA392"/>
    </x:row>
    <x:row r="393">
      <x:c r="A393" s="37"/>
      <x:c r="B393" s="37"/>
      <x:c r="C393" s="37"/>
      <x:c r="D393" s="37"/>
      <x:c r="E393" s="37"/>
      <x:c r="F393" s="37"/>
      <x:c r="G393" s="56"/>
      <x:c r="H393" s="37"/>
      <x:c r="I393" s="37"/>
      <x:c r="J393" s="37"/>
      <x:c r="K393" s="56"/>
      <x:c r="L393" s="37"/>
      <x:c r="M393" s="37"/>
      <x:c r="N393" s="57"/>
      <x:c r="O393" s="57"/>
      <x:c r="P393" s="57"/>
      <x:c r="Q393" s="57"/>
      <x:c r="R393" s="57"/>
      <x:c r="S393" s="37"/>
      <x:c r="T393" s="37"/>
      <x:c r="U393" s="37"/>
      <x:c r="V393" s="37"/>
      <x:c r="W393" s="70"/>
      <x:c r="X393"/>
      <x:c r="Y393"/>
      <x:c r="Z393"/>
      <x:c r="AA393"/>
    </x:row>
    <x:row r="394">
      <x:c r="A394" s="37"/>
      <x:c r="B394" s="37"/>
      <x:c r="C394" s="37"/>
      <x:c r="D394" s="37"/>
      <x:c r="E394" s="37"/>
      <x:c r="F394" s="37"/>
      <x:c r="G394" s="56"/>
      <x:c r="H394" s="37"/>
      <x:c r="I394" s="37"/>
      <x:c r="J394" s="37"/>
      <x:c r="K394" s="56"/>
      <x:c r="L394" s="37"/>
      <x:c r="M394" s="37"/>
      <x:c r="N394" s="57"/>
      <x:c r="O394" s="57"/>
      <x:c r="P394" s="57"/>
      <x:c r="Q394" s="57"/>
      <x:c r="R394" s="57"/>
      <x:c r="S394" s="37"/>
      <x:c r="T394" s="37"/>
      <x:c r="U394" s="37"/>
      <x:c r="V394" s="37"/>
      <x:c r="W394" s="70"/>
      <x:c r="X394"/>
      <x:c r="Y394"/>
      <x:c r="Z394"/>
      <x:c r="AA394"/>
    </x:row>
    <x:row r="395">
      <x:c r="A395" s="37"/>
      <x:c r="B395" s="37"/>
      <x:c r="C395" s="37"/>
      <x:c r="D395" s="37"/>
      <x:c r="E395" s="37"/>
      <x:c r="F395" s="37"/>
      <x:c r="G395" s="56"/>
      <x:c r="H395" s="37"/>
      <x:c r="I395" s="37"/>
      <x:c r="J395" s="37"/>
      <x:c r="K395" s="56"/>
      <x:c r="L395" s="37"/>
      <x:c r="M395" s="37"/>
      <x:c r="N395" s="57"/>
      <x:c r="O395" s="57"/>
      <x:c r="P395" s="57"/>
      <x:c r="Q395" s="57"/>
      <x:c r="R395" s="57"/>
      <x:c r="S395" s="37"/>
      <x:c r="T395" s="37"/>
      <x:c r="U395" s="37"/>
      <x:c r="V395" s="37"/>
      <x:c r="W395" s="70"/>
      <x:c r="X395"/>
      <x:c r="Y395"/>
      <x:c r="Z395"/>
      <x:c r="AA395"/>
    </x:row>
    <x:row r="396">
      <x:c r="A396" s="37"/>
      <x:c r="B396" s="37"/>
      <x:c r="C396" s="37"/>
      <x:c r="D396" s="37"/>
      <x:c r="E396" s="37"/>
      <x:c r="F396" s="37"/>
      <x:c r="G396" s="56"/>
      <x:c r="H396" s="37"/>
      <x:c r="I396" s="37"/>
      <x:c r="J396" s="37"/>
      <x:c r="K396" s="56"/>
      <x:c r="L396" s="37"/>
      <x:c r="M396" s="37"/>
      <x:c r="N396" s="57"/>
      <x:c r="O396" s="57"/>
      <x:c r="P396" s="57"/>
      <x:c r="Q396" s="57"/>
      <x:c r="R396" s="57"/>
      <x:c r="S396" s="37"/>
      <x:c r="T396" s="37"/>
      <x:c r="U396" s="37"/>
      <x:c r="V396" s="37"/>
      <x:c r="W396" s="70"/>
      <x:c r="X396"/>
      <x:c r="Y396"/>
      <x:c r="Z396"/>
      <x:c r="AA396"/>
    </x:row>
    <x:row r="397">
      <x:c r="A397" s="37"/>
      <x:c r="B397" s="37"/>
      <x:c r="C397" s="37"/>
      <x:c r="D397" s="37"/>
      <x:c r="E397" s="37"/>
      <x:c r="F397" s="37"/>
      <x:c r="G397" s="56"/>
      <x:c r="H397" s="37"/>
      <x:c r="I397" s="37"/>
      <x:c r="J397" s="37"/>
      <x:c r="K397" s="56"/>
      <x:c r="L397" s="37"/>
      <x:c r="M397" s="37"/>
      <x:c r="N397" s="57"/>
      <x:c r="O397" s="57"/>
      <x:c r="P397" s="57"/>
      <x:c r="Q397" s="57"/>
      <x:c r="R397" s="57"/>
      <x:c r="S397" s="37"/>
      <x:c r="T397" s="37"/>
      <x:c r="U397" s="37"/>
      <x:c r="V397" s="37"/>
      <x:c r="W397" s="70"/>
      <x:c r="X397"/>
      <x:c r="Y397"/>
      <x:c r="Z397"/>
      <x:c r="AA397"/>
    </x:row>
    <x:row r="398">
      <x:c r="A398" s="37"/>
      <x:c r="B398" s="37"/>
      <x:c r="C398" s="37"/>
      <x:c r="D398" s="37"/>
      <x:c r="E398" s="37"/>
      <x:c r="F398" s="37"/>
      <x:c r="G398" s="56"/>
      <x:c r="H398" s="37"/>
      <x:c r="I398" s="37"/>
      <x:c r="J398" s="37"/>
      <x:c r="K398" s="56"/>
      <x:c r="L398" s="37"/>
      <x:c r="M398" s="37"/>
      <x:c r="N398" s="57"/>
      <x:c r="O398" s="57"/>
      <x:c r="P398" s="57"/>
      <x:c r="Q398" s="57"/>
      <x:c r="R398" s="57"/>
      <x:c r="S398" s="37"/>
      <x:c r="T398" s="37"/>
      <x:c r="U398" s="37"/>
      <x:c r="V398" s="37"/>
      <x:c r="W398" s="70"/>
      <x:c r="X398"/>
      <x:c r="Y398"/>
      <x:c r="Z398"/>
      <x:c r="AA398"/>
    </x:row>
    <x:row r="399">
      <x:c r="A399" s="37"/>
      <x:c r="B399" s="37"/>
      <x:c r="C399" s="37"/>
      <x:c r="D399" s="37"/>
      <x:c r="E399" s="37"/>
      <x:c r="F399" s="37"/>
      <x:c r="G399" s="56"/>
      <x:c r="H399" s="37"/>
      <x:c r="I399" s="37"/>
      <x:c r="J399" s="37"/>
      <x:c r="K399" s="56"/>
      <x:c r="L399" s="37"/>
      <x:c r="M399" s="37"/>
      <x:c r="N399" s="57"/>
      <x:c r="O399" s="57"/>
      <x:c r="P399" s="57"/>
      <x:c r="Q399" s="57"/>
      <x:c r="R399" s="57"/>
      <x:c r="S399" s="37"/>
      <x:c r="T399" s="37"/>
      <x:c r="U399" s="37"/>
      <x:c r="V399" s="37"/>
      <x:c r="W399" s="70"/>
      <x:c r="X399"/>
      <x:c r="Y399"/>
      <x:c r="Z399"/>
      <x:c r="AA399"/>
    </x:row>
    <x:row r="400">
      <x:c r="A400" s="37"/>
      <x:c r="B400" s="37"/>
      <x:c r="C400" s="37"/>
      <x:c r="D400" s="37"/>
      <x:c r="E400" s="37"/>
      <x:c r="F400" s="37"/>
      <x:c r="G400" s="56"/>
      <x:c r="H400" s="37"/>
      <x:c r="I400" s="37"/>
      <x:c r="J400" s="37"/>
      <x:c r="K400" s="56"/>
      <x:c r="L400" s="37"/>
      <x:c r="M400" s="37"/>
      <x:c r="N400" s="57"/>
      <x:c r="O400" s="57"/>
      <x:c r="P400" s="57"/>
      <x:c r="Q400" s="57"/>
      <x:c r="R400" s="57"/>
      <x:c r="S400" s="37"/>
      <x:c r="T400" s="37"/>
      <x:c r="U400" s="37"/>
      <x:c r="V400" s="37"/>
      <x:c r="W400" s="70"/>
      <x:c r="X400"/>
      <x:c r="Y400"/>
      <x:c r="Z400"/>
      <x:c r="AA400"/>
    </x:row>
    <x:row r="401">
      <x:c r="A401" s="37"/>
      <x:c r="B401" s="37"/>
      <x:c r="C401" s="37"/>
      <x:c r="D401" s="37"/>
      <x:c r="E401" s="37"/>
      <x:c r="F401" s="37"/>
      <x:c r="G401" s="56"/>
      <x:c r="H401" s="37"/>
      <x:c r="I401" s="37"/>
      <x:c r="J401" s="37"/>
      <x:c r="K401" s="56"/>
      <x:c r="L401" s="37"/>
      <x:c r="M401" s="37"/>
      <x:c r="N401" s="57"/>
      <x:c r="O401" s="57"/>
      <x:c r="P401" s="57"/>
      <x:c r="Q401" s="57"/>
      <x:c r="R401" s="57"/>
      <x:c r="S401" s="37"/>
      <x:c r="T401" s="37"/>
      <x:c r="U401" s="37"/>
      <x:c r="V401" s="37"/>
      <x:c r="W401" s="70"/>
      <x:c r="X401"/>
      <x:c r="Y401"/>
      <x:c r="Z401"/>
      <x:c r="AA401"/>
    </x:row>
    <x:row r="402">
      <x:c r="A402" s="37"/>
      <x:c r="B402" s="37"/>
      <x:c r="C402" s="37"/>
      <x:c r="D402" s="37"/>
      <x:c r="E402" s="37"/>
      <x:c r="F402" s="37"/>
      <x:c r="G402" s="56"/>
      <x:c r="H402" s="37"/>
      <x:c r="I402" s="37"/>
      <x:c r="J402" s="37"/>
      <x:c r="K402" s="56"/>
      <x:c r="L402" s="37"/>
      <x:c r="M402" s="37"/>
      <x:c r="N402" s="57"/>
      <x:c r="O402" s="57"/>
      <x:c r="P402" s="57"/>
      <x:c r="Q402" s="57"/>
      <x:c r="R402" s="57"/>
      <x:c r="S402" s="37"/>
      <x:c r="T402" s="37"/>
      <x:c r="U402" s="37"/>
      <x:c r="V402" s="37"/>
      <x:c r="W402" s="70"/>
      <x:c r="X402"/>
      <x:c r="Y402"/>
      <x:c r="Z402"/>
      <x:c r="AA402"/>
    </x:row>
    <x:row r="403">
      <x:c r="A403" s="37"/>
      <x:c r="B403" s="37"/>
      <x:c r="C403" s="37"/>
      <x:c r="D403" s="37"/>
      <x:c r="E403" s="37"/>
      <x:c r="F403" s="37"/>
      <x:c r="G403" s="56"/>
      <x:c r="H403" s="37"/>
      <x:c r="I403" s="37"/>
      <x:c r="J403" s="37"/>
      <x:c r="K403" s="56"/>
      <x:c r="L403" s="37"/>
      <x:c r="M403" s="37"/>
      <x:c r="N403" s="57"/>
      <x:c r="O403" s="57"/>
      <x:c r="P403" s="57"/>
      <x:c r="Q403" s="57"/>
      <x:c r="R403" s="57"/>
      <x:c r="S403" s="37"/>
      <x:c r="T403" s="37"/>
      <x:c r="U403" s="37"/>
      <x:c r="V403" s="37"/>
      <x:c r="W403" s="70"/>
      <x:c r="X403"/>
      <x:c r="Y403"/>
      <x:c r="Z403"/>
      <x:c r="AA403"/>
    </x:row>
    <x:row r="404">
      <x:c r="A404" s="37"/>
      <x:c r="B404" s="37"/>
      <x:c r="C404" s="37"/>
      <x:c r="D404" s="37"/>
      <x:c r="E404" s="37"/>
      <x:c r="F404" s="37"/>
      <x:c r="G404" s="56"/>
      <x:c r="H404" s="37"/>
      <x:c r="I404" s="37"/>
      <x:c r="J404" s="37"/>
      <x:c r="K404" s="56"/>
      <x:c r="L404" s="37"/>
      <x:c r="M404" s="37"/>
      <x:c r="N404" s="57"/>
      <x:c r="O404" s="57"/>
      <x:c r="P404" s="57"/>
      <x:c r="Q404" s="57"/>
      <x:c r="R404" s="57"/>
      <x:c r="S404" s="37"/>
      <x:c r="T404" s="37"/>
      <x:c r="U404" s="37"/>
      <x:c r="V404" s="37"/>
      <x:c r="W404" s="70"/>
      <x:c r="X404"/>
      <x:c r="Y404"/>
      <x:c r="Z404"/>
      <x:c r="AA404"/>
    </x:row>
    <x:row r="405">
      <x:c r="A405" s="37"/>
      <x:c r="B405" s="37"/>
      <x:c r="C405" s="37"/>
      <x:c r="D405" s="37"/>
      <x:c r="E405" s="37"/>
      <x:c r="F405" s="37"/>
      <x:c r="G405" s="56"/>
      <x:c r="H405" s="37"/>
      <x:c r="I405" s="37"/>
      <x:c r="J405" s="37"/>
      <x:c r="K405" s="56"/>
      <x:c r="L405" s="37"/>
      <x:c r="M405" s="37"/>
      <x:c r="N405" s="57"/>
      <x:c r="O405" s="57"/>
      <x:c r="P405" s="57"/>
      <x:c r="Q405" s="57"/>
      <x:c r="R405" s="57"/>
      <x:c r="S405" s="37"/>
      <x:c r="T405" s="37"/>
      <x:c r="U405" s="37"/>
      <x:c r="V405" s="37"/>
      <x:c r="W405" s="70"/>
      <x:c r="X405"/>
      <x:c r="Y405"/>
      <x:c r="Z405"/>
      <x:c r="AA405"/>
    </x:row>
    <x:row r="406">
      <x:c r="A406" s="37"/>
      <x:c r="B406" s="37"/>
      <x:c r="C406" s="37"/>
      <x:c r="D406" s="37"/>
      <x:c r="E406" s="37"/>
      <x:c r="F406" s="37"/>
      <x:c r="G406" s="56"/>
      <x:c r="H406" s="37"/>
      <x:c r="I406" s="37"/>
      <x:c r="J406" s="37"/>
      <x:c r="K406" s="56"/>
      <x:c r="L406" s="37"/>
      <x:c r="M406" s="37"/>
      <x:c r="N406" s="57"/>
      <x:c r="O406" s="57"/>
      <x:c r="P406" s="57"/>
      <x:c r="Q406" s="57"/>
      <x:c r="R406" s="57"/>
      <x:c r="S406" s="37"/>
      <x:c r="T406" s="37"/>
      <x:c r="U406" s="37"/>
      <x:c r="V406" s="37"/>
      <x:c r="W406" s="70"/>
      <x:c r="X406"/>
      <x:c r="Y406"/>
      <x:c r="Z406"/>
      <x:c r="AA406"/>
    </x:row>
    <x:row r="407">
      <x:c r="A407" s="37"/>
      <x:c r="B407" s="37"/>
      <x:c r="C407" s="37"/>
      <x:c r="D407" s="37"/>
      <x:c r="E407" s="37"/>
      <x:c r="F407" s="37"/>
      <x:c r="G407" s="56"/>
      <x:c r="H407" s="37"/>
      <x:c r="I407" s="37"/>
      <x:c r="J407" s="37"/>
      <x:c r="K407" s="56"/>
      <x:c r="L407" s="37"/>
      <x:c r="M407" s="37"/>
      <x:c r="N407" s="57"/>
      <x:c r="O407" s="57"/>
      <x:c r="P407" s="57"/>
      <x:c r="Q407" s="57"/>
      <x:c r="R407" s="57"/>
      <x:c r="S407" s="37"/>
      <x:c r="T407" s="37"/>
      <x:c r="U407" s="37"/>
      <x:c r="V407" s="37"/>
      <x:c r="W407" s="70"/>
      <x:c r="X407"/>
      <x:c r="Y407"/>
      <x:c r="Z407"/>
      <x:c r="AA407"/>
    </x:row>
    <x:row r="408">
      <x:c r="A408" s="37"/>
      <x:c r="B408" s="37"/>
      <x:c r="C408" s="37"/>
      <x:c r="D408" s="37"/>
      <x:c r="E408" s="37"/>
      <x:c r="F408" s="37"/>
      <x:c r="G408" s="56"/>
      <x:c r="H408" s="37"/>
      <x:c r="I408" s="37"/>
      <x:c r="J408" s="37"/>
      <x:c r="K408" s="56"/>
      <x:c r="L408" s="37"/>
      <x:c r="M408" s="37"/>
      <x:c r="N408" s="57"/>
      <x:c r="O408" s="57"/>
      <x:c r="P408" s="57"/>
      <x:c r="Q408" s="57"/>
      <x:c r="R408" s="57"/>
      <x:c r="S408" s="37"/>
      <x:c r="T408" s="37"/>
      <x:c r="U408" s="37"/>
      <x:c r="V408" s="37"/>
      <x:c r="W408" s="70"/>
      <x:c r="X408"/>
      <x:c r="Y408"/>
      <x:c r="Z408"/>
      <x:c r="AA408"/>
    </x:row>
    <x:row r="409">
      <x:c r="A409" s="37"/>
      <x:c r="B409" s="37"/>
      <x:c r="C409" s="37"/>
      <x:c r="D409" s="37"/>
      <x:c r="E409" s="37"/>
      <x:c r="F409" s="37"/>
      <x:c r="G409" s="56"/>
      <x:c r="H409" s="37"/>
      <x:c r="I409" s="37"/>
      <x:c r="J409" s="37"/>
      <x:c r="K409" s="56"/>
      <x:c r="L409" s="37"/>
      <x:c r="M409" s="37"/>
      <x:c r="N409" s="57"/>
      <x:c r="O409" s="57"/>
      <x:c r="P409" s="57"/>
      <x:c r="Q409" s="57"/>
      <x:c r="R409" s="57"/>
      <x:c r="S409" s="37"/>
      <x:c r="T409" s="37"/>
      <x:c r="U409" s="37"/>
      <x:c r="V409" s="37"/>
      <x:c r="W409" s="70"/>
      <x:c r="X409"/>
      <x:c r="Y409"/>
      <x:c r="Z409"/>
      <x:c r="AA409"/>
    </x:row>
    <x:row r="410">
      <x:c r="A410" s="37"/>
      <x:c r="B410" s="37"/>
      <x:c r="C410" s="37"/>
      <x:c r="D410" s="37"/>
      <x:c r="E410" s="37"/>
      <x:c r="F410" s="37"/>
      <x:c r="G410" s="56"/>
      <x:c r="H410" s="37"/>
      <x:c r="I410" s="37"/>
      <x:c r="J410" s="37"/>
      <x:c r="K410" s="56"/>
      <x:c r="L410" s="37"/>
      <x:c r="M410" s="37"/>
      <x:c r="N410" s="57"/>
      <x:c r="O410" s="57"/>
      <x:c r="P410" s="57"/>
      <x:c r="Q410" s="57"/>
      <x:c r="R410" s="57"/>
      <x:c r="S410" s="37"/>
      <x:c r="T410" s="37"/>
      <x:c r="U410" s="37"/>
      <x:c r="V410" s="37"/>
      <x:c r="W410" s="70"/>
      <x:c r="X410"/>
      <x:c r="Y410"/>
      <x:c r="Z410"/>
      <x:c r="AA410"/>
    </x:row>
    <x:row r="411">
      <x:c r="A411" s="37"/>
      <x:c r="B411" s="37"/>
      <x:c r="C411" s="37"/>
      <x:c r="D411" s="37"/>
      <x:c r="E411" s="37"/>
      <x:c r="F411" s="37"/>
      <x:c r="G411" s="56"/>
      <x:c r="H411" s="37"/>
      <x:c r="I411" s="37"/>
      <x:c r="J411" s="37"/>
      <x:c r="K411" s="56"/>
      <x:c r="L411" s="37"/>
      <x:c r="M411" s="37"/>
      <x:c r="N411" s="57"/>
      <x:c r="O411" s="57"/>
      <x:c r="P411" s="57"/>
      <x:c r="Q411" s="57"/>
      <x:c r="R411" s="57"/>
      <x:c r="S411" s="37"/>
      <x:c r="T411" s="37"/>
      <x:c r="U411" s="37"/>
      <x:c r="V411" s="37"/>
      <x:c r="W411" s="70"/>
      <x:c r="X411"/>
      <x:c r="Y411"/>
      <x:c r="Z411"/>
      <x:c r="AA411"/>
    </x:row>
    <x:row r="412">
      <x:c r="A412" s="37"/>
      <x:c r="B412" s="37"/>
      <x:c r="C412" s="37"/>
      <x:c r="D412" s="37"/>
      <x:c r="E412" s="37"/>
      <x:c r="F412" s="37"/>
      <x:c r="G412" s="56"/>
      <x:c r="H412" s="37"/>
      <x:c r="I412" s="37"/>
      <x:c r="J412" s="37"/>
      <x:c r="K412" s="56"/>
      <x:c r="L412" s="37"/>
      <x:c r="M412" s="37"/>
      <x:c r="N412" s="57"/>
      <x:c r="O412" s="57"/>
      <x:c r="P412" s="57"/>
      <x:c r="Q412" s="57"/>
      <x:c r="R412" s="57"/>
      <x:c r="S412" s="37"/>
      <x:c r="T412" s="37"/>
      <x:c r="U412" s="37"/>
      <x:c r="V412" s="37"/>
      <x:c r="W412" s="70"/>
      <x:c r="X412"/>
      <x:c r="Y412"/>
      <x:c r="Z412"/>
      <x:c r="AA412"/>
    </x:row>
    <x:row r="413">
      <x:c r="A413" s="37"/>
      <x:c r="B413" s="37"/>
      <x:c r="C413" s="37"/>
      <x:c r="D413" s="37"/>
      <x:c r="E413" s="37"/>
      <x:c r="F413" s="37"/>
      <x:c r="G413" s="56"/>
      <x:c r="H413" s="37"/>
      <x:c r="I413" s="37"/>
      <x:c r="J413" s="37"/>
      <x:c r="K413" s="56"/>
      <x:c r="L413" s="37"/>
      <x:c r="M413" s="37"/>
      <x:c r="N413" s="57"/>
      <x:c r="O413" s="57"/>
      <x:c r="P413" s="57"/>
      <x:c r="Q413" s="57"/>
      <x:c r="R413" s="57"/>
      <x:c r="S413" s="37"/>
      <x:c r="T413" s="37"/>
      <x:c r="U413" s="37"/>
      <x:c r="V413" s="37"/>
      <x:c r="W413" s="70"/>
      <x:c r="X413"/>
      <x:c r="Y413"/>
      <x:c r="Z413"/>
      <x:c r="AA413"/>
    </x:row>
    <x:row r="414">
      <x:c r="A414" s="37"/>
      <x:c r="B414" s="37"/>
      <x:c r="C414" s="37"/>
      <x:c r="D414" s="37"/>
      <x:c r="E414" s="37"/>
      <x:c r="F414" s="37"/>
      <x:c r="G414" s="56"/>
      <x:c r="H414" s="37"/>
      <x:c r="I414" s="37"/>
      <x:c r="J414" s="37"/>
      <x:c r="K414" s="56"/>
      <x:c r="L414" s="37"/>
      <x:c r="M414" s="37"/>
      <x:c r="N414" s="57"/>
      <x:c r="O414" s="57"/>
      <x:c r="P414" s="57"/>
      <x:c r="Q414" s="57"/>
      <x:c r="R414" s="57"/>
      <x:c r="S414" s="37"/>
      <x:c r="T414" s="37"/>
      <x:c r="U414" s="37"/>
      <x:c r="V414" s="37"/>
      <x:c r="W414" s="70"/>
      <x:c r="X414"/>
      <x:c r="Y414"/>
      <x:c r="Z414"/>
      <x:c r="AA414"/>
    </x:row>
    <x:row r="415">
      <x:c r="A415" s="37"/>
      <x:c r="B415" s="37"/>
      <x:c r="C415" s="37"/>
      <x:c r="D415" s="37"/>
      <x:c r="E415" s="37"/>
      <x:c r="F415" s="37"/>
      <x:c r="G415" s="56"/>
      <x:c r="H415" s="37"/>
      <x:c r="I415" s="37"/>
      <x:c r="J415" s="37"/>
      <x:c r="K415" s="56"/>
      <x:c r="L415" s="37"/>
      <x:c r="M415" s="37"/>
      <x:c r="N415" s="57"/>
      <x:c r="O415" s="57"/>
      <x:c r="P415" s="57"/>
      <x:c r="Q415" s="57"/>
      <x:c r="R415" s="57"/>
      <x:c r="S415" s="37"/>
      <x:c r="T415" s="37"/>
      <x:c r="U415" s="37"/>
      <x:c r="V415" s="37"/>
      <x:c r="W415" s="70"/>
      <x:c r="X415"/>
      <x:c r="Y415"/>
      <x:c r="Z415"/>
      <x:c r="AA415"/>
    </x:row>
    <x:row r="416">
      <x:c r="A416" s="37"/>
      <x:c r="B416" s="37"/>
      <x:c r="C416" s="37"/>
      <x:c r="D416" s="37"/>
      <x:c r="E416" s="37"/>
      <x:c r="F416" s="37"/>
      <x:c r="G416" s="56"/>
      <x:c r="H416" s="37"/>
      <x:c r="I416" s="37"/>
      <x:c r="J416" s="37"/>
      <x:c r="K416" s="56"/>
      <x:c r="L416" s="37"/>
      <x:c r="M416" s="37"/>
      <x:c r="N416" s="57"/>
      <x:c r="O416" s="57"/>
      <x:c r="P416" s="57"/>
      <x:c r="Q416" s="57"/>
      <x:c r="R416" s="57"/>
      <x:c r="S416" s="37"/>
      <x:c r="T416" s="37"/>
      <x:c r="U416" s="37"/>
      <x:c r="V416" s="37"/>
      <x:c r="W416" s="70"/>
      <x:c r="X416"/>
      <x:c r="Y416"/>
      <x:c r="Z416"/>
      <x:c r="AA416"/>
    </x:row>
    <x:row r="417">
      <x:c r="A417" s="37"/>
      <x:c r="B417" s="37"/>
      <x:c r="C417" s="37"/>
      <x:c r="D417" s="37"/>
      <x:c r="E417" s="37"/>
      <x:c r="F417" s="37"/>
      <x:c r="G417" s="56"/>
      <x:c r="H417" s="37"/>
      <x:c r="I417" s="37"/>
      <x:c r="J417" s="37"/>
      <x:c r="K417" s="56"/>
      <x:c r="L417" s="37"/>
      <x:c r="M417" s="37"/>
      <x:c r="N417" s="57"/>
      <x:c r="O417" s="57"/>
      <x:c r="P417" s="57"/>
      <x:c r="Q417" s="57"/>
      <x:c r="R417" s="57"/>
      <x:c r="S417" s="37"/>
      <x:c r="T417" s="37"/>
      <x:c r="U417" s="37"/>
      <x:c r="V417" s="37"/>
      <x:c r="W417" s="70"/>
      <x:c r="X417"/>
      <x:c r="Y417"/>
      <x:c r="Z417"/>
      <x:c r="AA417"/>
    </x:row>
    <x:row r="418">
      <x:c r="A418" s="37"/>
      <x:c r="B418" s="37"/>
      <x:c r="C418" s="37"/>
      <x:c r="D418" s="37"/>
      <x:c r="E418" s="37"/>
      <x:c r="F418" s="37"/>
      <x:c r="G418" s="56"/>
      <x:c r="H418" s="37"/>
      <x:c r="I418" s="37"/>
      <x:c r="J418" s="37"/>
      <x:c r="K418" s="56"/>
      <x:c r="L418" s="37"/>
      <x:c r="M418" s="37"/>
      <x:c r="N418" s="57"/>
      <x:c r="O418" s="57"/>
      <x:c r="P418" s="57"/>
      <x:c r="Q418" s="57"/>
      <x:c r="R418" s="57"/>
      <x:c r="S418" s="37"/>
      <x:c r="T418" s="37"/>
      <x:c r="U418" s="37"/>
      <x:c r="V418" s="37"/>
      <x:c r="W418" s="70"/>
      <x:c r="X418"/>
      <x:c r="Y418"/>
      <x:c r="Z418"/>
      <x:c r="AA418"/>
    </x:row>
    <x:row r="419">
      <x:c r="A419" s="37"/>
      <x:c r="B419" s="37"/>
      <x:c r="C419" s="37"/>
      <x:c r="D419" s="37"/>
      <x:c r="E419" s="37"/>
      <x:c r="F419" s="37"/>
      <x:c r="G419" s="56"/>
      <x:c r="H419" s="37"/>
      <x:c r="I419" s="37"/>
      <x:c r="J419" s="37"/>
      <x:c r="K419" s="56"/>
      <x:c r="L419" s="37"/>
      <x:c r="M419" s="37"/>
      <x:c r="N419" s="57"/>
      <x:c r="O419" s="57"/>
      <x:c r="P419" s="57"/>
      <x:c r="Q419" s="57"/>
      <x:c r="R419" s="57"/>
      <x:c r="S419" s="37"/>
      <x:c r="T419" s="37"/>
      <x:c r="U419" s="37"/>
      <x:c r="V419" s="37"/>
      <x:c r="W419" s="70"/>
      <x:c r="X419"/>
      <x:c r="Y419"/>
      <x:c r="Z419"/>
      <x:c r="AA419"/>
    </x:row>
    <x:row r="420">
      <x:c r="A420" s="37"/>
      <x:c r="B420" s="37"/>
      <x:c r="C420" s="37"/>
      <x:c r="D420" s="37"/>
      <x:c r="E420" s="37"/>
      <x:c r="F420" s="37"/>
      <x:c r="G420" s="56"/>
      <x:c r="H420" s="37"/>
      <x:c r="I420" s="37"/>
      <x:c r="J420" s="37"/>
      <x:c r="K420" s="56"/>
      <x:c r="L420" s="37"/>
      <x:c r="M420" s="37"/>
      <x:c r="N420" s="57"/>
      <x:c r="O420" s="57"/>
      <x:c r="P420" s="57"/>
      <x:c r="Q420" s="57"/>
      <x:c r="R420" s="57"/>
      <x:c r="S420" s="37"/>
      <x:c r="T420" s="37"/>
      <x:c r="U420" s="37"/>
      <x:c r="V420" s="37"/>
      <x:c r="W420" s="70"/>
      <x:c r="X420"/>
      <x:c r="Y420"/>
      <x:c r="Z420"/>
      <x:c r="AA420"/>
    </x:row>
    <x:row r="421">
      <x:c r="A421" s="37"/>
      <x:c r="B421" s="37"/>
      <x:c r="C421" s="37"/>
      <x:c r="D421" s="37"/>
      <x:c r="E421" s="37"/>
      <x:c r="F421" s="37"/>
      <x:c r="G421" s="56"/>
      <x:c r="H421" s="37"/>
      <x:c r="I421" s="37"/>
      <x:c r="J421" s="37"/>
      <x:c r="K421" s="56"/>
      <x:c r="L421" s="37"/>
      <x:c r="M421" s="37"/>
      <x:c r="N421" s="57"/>
      <x:c r="O421" s="57"/>
      <x:c r="P421" s="57"/>
      <x:c r="Q421" s="57"/>
      <x:c r="R421" s="57"/>
      <x:c r="S421" s="37"/>
      <x:c r="T421" s="37"/>
      <x:c r="U421" s="37"/>
      <x:c r="V421" s="37"/>
      <x:c r="W421" s="70"/>
      <x:c r="X421"/>
      <x:c r="Y421"/>
      <x:c r="Z421"/>
      <x:c r="AA421"/>
    </x:row>
    <x:row r="422">
      <x:c r="A422" s="37"/>
      <x:c r="B422" s="37"/>
      <x:c r="C422" s="37"/>
      <x:c r="D422" s="37"/>
      <x:c r="E422" s="37"/>
      <x:c r="F422" s="37"/>
      <x:c r="G422" s="56"/>
      <x:c r="H422" s="37"/>
      <x:c r="I422" s="37"/>
      <x:c r="J422" s="37"/>
      <x:c r="K422" s="56"/>
      <x:c r="L422" s="37"/>
      <x:c r="M422" s="37"/>
      <x:c r="N422" s="57"/>
      <x:c r="O422" s="57"/>
      <x:c r="P422" s="57"/>
      <x:c r="Q422" s="57"/>
      <x:c r="R422" s="57"/>
      <x:c r="S422" s="37"/>
      <x:c r="T422" s="37"/>
      <x:c r="U422" s="37"/>
      <x:c r="V422" s="37"/>
      <x:c r="W422" s="70"/>
      <x:c r="X422"/>
      <x:c r="Y422"/>
      <x:c r="Z422"/>
      <x:c r="AA422"/>
    </x:row>
    <x:row r="423">
      <x:c r="A423" s="37"/>
      <x:c r="B423" s="37"/>
      <x:c r="C423" s="37"/>
      <x:c r="D423" s="37"/>
      <x:c r="E423" s="37"/>
      <x:c r="F423" s="37"/>
      <x:c r="G423" s="56"/>
      <x:c r="H423" s="37"/>
      <x:c r="I423" s="37"/>
      <x:c r="J423" s="37"/>
      <x:c r="K423" s="56"/>
      <x:c r="L423" s="37"/>
      <x:c r="M423" s="37"/>
      <x:c r="N423" s="57"/>
      <x:c r="O423" s="57"/>
      <x:c r="P423" s="57"/>
      <x:c r="Q423" s="57"/>
      <x:c r="R423" s="57"/>
      <x:c r="S423" s="37"/>
      <x:c r="T423" s="37"/>
      <x:c r="U423" s="37"/>
      <x:c r="V423" s="37"/>
      <x:c r="W423" s="70"/>
      <x:c r="X423"/>
      <x:c r="Y423"/>
      <x:c r="Z423"/>
      <x:c r="AA423"/>
    </x:row>
    <x:row r="424">
      <x:c r="A424" s="37"/>
      <x:c r="B424" s="37"/>
      <x:c r="C424" s="37"/>
      <x:c r="D424" s="37"/>
      <x:c r="E424" s="37"/>
      <x:c r="F424" s="37"/>
      <x:c r="G424" s="56"/>
      <x:c r="H424" s="37"/>
      <x:c r="I424" s="37"/>
      <x:c r="J424" s="37"/>
      <x:c r="K424" s="56"/>
      <x:c r="L424" s="37"/>
      <x:c r="M424" s="37"/>
      <x:c r="N424" s="57"/>
      <x:c r="O424" s="57"/>
      <x:c r="P424" s="57"/>
      <x:c r="Q424" s="57"/>
      <x:c r="R424" s="57"/>
      <x:c r="S424" s="37"/>
      <x:c r="T424" s="37"/>
      <x:c r="U424" s="37"/>
      <x:c r="V424" s="37"/>
      <x:c r="W424" s="70"/>
      <x:c r="X424"/>
      <x:c r="Y424"/>
      <x:c r="Z424"/>
      <x:c r="AA424"/>
    </x:row>
    <x:row r="425">
      <x:c r="A425" s="37"/>
      <x:c r="B425" s="37"/>
      <x:c r="C425" s="37"/>
      <x:c r="D425" s="37"/>
      <x:c r="E425" s="37"/>
      <x:c r="F425" s="37"/>
      <x:c r="G425" s="56"/>
      <x:c r="H425" s="37"/>
      <x:c r="I425" s="37"/>
      <x:c r="J425" s="37"/>
      <x:c r="K425" s="56"/>
      <x:c r="L425" s="37"/>
      <x:c r="M425" s="37"/>
      <x:c r="N425" s="57"/>
      <x:c r="O425" s="57"/>
      <x:c r="P425" s="57"/>
      <x:c r="Q425" s="57"/>
      <x:c r="R425" s="57"/>
      <x:c r="S425" s="37"/>
      <x:c r="T425" s="37"/>
      <x:c r="U425" s="37"/>
      <x:c r="V425" s="37"/>
      <x:c r="W425" s="70"/>
      <x:c r="X425"/>
      <x:c r="Y425"/>
      <x:c r="Z425"/>
      <x:c r="AA425"/>
    </x:row>
    <x:row r="426">
      <x:c r="A426" s="37"/>
      <x:c r="B426" s="37"/>
      <x:c r="C426" s="37"/>
      <x:c r="D426" s="37"/>
      <x:c r="E426" s="37"/>
      <x:c r="F426" s="37"/>
      <x:c r="G426" s="56"/>
      <x:c r="H426" s="37"/>
      <x:c r="I426" s="37"/>
      <x:c r="J426" s="37"/>
      <x:c r="K426" s="56"/>
      <x:c r="L426" s="37"/>
      <x:c r="M426" s="37"/>
      <x:c r="N426" s="57"/>
      <x:c r="O426" s="57"/>
      <x:c r="P426" s="57"/>
      <x:c r="Q426" s="57"/>
      <x:c r="R426" s="57"/>
      <x:c r="S426" s="37"/>
      <x:c r="T426" s="37"/>
      <x:c r="U426" s="37"/>
      <x:c r="V426" s="37"/>
      <x:c r="W426" s="70"/>
      <x:c r="X426"/>
      <x:c r="Y426"/>
      <x:c r="Z426"/>
      <x:c r="AA426"/>
    </x:row>
    <x:row r="427">
      <x:c r="A427" s="37"/>
      <x:c r="B427" s="37"/>
      <x:c r="C427" s="37"/>
      <x:c r="D427" s="37"/>
      <x:c r="E427" s="37"/>
      <x:c r="F427" s="37"/>
      <x:c r="G427" s="56"/>
      <x:c r="H427" s="37"/>
      <x:c r="I427" s="37"/>
      <x:c r="J427" s="37"/>
      <x:c r="K427" s="56"/>
      <x:c r="L427" s="37"/>
      <x:c r="M427" s="37"/>
      <x:c r="N427" s="57"/>
      <x:c r="O427" s="57"/>
      <x:c r="P427" s="57"/>
      <x:c r="Q427" s="57"/>
      <x:c r="R427" s="57"/>
      <x:c r="S427" s="37"/>
      <x:c r="T427" s="37"/>
      <x:c r="U427" s="37"/>
      <x:c r="V427" s="37"/>
      <x:c r="W427" s="70"/>
      <x:c r="X427"/>
      <x:c r="Y427"/>
      <x:c r="Z427"/>
      <x:c r="AA427"/>
    </x:row>
    <x:row r="428">
      <x:c r="A428" s="37"/>
      <x:c r="B428" s="37"/>
      <x:c r="C428" s="37"/>
      <x:c r="D428" s="37"/>
      <x:c r="E428" s="37"/>
      <x:c r="F428" s="37"/>
      <x:c r="G428" s="56"/>
      <x:c r="H428" s="37"/>
      <x:c r="I428" s="37"/>
      <x:c r="J428" s="37"/>
      <x:c r="K428" s="56"/>
      <x:c r="L428" s="37"/>
      <x:c r="M428" s="37"/>
      <x:c r="N428" s="57"/>
      <x:c r="O428" s="57"/>
      <x:c r="P428" s="57"/>
      <x:c r="Q428" s="57"/>
      <x:c r="R428" s="57"/>
      <x:c r="S428" s="37"/>
      <x:c r="T428" s="37"/>
      <x:c r="U428" s="37"/>
      <x:c r="V428" s="37"/>
      <x:c r="W428" s="70"/>
      <x:c r="X428"/>
      <x:c r="Y428"/>
      <x:c r="Z428"/>
      <x:c r="AA428"/>
    </x:row>
    <x:row r="429">
      <x:c r="A429" s="37"/>
      <x:c r="B429" s="37"/>
      <x:c r="C429" s="37"/>
      <x:c r="D429" s="37"/>
      <x:c r="E429" s="37"/>
      <x:c r="F429" s="37"/>
      <x:c r="G429" s="56"/>
      <x:c r="H429" s="37"/>
      <x:c r="I429" s="37"/>
      <x:c r="J429" s="37"/>
      <x:c r="K429" s="56"/>
      <x:c r="L429" s="37"/>
      <x:c r="M429" s="37"/>
      <x:c r="N429" s="57"/>
      <x:c r="O429" s="57"/>
      <x:c r="P429" s="57"/>
      <x:c r="Q429" s="57"/>
      <x:c r="R429" s="57"/>
      <x:c r="S429" s="37"/>
      <x:c r="T429" s="37"/>
      <x:c r="U429" s="37"/>
      <x:c r="V429" s="37"/>
      <x:c r="W429" s="70"/>
      <x:c r="X429"/>
      <x:c r="Y429"/>
      <x:c r="Z429"/>
      <x:c r="AA429"/>
    </x:row>
    <x:row r="430">
      <x:c r="A430" s="37"/>
      <x:c r="B430" s="37"/>
      <x:c r="C430" s="37"/>
      <x:c r="D430" s="37"/>
      <x:c r="E430" s="37"/>
      <x:c r="F430" s="37"/>
      <x:c r="G430" s="56"/>
      <x:c r="H430" s="37"/>
      <x:c r="I430" s="37"/>
      <x:c r="J430" s="37"/>
      <x:c r="K430" s="56"/>
      <x:c r="L430" s="37"/>
      <x:c r="M430" s="37"/>
      <x:c r="N430" s="57"/>
      <x:c r="O430" s="57"/>
      <x:c r="P430" s="57"/>
      <x:c r="Q430" s="57"/>
      <x:c r="R430" s="57"/>
      <x:c r="S430" s="37"/>
      <x:c r="T430" s="37"/>
      <x:c r="U430" s="37"/>
      <x:c r="V430" s="37"/>
      <x:c r="W430" s="70"/>
      <x:c r="X430"/>
      <x:c r="Y430"/>
      <x:c r="Z430"/>
      <x:c r="AA430"/>
    </x:row>
    <x:row r="431">
      <x:c r="A431" s="37"/>
      <x:c r="B431" s="37"/>
      <x:c r="C431" s="37"/>
      <x:c r="D431" s="37"/>
      <x:c r="E431" s="37"/>
      <x:c r="F431" s="37"/>
      <x:c r="G431" s="56"/>
      <x:c r="H431" s="37"/>
      <x:c r="I431" s="37"/>
      <x:c r="J431" s="37"/>
      <x:c r="K431" s="56"/>
      <x:c r="L431" s="37"/>
      <x:c r="M431" s="37"/>
      <x:c r="N431" s="57"/>
      <x:c r="O431" s="57"/>
      <x:c r="P431" s="57"/>
      <x:c r="Q431" s="57"/>
      <x:c r="R431" s="57"/>
      <x:c r="S431" s="37"/>
      <x:c r="T431" s="37"/>
      <x:c r="U431" s="37"/>
      <x:c r="V431" s="37"/>
      <x:c r="W431" s="70"/>
      <x:c r="X431"/>
      <x:c r="Y431"/>
      <x:c r="Z431"/>
      <x:c r="AA431"/>
    </x:row>
    <x:row r="432">
      <x:c r="A432" s="37"/>
      <x:c r="B432" s="37"/>
      <x:c r="C432" s="37"/>
      <x:c r="D432" s="37"/>
      <x:c r="E432" s="37"/>
      <x:c r="F432" s="37"/>
      <x:c r="G432" s="56"/>
      <x:c r="H432" s="37"/>
      <x:c r="I432" s="37"/>
      <x:c r="J432" s="37"/>
      <x:c r="K432" s="56"/>
      <x:c r="L432" s="37"/>
      <x:c r="M432" s="37"/>
      <x:c r="N432" s="57"/>
      <x:c r="O432" s="57"/>
      <x:c r="P432" s="57"/>
      <x:c r="Q432" s="57"/>
      <x:c r="R432" s="57"/>
      <x:c r="S432" s="37"/>
      <x:c r="T432" s="37"/>
      <x:c r="U432" s="37"/>
      <x:c r="V432" s="37"/>
      <x:c r="W432" s="70"/>
      <x:c r="X432"/>
      <x:c r="Y432"/>
      <x:c r="Z432"/>
      <x:c r="AA432"/>
    </x:row>
    <x:row r="433">
      <x:c r="A433" s="37"/>
      <x:c r="B433" s="37"/>
      <x:c r="C433" s="37"/>
      <x:c r="D433" s="37"/>
      <x:c r="E433" s="37"/>
      <x:c r="F433" s="37"/>
      <x:c r="G433" s="56"/>
      <x:c r="H433" s="37"/>
      <x:c r="I433" s="37"/>
      <x:c r="J433" s="37"/>
      <x:c r="K433" s="56"/>
      <x:c r="L433" s="37"/>
      <x:c r="M433" s="37"/>
      <x:c r="N433" s="57"/>
      <x:c r="O433" s="57"/>
      <x:c r="P433" s="57"/>
      <x:c r="Q433" s="57"/>
      <x:c r="R433" s="57"/>
      <x:c r="S433" s="37"/>
      <x:c r="T433" s="37"/>
      <x:c r="U433" s="37"/>
      <x:c r="V433" s="37"/>
      <x:c r="W433" s="70"/>
      <x:c r="X433"/>
      <x:c r="Y433"/>
      <x:c r="Z433"/>
      <x:c r="AA433"/>
    </x:row>
    <x:row r="434">
      <x:c r="A434" s="37"/>
      <x:c r="B434" s="37"/>
      <x:c r="C434" s="37"/>
      <x:c r="D434" s="37"/>
      <x:c r="E434" s="37"/>
      <x:c r="F434" s="37"/>
      <x:c r="G434" s="56"/>
      <x:c r="H434" s="37"/>
      <x:c r="I434" s="37"/>
      <x:c r="J434" s="37"/>
      <x:c r="K434" s="56"/>
      <x:c r="L434" s="37"/>
      <x:c r="M434" s="37"/>
      <x:c r="N434" s="57"/>
      <x:c r="O434" s="57"/>
      <x:c r="P434" s="57"/>
      <x:c r="Q434" s="57"/>
      <x:c r="R434" s="57"/>
      <x:c r="S434" s="37"/>
      <x:c r="T434" s="37"/>
      <x:c r="U434" s="37"/>
      <x:c r="V434" s="37"/>
      <x:c r="W434" s="70"/>
      <x:c r="X434"/>
      <x:c r="Y434"/>
      <x:c r="Z434"/>
      <x:c r="AA434"/>
    </x:row>
    <x:row r="435">
      <x:c r="A435" s="37"/>
      <x:c r="B435" s="37"/>
      <x:c r="C435" s="37"/>
      <x:c r="D435" s="37"/>
      <x:c r="E435" s="37"/>
      <x:c r="F435" s="37"/>
      <x:c r="G435" s="56"/>
      <x:c r="H435" s="37"/>
      <x:c r="I435" s="37"/>
      <x:c r="J435" s="37"/>
      <x:c r="K435" s="56"/>
      <x:c r="L435" s="37"/>
      <x:c r="M435" s="37"/>
      <x:c r="N435" s="57"/>
      <x:c r="O435" s="57"/>
      <x:c r="P435" s="57"/>
      <x:c r="Q435" s="57"/>
      <x:c r="R435" s="57"/>
      <x:c r="S435" s="37"/>
      <x:c r="T435" s="37"/>
      <x:c r="U435" s="37"/>
      <x:c r="V435" s="37"/>
      <x:c r="W435" s="70"/>
      <x:c r="X435"/>
      <x:c r="Y435"/>
      <x:c r="Z435"/>
      <x:c r="AA435"/>
    </x:row>
    <x:row r="436">
      <x:c r="A436" s="37"/>
      <x:c r="B436" s="37"/>
      <x:c r="C436" s="37"/>
      <x:c r="D436" s="37"/>
      <x:c r="E436" s="37"/>
      <x:c r="F436" s="37"/>
      <x:c r="G436" s="56"/>
      <x:c r="H436" s="37"/>
      <x:c r="I436" s="37"/>
      <x:c r="J436" s="37"/>
      <x:c r="K436" s="56"/>
      <x:c r="L436" s="37"/>
      <x:c r="M436" s="37"/>
      <x:c r="N436" s="57"/>
      <x:c r="O436" s="57"/>
      <x:c r="P436" s="57"/>
      <x:c r="Q436" s="57"/>
      <x:c r="R436" s="57"/>
      <x:c r="S436" s="37"/>
      <x:c r="T436" s="37"/>
      <x:c r="U436" s="37"/>
      <x:c r="V436" s="37"/>
      <x:c r="W436" s="70"/>
      <x:c r="X436"/>
      <x:c r="Y436"/>
      <x:c r="Z436"/>
      <x:c r="AA436"/>
    </x:row>
    <x:row r="437">
      <x:c r="A437" s="37"/>
      <x:c r="B437" s="37"/>
      <x:c r="C437" s="37"/>
      <x:c r="D437" s="37"/>
      <x:c r="E437" s="37"/>
      <x:c r="F437" s="37"/>
      <x:c r="G437" s="56"/>
      <x:c r="H437" s="37"/>
      <x:c r="I437" s="37"/>
      <x:c r="J437" s="37"/>
      <x:c r="K437" s="56"/>
      <x:c r="L437" s="37"/>
      <x:c r="M437" s="37"/>
      <x:c r="N437" s="57"/>
      <x:c r="O437" s="57"/>
      <x:c r="P437" s="57"/>
      <x:c r="Q437" s="57"/>
      <x:c r="R437" s="57"/>
      <x:c r="S437" s="37"/>
      <x:c r="T437" s="37"/>
      <x:c r="U437" s="37"/>
      <x:c r="V437" s="37"/>
      <x:c r="W437" s="70"/>
      <x:c r="X437"/>
      <x:c r="Y437"/>
      <x:c r="Z437"/>
      <x:c r="AA437"/>
    </x:row>
    <x:row r="438">
      <x:c r="A438" s="37"/>
      <x:c r="B438" s="37"/>
      <x:c r="C438" s="37"/>
      <x:c r="D438" s="37"/>
      <x:c r="E438" s="37"/>
      <x:c r="F438" s="37"/>
      <x:c r="G438" s="56"/>
      <x:c r="H438" s="37"/>
      <x:c r="I438" s="37"/>
      <x:c r="J438" s="37"/>
      <x:c r="K438" s="56"/>
      <x:c r="L438" s="37"/>
      <x:c r="M438" s="37"/>
      <x:c r="N438" s="57"/>
      <x:c r="O438" s="57"/>
      <x:c r="P438" s="57"/>
      <x:c r="Q438" s="57"/>
      <x:c r="R438" s="57"/>
      <x:c r="S438" s="37"/>
      <x:c r="T438" s="37"/>
      <x:c r="U438" s="37"/>
      <x:c r="V438" s="37"/>
      <x:c r="W438" s="70"/>
      <x:c r="X438"/>
      <x:c r="Y438"/>
      <x:c r="Z438"/>
      <x:c r="AA438"/>
    </x:row>
    <x:row r="439">
      <x:c r="A439" s="37"/>
      <x:c r="B439" s="37"/>
      <x:c r="C439" s="37"/>
      <x:c r="D439" s="37"/>
      <x:c r="E439" s="37"/>
      <x:c r="F439" s="37"/>
      <x:c r="G439" s="56"/>
      <x:c r="H439" s="37"/>
      <x:c r="I439" s="37"/>
      <x:c r="J439" s="37"/>
      <x:c r="K439" s="56"/>
      <x:c r="L439" s="37"/>
      <x:c r="M439" s="37"/>
      <x:c r="N439" s="57"/>
      <x:c r="O439" s="57"/>
      <x:c r="P439" s="57"/>
      <x:c r="Q439" s="57"/>
      <x:c r="R439" s="57"/>
      <x:c r="S439" s="37"/>
      <x:c r="T439" s="37"/>
      <x:c r="U439" s="37"/>
      <x:c r="V439" s="37"/>
      <x:c r="W439" s="70"/>
      <x:c r="X439"/>
      <x:c r="Y439"/>
      <x:c r="Z439"/>
      <x:c r="AA439"/>
    </x:row>
    <x:row r="440">
      <x:c r="A440" s="37"/>
      <x:c r="B440" s="37"/>
      <x:c r="C440" s="37"/>
      <x:c r="D440" s="37"/>
      <x:c r="E440" s="37"/>
      <x:c r="F440" s="37"/>
      <x:c r="G440" s="56"/>
      <x:c r="H440" s="37"/>
      <x:c r="I440" s="37"/>
      <x:c r="J440" s="37"/>
      <x:c r="K440" s="56"/>
      <x:c r="L440" s="37"/>
      <x:c r="M440" s="37"/>
      <x:c r="N440" s="57"/>
      <x:c r="O440" s="57"/>
      <x:c r="P440" s="57"/>
      <x:c r="Q440" s="57"/>
      <x:c r="R440" s="57"/>
      <x:c r="S440" s="37"/>
      <x:c r="T440" s="37"/>
      <x:c r="U440" s="37"/>
      <x:c r="V440" s="37"/>
      <x:c r="W440" s="70"/>
      <x:c r="X440"/>
      <x:c r="Y440"/>
      <x:c r="Z440"/>
      <x:c r="AA440"/>
    </x:row>
    <x:row r="441">
      <x:c r="A441" s="37"/>
      <x:c r="B441" s="37"/>
      <x:c r="C441" s="37"/>
      <x:c r="D441" s="37"/>
      <x:c r="E441" s="37"/>
      <x:c r="F441" s="37"/>
      <x:c r="G441" s="56"/>
      <x:c r="H441" s="37"/>
      <x:c r="I441" s="37"/>
      <x:c r="J441" s="37"/>
      <x:c r="K441" s="56"/>
      <x:c r="L441" s="37"/>
      <x:c r="M441" s="37"/>
      <x:c r="N441" s="57"/>
      <x:c r="O441" s="57"/>
      <x:c r="P441" s="57"/>
      <x:c r="Q441" s="57"/>
      <x:c r="R441" s="57"/>
      <x:c r="S441" s="37"/>
      <x:c r="T441" s="37"/>
      <x:c r="U441" s="37"/>
      <x:c r="V441" s="37"/>
      <x:c r="W441" s="70"/>
      <x:c r="X441"/>
      <x:c r="Y441"/>
      <x:c r="Z441"/>
      <x:c r="AA441"/>
    </x:row>
    <x:row r="442">
      <x:c r="A442" s="37"/>
      <x:c r="B442" s="37"/>
      <x:c r="C442" s="37"/>
      <x:c r="D442" s="37"/>
      <x:c r="E442" s="37"/>
      <x:c r="F442" s="37"/>
      <x:c r="G442" s="56"/>
      <x:c r="H442" s="37"/>
      <x:c r="I442" s="37"/>
      <x:c r="J442" s="37"/>
      <x:c r="K442" s="56"/>
      <x:c r="L442" s="37"/>
      <x:c r="M442" s="37"/>
      <x:c r="N442" s="57"/>
      <x:c r="O442" s="57"/>
      <x:c r="P442" s="57"/>
      <x:c r="Q442" s="57"/>
      <x:c r="R442" s="57"/>
      <x:c r="S442" s="37"/>
      <x:c r="T442" s="37"/>
      <x:c r="U442" s="37"/>
      <x:c r="V442" s="37"/>
      <x:c r="W442" s="70"/>
      <x:c r="X442"/>
      <x:c r="Y442"/>
      <x:c r="Z442"/>
      <x:c r="AA442"/>
    </x:row>
    <x:row r="443">
      <x:c r="A443" s="37"/>
      <x:c r="B443" s="37"/>
      <x:c r="C443" s="37"/>
      <x:c r="D443" s="37"/>
      <x:c r="E443" s="37"/>
      <x:c r="F443" s="37"/>
      <x:c r="G443" s="56"/>
      <x:c r="H443" s="37"/>
      <x:c r="I443" s="37"/>
      <x:c r="J443" s="37"/>
      <x:c r="K443" s="56"/>
      <x:c r="L443" s="37"/>
      <x:c r="M443" s="37"/>
      <x:c r="N443" s="57"/>
      <x:c r="O443" s="57"/>
      <x:c r="P443" s="57"/>
      <x:c r="Q443" s="57"/>
      <x:c r="R443" s="57"/>
      <x:c r="S443" s="37"/>
      <x:c r="T443" s="37"/>
      <x:c r="U443" s="37"/>
      <x:c r="V443" s="37"/>
      <x:c r="W443" s="70"/>
      <x:c r="X443"/>
      <x:c r="Y443"/>
      <x:c r="Z443"/>
      <x:c r="AA443"/>
    </x:row>
    <x:row r="444">
      <x:c r="A444" s="37"/>
      <x:c r="B444" s="37"/>
      <x:c r="C444" s="37"/>
      <x:c r="D444" s="37"/>
      <x:c r="E444" s="37"/>
      <x:c r="F444" s="37"/>
      <x:c r="G444" s="56"/>
      <x:c r="H444" s="37"/>
      <x:c r="I444" s="37"/>
      <x:c r="J444" s="37"/>
      <x:c r="K444" s="56"/>
      <x:c r="L444" s="37"/>
      <x:c r="M444" s="37"/>
      <x:c r="N444" s="57"/>
      <x:c r="O444" s="57"/>
      <x:c r="P444" s="57"/>
      <x:c r="Q444" s="57"/>
      <x:c r="R444" s="57"/>
      <x:c r="S444" s="37"/>
      <x:c r="T444" s="37"/>
      <x:c r="U444" s="37"/>
      <x:c r="V444" s="37"/>
      <x:c r="W444" s="70"/>
      <x:c r="X444"/>
      <x:c r="Y444"/>
      <x:c r="Z444"/>
      <x:c r="AA444"/>
    </x:row>
    <x:row r="445">
      <x:c r="A445" s="37"/>
      <x:c r="B445" s="37"/>
      <x:c r="C445" s="37"/>
      <x:c r="D445" s="37"/>
      <x:c r="E445" s="37"/>
      <x:c r="F445" s="37"/>
      <x:c r="G445" s="56"/>
      <x:c r="H445" s="37"/>
      <x:c r="I445" s="37"/>
      <x:c r="J445" s="37"/>
      <x:c r="K445" s="56"/>
      <x:c r="L445" s="37"/>
      <x:c r="M445" s="37"/>
      <x:c r="N445" s="57"/>
      <x:c r="O445" s="57"/>
      <x:c r="P445" s="57"/>
      <x:c r="Q445" s="57"/>
      <x:c r="R445" s="57"/>
      <x:c r="S445" s="37"/>
      <x:c r="T445" s="37"/>
      <x:c r="U445" s="37"/>
      <x:c r="V445" s="37"/>
      <x:c r="W445" s="70"/>
      <x:c r="X445"/>
      <x:c r="Y445"/>
      <x:c r="Z445"/>
      <x:c r="AA445"/>
    </x:row>
    <x:row r="446">
      <x:c r="A446" s="37"/>
      <x:c r="B446" s="37"/>
      <x:c r="C446" s="37"/>
      <x:c r="D446" s="37"/>
      <x:c r="E446" s="37"/>
      <x:c r="F446" s="37"/>
      <x:c r="G446" s="56"/>
      <x:c r="H446" s="37"/>
      <x:c r="I446" s="37"/>
      <x:c r="J446" s="37"/>
      <x:c r="K446" s="56"/>
      <x:c r="L446" s="37"/>
      <x:c r="M446" s="37"/>
      <x:c r="N446" s="57"/>
      <x:c r="O446" s="57"/>
      <x:c r="P446" s="57"/>
      <x:c r="Q446" s="57"/>
      <x:c r="R446" s="57"/>
      <x:c r="S446" s="37"/>
      <x:c r="T446" s="37"/>
      <x:c r="U446" s="37"/>
      <x:c r="V446" s="37"/>
      <x:c r="W446" s="70"/>
      <x:c r="X446"/>
      <x:c r="Y446"/>
      <x:c r="Z446"/>
      <x:c r="AA446"/>
    </x:row>
    <x:row r="447">
      <x:c r="A447" s="37"/>
      <x:c r="B447" s="37"/>
      <x:c r="C447" s="37"/>
      <x:c r="D447" s="37"/>
      <x:c r="E447" s="37"/>
      <x:c r="F447" s="37"/>
      <x:c r="G447" s="56"/>
      <x:c r="H447" s="37"/>
      <x:c r="I447" s="37"/>
      <x:c r="J447" s="37"/>
      <x:c r="K447" s="56"/>
      <x:c r="L447" s="37"/>
      <x:c r="M447" s="37"/>
      <x:c r="N447" s="57"/>
      <x:c r="O447" s="57"/>
      <x:c r="P447" s="57"/>
      <x:c r="Q447" s="57"/>
      <x:c r="R447" s="57"/>
      <x:c r="S447" s="37"/>
      <x:c r="T447" s="37"/>
      <x:c r="U447" s="37"/>
      <x:c r="V447" s="37"/>
      <x:c r="W447" s="70"/>
      <x:c r="X447"/>
      <x:c r="Y447"/>
      <x:c r="Z447"/>
      <x:c r="AA447"/>
    </x:row>
    <x:row r="448">
      <x:c r="A448" s="37"/>
      <x:c r="B448" s="37"/>
      <x:c r="C448" s="37"/>
      <x:c r="D448" s="37"/>
      <x:c r="E448" s="37"/>
      <x:c r="F448" s="37"/>
      <x:c r="G448" s="56"/>
      <x:c r="H448" s="37"/>
      <x:c r="I448" s="37"/>
      <x:c r="J448" s="37"/>
      <x:c r="K448" s="56"/>
      <x:c r="L448" s="37"/>
      <x:c r="M448" s="37"/>
      <x:c r="N448" s="57"/>
      <x:c r="O448" s="57"/>
      <x:c r="P448" s="57"/>
      <x:c r="Q448" s="57"/>
      <x:c r="R448" s="57"/>
      <x:c r="S448" s="37"/>
      <x:c r="T448" s="37"/>
      <x:c r="U448" s="37"/>
      <x:c r="V448" s="37"/>
      <x:c r="W448" s="70"/>
      <x:c r="X448"/>
      <x:c r="Y448"/>
      <x:c r="Z448"/>
      <x:c r="AA448"/>
    </x:row>
    <x:row r="449">
      <x:c r="A449" s="37"/>
      <x:c r="B449" s="37"/>
      <x:c r="C449" s="37"/>
      <x:c r="D449" s="37"/>
      <x:c r="E449" s="37"/>
      <x:c r="F449" s="37"/>
      <x:c r="G449" s="56"/>
      <x:c r="H449" s="37"/>
      <x:c r="I449" s="37"/>
      <x:c r="J449" s="37"/>
      <x:c r="K449" s="56"/>
      <x:c r="L449" s="37"/>
      <x:c r="M449" s="37"/>
      <x:c r="N449" s="57"/>
      <x:c r="O449" s="57"/>
      <x:c r="P449" s="57"/>
      <x:c r="Q449" s="57"/>
      <x:c r="R449" s="57"/>
      <x:c r="S449" s="37"/>
      <x:c r="T449" s="37"/>
      <x:c r="U449" s="37"/>
      <x:c r="V449" s="37"/>
      <x:c r="W449" s="70"/>
      <x:c r="X449"/>
      <x:c r="Y449"/>
      <x:c r="Z449"/>
      <x:c r="AA449"/>
    </x:row>
    <x:row r="450">
      <x:c r="A450" s="37"/>
      <x:c r="B450" s="37"/>
      <x:c r="C450" s="37"/>
      <x:c r="D450" s="37"/>
      <x:c r="E450" s="37"/>
      <x:c r="F450" s="37"/>
      <x:c r="G450" s="56"/>
      <x:c r="H450" s="37"/>
      <x:c r="I450" s="37"/>
      <x:c r="J450" s="37"/>
      <x:c r="K450" s="56"/>
      <x:c r="L450" s="37"/>
      <x:c r="M450" s="37"/>
      <x:c r="N450" s="57"/>
      <x:c r="O450" s="57"/>
      <x:c r="P450" s="57"/>
      <x:c r="Q450" s="57"/>
      <x:c r="R450" s="57"/>
      <x:c r="S450" s="37"/>
      <x:c r="T450" s="37"/>
      <x:c r="U450" s="37"/>
      <x:c r="V450" s="37"/>
      <x:c r="W450" s="70"/>
      <x:c r="X450"/>
      <x:c r="Y450"/>
      <x:c r="Z450"/>
      <x:c r="AA450"/>
    </x:row>
    <x:row r="451">
      <x:c r="A451" s="37"/>
      <x:c r="B451" s="37"/>
      <x:c r="C451" s="37"/>
      <x:c r="D451" s="37"/>
      <x:c r="E451" s="37"/>
      <x:c r="F451" s="37"/>
      <x:c r="G451" s="56"/>
      <x:c r="H451" s="37"/>
      <x:c r="I451" s="37"/>
      <x:c r="J451" s="37"/>
      <x:c r="K451" s="56"/>
      <x:c r="L451" s="37"/>
      <x:c r="M451" s="37"/>
      <x:c r="N451" s="57"/>
      <x:c r="O451" s="57"/>
      <x:c r="P451" s="57"/>
      <x:c r="Q451" s="57"/>
      <x:c r="R451" s="57"/>
      <x:c r="S451" s="37"/>
      <x:c r="T451" s="37"/>
      <x:c r="U451" s="37"/>
      <x:c r="V451" s="37"/>
      <x:c r="W451" s="70"/>
      <x:c r="X451"/>
      <x:c r="Y451"/>
      <x:c r="Z451"/>
      <x:c r="AA451"/>
    </x:row>
    <x:row r="452">
      <x:c r="A452" s="37"/>
      <x:c r="B452" s="37"/>
      <x:c r="C452" s="37"/>
      <x:c r="D452" s="37"/>
      <x:c r="E452" s="37"/>
      <x:c r="F452" s="37"/>
      <x:c r="G452" s="56"/>
      <x:c r="H452" s="37"/>
      <x:c r="I452" s="37"/>
      <x:c r="J452" s="37"/>
      <x:c r="K452" s="56"/>
      <x:c r="L452" s="37"/>
      <x:c r="M452" s="37"/>
      <x:c r="N452" s="57"/>
      <x:c r="O452" s="57"/>
      <x:c r="P452" s="57"/>
      <x:c r="Q452" s="57"/>
      <x:c r="R452" s="57"/>
      <x:c r="S452" s="37"/>
      <x:c r="T452" s="37"/>
      <x:c r="U452" s="37"/>
      <x:c r="V452" s="37"/>
      <x:c r="W452" s="70"/>
      <x:c r="X452"/>
      <x:c r="Y452"/>
      <x:c r="Z452"/>
      <x:c r="AA452"/>
    </x:row>
    <x:row r="453">
      <x:c r="A453" s="37"/>
      <x:c r="B453" s="37"/>
      <x:c r="C453" s="37"/>
      <x:c r="D453" s="37"/>
      <x:c r="E453" s="37"/>
      <x:c r="F453" s="37"/>
      <x:c r="G453" s="56"/>
      <x:c r="H453" s="37"/>
      <x:c r="I453" s="37"/>
      <x:c r="J453" s="37"/>
      <x:c r="K453" s="56"/>
      <x:c r="L453" s="37"/>
      <x:c r="M453" s="37"/>
      <x:c r="N453" s="57"/>
      <x:c r="O453" s="57"/>
      <x:c r="P453" s="57"/>
      <x:c r="Q453" s="57"/>
      <x:c r="R453" s="57"/>
      <x:c r="S453" s="37"/>
      <x:c r="T453" s="37"/>
      <x:c r="U453" s="37"/>
      <x:c r="V453" s="37"/>
      <x:c r="W453" s="70"/>
      <x:c r="X453"/>
      <x:c r="Y453"/>
      <x:c r="Z453"/>
      <x:c r="AA453"/>
    </x:row>
    <x:row r="454">
      <x:c r="A454" s="37"/>
      <x:c r="B454" s="37"/>
      <x:c r="C454" s="37"/>
      <x:c r="D454" s="37"/>
      <x:c r="E454" s="37"/>
      <x:c r="F454" s="37"/>
      <x:c r="G454" s="56"/>
      <x:c r="H454" s="37"/>
      <x:c r="I454" s="37"/>
      <x:c r="J454" s="37"/>
      <x:c r="K454" s="56"/>
      <x:c r="L454" s="37"/>
      <x:c r="M454" s="37"/>
      <x:c r="N454" s="57"/>
      <x:c r="O454" s="57"/>
      <x:c r="P454" s="57"/>
      <x:c r="Q454" s="57"/>
      <x:c r="R454" s="57"/>
      <x:c r="S454" s="37"/>
      <x:c r="T454" s="37"/>
      <x:c r="U454" s="37"/>
      <x:c r="V454" s="37"/>
      <x:c r="W454" s="70"/>
      <x:c r="X454"/>
      <x:c r="Y454"/>
      <x:c r="Z454"/>
      <x:c r="AA454"/>
    </x:row>
    <x:row r="455">
      <x:c r="A455" s="37"/>
      <x:c r="B455" s="37"/>
      <x:c r="C455" s="37"/>
      <x:c r="D455" s="37"/>
      <x:c r="E455" s="37"/>
      <x:c r="F455" s="37"/>
      <x:c r="G455" s="56"/>
      <x:c r="H455" s="37"/>
      <x:c r="I455" s="37"/>
      <x:c r="J455" s="37"/>
      <x:c r="K455" s="56"/>
      <x:c r="L455" s="37"/>
      <x:c r="M455" s="37"/>
      <x:c r="N455" s="57"/>
      <x:c r="O455" s="57"/>
      <x:c r="P455" s="57"/>
      <x:c r="Q455" s="57"/>
      <x:c r="R455" s="57"/>
      <x:c r="S455" s="37"/>
      <x:c r="T455" s="37"/>
      <x:c r="U455" s="37"/>
      <x:c r="V455" s="37"/>
      <x:c r="W455" s="70"/>
      <x:c r="X455"/>
      <x:c r="Y455"/>
      <x:c r="Z455"/>
      <x:c r="AA455"/>
    </x:row>
    <x:row r="456">
      <x:c r="A456" s="37"/>
      <x:c r="B456" s="37"/>
      <x:c r="C456" s="37"/>
      <x:c r="D456" s="37"/>
      <x:c r="E456" s="37"/>
      <x:c r="F456" s="37"/>
      <x:c r="G456" s="56"/>
      <x:c r="H456" s="37"/>
      <x:c r="I456" s="37"/>
      <x:c r="J456" s="37"/>
      <x:c r="K456" s="56"/>
      <x:c r="L456" s="37"/>
      <x:c r="M456" s="37"/>
      <x:c r="N456" s="57"/>
      <x:c r="O456" s="57"/>
      <x:c r="P456" s="57"/>
      <x:c r="Q456" s="57"/>
      <x:c r="R456" s="57"/>
      <x:c r="S456" s="37"/>
      <x:c r="T456" s="37"/>
      <x:c r="U456" s="37"/>
      <x:c r="V456" s="37"/>
      <x:c r="W456" s="70"/>
      <x:c r="X456"/>
      <x:c r="Y456"/>
      <x:c r="Z456"/>
      <x:c r="AA456"/>
    </x:row>
    <x:row r="457">
      <x:c r="A457" s="37"/>
      <x:c r="B457" s="37"/>
      <x:c r="C457" s="37"/>
      <x:c r="D457" s="37"/>
      <x:c r="E457" s="37"/>
      <x:c r="F457" s="37"/>
      <x:c r="G457" s="56"/>
      <x:c r="H457" s="37"/>
      <x:c r="I457" s="37"/>
      <x:c r="J457" s="37"/>
      <x:c r="K457" s="56"/>
      <x:c r="L457" s="37"/>
      <x:c r="M457" s="37"/>
      <x:c r="N457" s="57"/>
      <x:c r="O457" s="57"/>
      <x:c r="P457" s="57"/>
      <x:c r="Q457" s="57"/>
      <x:c r="R457" s="57"/>
      <x:c r="S457" s="37"/>
      <x:c r="T457" s="37"/>
      <x:c r="U457" s="37"/>
      <x:c r="V457" s="37"/>
      <x:c r="W457" s="70"/>
      <x:c r="X457"/>
      <x:c r="Y457"/>
      <x:c r="Z457"/>
      <x:c r="AA457"/>
    </x:row>
    <x:row r="458">
      <x:c r="A458" s="37"/>
      <x:c r="B458" s="37"/>
      <x:c r="C458" s="37"/>
      <x:c r="D458" s="37"/>
      <x:c r="E458" s="37"/>
      <x:c r="F458" s="37"/>
      <x:c r="G458" s="56"/>
      <x:c r="H458" s="37"/>
      <x:c r="I458" s="37"/>
      <x:c r="J458" s="37"/>
      <x:c r="K458" s="56"/>
      <x:c r="L458" s="37"/>
      <x:c r="M458" s="37"/>
      <x:c r="N458" s="57"/>
      <x:c r="O458" s="57"/>
      <x:c r="P458" s="57"/>
      <x:c r="Q458" s="57"/>
      <x:c r="R458" s="57"/>
      <x:c r="S458" s="37"/>
      <x:c r="T458" s="37"/>
      <x:c r="U458" s="37"/>
      <x:c r="V458" s="37"/>
      <x:c r="W458" s="70"/>
      <x:c r="X458"/>
      <x:c r="Y458"/>
      <x:c r="Z458"/>
      <x:c r="AA458"/>
    </x:row>
    <x:row r="459">
      <x:c r="A459" s="37"/>
      <x:c r="B459" s="37"/>
      <x:c r="C459" s="37"/>
      <x:c r="D459" s="37"/>
      <x:c r="E459" s="37"/>
      <x:c r="F459" s="37"/>
      <x:c r="G459" s="56"/>
      <x:c r="H459" s="37"/>
      <x:c r="I459" s="37"/>
      <x:c r="J459" s="37"/>
      <x:c r="K459" s="56"/>
      <x:c r="L459" s="37"/>
      <x:c r="M459" s="37"/>
      <x:c r="N459" s="57"/>
      <x:c r="O459" s="57"/>
      <x:c r="P459" s="57"/>
      <x:c r="Q459" s="57"/>
      <x:c r="R459" s="57"/>
      <x:c r="S459" s="37"/>
      <x:c r="T459" s="37"/>
      <x:c r="U459" s="37"/>
      <x:c r="V459" s="37"/>
      <x:c r="W459" s="70"/>
      <x:c r="X459"/>
      <x:c r="Y459"/>
      <x:c r="Z459"/>
      <x:c r="AA459"/>
    </x:row>
    <x:row r="460">
      <x:c r="A460" s="37"/>
      <x:c r="B460" s="37"/>
      <x:c r="C460" s="37"/>
      <x:c r="D460" s="37"/>
      <x:c r="E460" s="37"/>
      <x:c r="F460" s="37"/>
      <x:c r="G460" s="56"/>
      <x:c r="H460" s="37"/>
      <x:c r="I460" s="37"/>
      <x:c r="J460" s="37"/>
      <x:c r="K460" s="56"/>
      <x:c r="L460" s="37"/>
      <x:c r="M460" s="37"/>
      <x:c r="N460" s="57"/>
      <x:c r="O460" s="57"/>
      <x:c r="P460" s="57"/>
      <x:c r="Q460" s="57"/>
      <x:c r="R460" s="57"/>
      <x:c r="S460" s="37"/>
      <x:c r="T460" s="37"/>
      <x:c r="U460" s="37"/>
      <x:c r="V460" s="37"/>
      <x:c r="W460" s="70"/>
      <x:c r="X460"/>
      <x:c r="Y460"/>
      <x:c r="Z460"/>
      <x:c r="AA460"/>
    </x:row>
    <x:row r="461">
      <x:c r="A461" s="37"/>
      <x:c r="B461" s="37"/>
      <x:c r="C461" s="37"/>
      <x:c r="D461" s="37"/>
      <x:c r="E461" s="37"/>
      <x:c r="F461" s="37"/>
      <x:c r="G461" s="56"/>
      <x:c r="H461" s="37"/>
      <x:c r="I461" s="37"/>
      <x:c r="J461" s="37"/>
      <x:c r="K461" s="56"/>
      <x:c r="L461" s="37"/>
      <x:c r="M461" s="37"/>
      <x:c r="N461" s="57"/>
      <x:c r="O461" s="57"/>
      <x:c r="P461" s="57"/>
      <x:c r="Q461" s="57"/>
      <x:c r="R461" s="57"/>
      <x:c r="S461" s="37"/>
      <x:c r="T461" s="37"/>
      <x:c r="U461" s="37"/>
      <x:c r="V461" s="37"/>
      <x:c r="W461" s="70"/>
      <x:c r="X461"/>
      <x:c r="Y461"/>
      <x:c r="Z461"/>
      <x:c r="AA461"/>
    </x:row>
    <x:row r="462">
      <x:c r="A462" s="37"/>
      <x:c r="B462" s="37"/>
      <x:c r="C462" s="37"/>
      <x:c r="D462" s="37"/>
      <x:c r="E462" s="37"/>
      <x:c r="F462" s="37"/>
      <x:c r="G462" s="56"/>
      <x:c r="H462" s="37"/>
      <x:c r="I462" s="37"/>
      <x:c r="J462" s="37"/>
      <x:c r="K462" s="56"/>
      <x:c r="L462" s="37"/>
      <x:c r="M462" s="37"/>
      <x:c r="N462" s="57"/>
      <x:c r="O462" s="57"/>
      <x:c r="P462" s="57"/>
      <x:c r="Q462" s="57"/>
      <x:c r="R462" s="57"/>
      <x:c r="S462" s="37"/>
      <x:c r="T462" s="37"/>
      <x:c r="U462" s="37"/>
      <x:c r="V462" s="37"/>
      <x:c r="W462" s="70"/>
      <x:c r="X462"/>
      <x:c r="Y462"/>
      <x:c r="Z462"/>
      <x:c r="AA462"/>
    </x:row>
    <x:row r="463">
      <x:c r="A463" s="37"/>
      <x:c r="B463" s="37"/>
      <x:c r="C463" s="37"/>
      <x:c r="D463" s="37"/>
      <x:c r="E463" s="37"/>
      <x:c r="F463" s="37"/>
      <x:c r="G463" s="56"/>
      <x:c r="H463" s="37"/>
      <x:c r="I463" s="37"/>
      <x:c r="J463" s="37"/>
      <x:c r="K463" s="56"/>
      <x:c r="L463" s="37"/>
      <x:c r="M463" s="37"/>
      <x:c r="N463" s="57"/>
      <x:c r="O463" s="57"/>
      <x:c r="P463" s="57"/>
      <x:c r="Q463" s="57"/>
      <x:c r="R463" s="57"/>
      <x:c r="S463" s="37"/>
      <x:c r="T463" s="37"/>
      <x:c r="U463" s="37"/>
      <x:c r="V463" s="37"/>
      <x:c r="W463" s="70"/>
      <x:c r="X463"/>
      <x:c r="Y463"/>
      <x:c r="Z463"/>
      <x:c r="AA463"/>
    </x:row>
    <x:row r="464">
      <x:c r="A464" s="37"/>
      <x:c r="B464" s="37"/>
      <x:c r="C464" s="37"/>
      <x:c r="D464" s="37"/>
      <x:c r="E464" s="37"/>
      <x:c r="F464" s="37"/>
      <x:c r="G464" s="56"/>
      <x:c r="H464" s="37"/>
      <x:c r="I464" s="37"/>
      <x:c r="J464" s="37"/>
      <x:c r="K464" s="56"/>
      <x:c r="L464" s="37"/>
      <x:c r="M464" s="37"/>
      <x:c r="N464" s="57"/>
      <x:c r="O464" s="57"/>
      <x:c r="P464" s="57"/>
      <x:c r="Q464" s="57"/>
      <x:c r="R464" s="57"/>
      <x:c r="S464" s="37"/>
      <x:c r="T464" s="37"/>
      <x:c r="U464" s="37"/>
      <x:c r="V464" s="37"/>
      <x:c r="W464" s="70"/>
      <x:c r="X464"/>
      <x:c r="Y464"/>
      <x:c r="Z464"/>
      <x:c r="AA464"/>
    </x:row>
    <x:row r="465">
      <x:c r="A465" s="37"/>
      <x:c r="B465" s="37"/>
      <x:c r="C465" s="37"/>
      <x:c r="D465" s="37"/>
      <x:c r="E465" s="37"/>
      <x:c r="F465" s="37"/>
      <x:c r="G465" s="56"/>
      <x:c r="H465" s="37"/>
      <x:c r="I465" s="37"/>
      <x:c r="J465" s="37"/>
      <x:c r="K465" s="56"/>
      <x:c r="L465" s="37"/>
      <x:c r="M465" s="37"/>
      <x:c r="N465" s="57"/>
      <x:c r="O465" s="57"/>
      <x:c r="P465" s="57"/>
      <x:c r="Q465" s="57"/>
      <x:c r="R465" s="57"/>
      <x:c r="S465" s="37"/>
      <x:c r="T465" s="37"/>
      <x:c r="U465" s="37"/>
      <x:c r="V465" s="37"/>
      <x:c r="W465" s="70"/>
      <x:c r="X465"/>
      <x:c r="Y465"/>
      <x:c r="Z465"/>
      <x:c r="AA465"/>
    </x:row>
    <x:row r="466">
      <x:c r="A466" s="37"/>
      <x:c r="B466" s="37"/>
      <x:c r="C466" s="37"/>
      <x:c r="D466" s="37"/>
      <x:c r="E466" s="37"/>
      <x:c r="F466" s="37"/>
      <x:c r="G466" s="56"/>
      <x:c r="H466" s="37"/>
      <x:c r="I466" s="37"/>
      <x:c r="J466" s="37"/>
      <x:c r="K466" s="56"/>
      <x:c r="L466" s="37"/>
      <x:c r="M466" s="37"/>
      <x:c r="N466" s="57"/>
      <x:c r="O466" s="57"/>
      <x:c r="P466" s="57"/>
      <x:c r="Q466" s="57"/>
      <x:c r="R466" s="57"/>
      <x:c r="S466" s="37"/>
      <x:c r="T466" s="37"/>
      <x:c r="U466" s="37"/>
      <x:c r="V466" s="37"/>
      <x:c r="W466" s="70"/>
      <x:c r="X466"/>
      <x:c r="Y466"/>
      <x:c r="Z466"/>
      <x:c r="AA466"/>
    </x:row>
    <x:row r="467">
      <x:c r="A467" s="37"/>
      <x:c r="B467" s="37"/>
      <x:c r="C467" s="37"/>
      <x:c r="D467" s="37"/>
      <x:c r="E467" s="37"/>
      <x:c r="F467" s="37"/>
      <x:c r="G467" s="56"/>
      <x:c r="H467" s="37"/>
      <x:c r="I467" s="37"/>
      <x:c r="J467" s="37"/>
      <x:c r="K467" s="56"/>
      <x:c r="L467" s="37"/>
      <x:c r="M467" s="37"/>
      <x:c r="N467" s="57"/>
      <x:c r="O467" s="57"/>
      <x:c r="P467" s="57"/>
      <x:c r="Q467" s="57"/>
      <x:c r="R467" s="57"/>
      <x:c r="S467" s="37"/>
      <x:c r="T467" s="37"/>
      <x:c r="U467" s="37"/>
      <x:c r="V467" s="37"/>
      <x:c r="W467" s="70"/>
      <x:c r="X467"/>
      <x:c r="Y467"/>
      <x:c r="Z467"/>
      <x:c r="AA467"/>
    </x:row>
    <x:row r="468">
      <x:c r="A468" s="37"/>
      <x:c r="B468" s="37"/>
      <x:c r="C468" s="37"/>
      <x:c r="D468" s="37"/>
      <x:c r="E468" s="37"/>
      <x:c r="F468" s="37"/>
      <x:c r="G468" s="56"/>
      <x:c r="H468" s="37"/>
      <x:c r="I468" s="37"/>
      <x:c r="J468" s="37"/>
      <x:c r="K468" s="56"/>
      <x:c r="L468" s="37"/>
      <x:c r="M468" s="37"/>
      <x:c r="N468" s="57"/>
      <x:c r="O468" s="57"/>
      <x:c r="P468" s="57"/>
      <x:c r="Q468" s="57"/>
      <x:c r="R468" s="57"/>
      <x:c r="S468" s="37"/>
      <x:c r="T468" s="37"/>
      <x:c r="U468" s="37"/>
      <x:c r="V468" s="37"/>
      <x:c r="W468" s="70"/>
      <x:c r="X468"/>
      <x:c r="Y468"/>
      <x:c r="Z468"/>
      <x:c r="AA468"/>
    </x:row>
    <x:row r="469">
      <x:c r="A469" s="37"/>
      <x:c r="B469" s="37"/>
      <x:c r="C469" s="37"/>
      <x:c r="D469" s="37"/>
      <x:c r="E469" s="37"/>
      <x:c r="F469" s="37"/>
      <x:c r="G469" s="56"/>
      <x:c r="H469" s="37"/>
      <x:c r="I469" s="37"/>
      <x:c r="J469" s="37"/>
      <x:c r="K469" s="56"/>
      <x:c r="L469" s="37"/>
      <x:c r="M469" s="37"/>
      <x:c r="N469" s="57"/>
      <x:c r="O469" s="57"/>
      <x:c r="P469" s="57"/>
      <x:c r="Q469" s="57"/>
      <x:c r="R469" s="57"/>
      <x:c r="S469" s="37"/>
      <x:c r="T469" s="37"/>
      <x:c r="U469" s="37"/>
      <x:c r="V469" s="37"/>
      <x:c r="W469" s="70"/>
      <x:c r="X469"/>
      <x:c r="Y469"/>
      <x:c r="Z469"/>
      <x:c r="AA469"/>
    </x:row>
    <x:row r="470">
      <x:c r="A470" s="37"/>
      <x:c r="B470" s="37"/>
      <x:c r="C470" s="37"/>
      <x:c r="D470" s="37"/>
      <x:c r="E470" s="37"/>
      <x:c r="F470" s="37"/>
      <x:c r="G470" s="56"/>
      <x:c r="H470" s="37"/>
      <x:c r="I470" s="37"/>
      <x:c r="J470" s="37"/>
      <x:c r="K470" s="56"/>
      <x:c r="L470" s="37"/>
      <x:c r="M470" s="37"/>
      <x:c r="N470" s="57"/>
      <x:c r="O470" s="57"/>
      <x:c r="P470" s="57"/>
      <x:c r="Q470" s="57"/>
      <x:c r="R470" s="57"/>
      <x:c r="S470" s="37"/>
      <x:c r="T470" s="37"/>
      <x:c r="U470" s="37"/>
      <x:c r="V470" s="37"/>
      <x:c r="W470" s="70"/>
      <x:c r="X470"/>
      <x:c r="Y470"/>
      <x:c r="Z470"/>
      <x:c r="AA470"/>
    </x:row>
    <x:row r="471">
      <x:c r="A471" s="37"/>
      <x:c r="B471" s="37"/>
      <x:c r="C471" s="37"/>
      <x:c r="D471" s="37"/>
      <x:c r="E471" s="37"/>
      <x:c r="F471" s="37"/>
      <x:c r="G471" s="56"/>
      <x:c r="H471" s="37"/>
      <x:c r="I471" s="37"/>
      <x:c r="J471" s="37"/>
      <x:c r="K471" s="56"/>
      <x:c r="L471" s="37"/>
      <x:c r="M471" s="37"/>
      <x:c r="N471" s="57"/>
      <x:c r="O471" s="57"/>
      <x:c r="P471" s="57"/>
      <x:c r="Q471" s="57"/>
      <x:c r="R471" s="57"/>
      <x:c r="S471" s="37"/>
      <x:c r="T471" s="37"/>
      <x:c r="U471" s="37"/>
      <x:c r="V471" s="37"/>
      <x:c r="W471" s="70"/>
      <x:c r="X471"/>
      <x:c r="Y471"/>
      <x:c r="Z471"/>
      <x:c r="AA471"/>
    </x:row>
    <x:row r="472">
      <x:c r="A472" s="37"/>
      <x:c r="B472" s="37"/>
      <x:c r="C472" s="37"/>
      <x:c r="D472" s="37"/>
      <x:c r="E472" s="37"/>
      <x:c r="F472" s="37"/>
      <x:c r="G472" s="56"/>
      <x:c r="H472" s="37"/>
      <x:c r="I472" s="37"/>
      <x:c r="J472" s="37"/>
      <x:c r="K472" s="56"/>
      <x:c r="L472" s="37"/>
      <x:c r="M472" s="37"/>
      <x:c r="N472" s="57"/>
      <x:c r="O472" s="57"/>
      <x:c r="P472" s="57"/>
      <x:c r="Q472" s="57"/>
      <x:c r="R472" s="57"/>
      <x:c r="S472" s="37"/>
      <x:c r="T472" s="37"/>
      <x:c r="U472" s="37"/>
      <x:c r="V472" s="37"/>
      <x:c r="W472" s="70"/>
      <x:c r="X472"/>
      <x:c r="Y472"/>
      <x:c r="Z472"/>
      <x:c r="AA472"/>
    </x:row>
    <x:row r="473">
      <x:c r="A473" s="37"/>
      <x:c r="B473" s="37"/>
      <x:c r="C473" s="37"/>
      <x:c r="D473" s="37"/>
      <x:c r="E473" s="37"/>
      <x:c r="F473" s="37"/>
      <x:c r="G473" s="56"/>
      <x:c r="H473" s="37"/>
      <x:c r="I473" s="37"/>
      <x:c r="J473" s="37"/>
      <x:c r="K473" s="56"/>
      <x:c r="L473" s="37"/>
      <x:c r="M473" s="37"/>
      <x:c r="N473" s="57"/>
      <x:c r="O473" s="57"/>
      <x:c r="P473" s="57"/>
      <x:c r="Q473" s="57"/>
      <x:c r="R473" s="57"/>
      <x:c r="S473" s="37"/>
      <x:c r="T473" s="37"/>
      <x:c r="U473" s="37"/>
      <x:c r="V473" s="37"/>
      <x:c r="W473" s="70"/>
      <x:c r="X473"/>
      <x:c r="Y473"/>
      <x:c r="Z473"/>
      <x:c r="AA473"/>
    </x:row>
    <x:row r="474">
      <x:c r="A474" s="37"/>
      <x:c r="B474" s="37"/>
      <x:c r="C474" s="37"/>
      <x:c r="D474" s="37"/>
      <x:c r="E474" s="37"/>
      <x:c r="F474" s="37"/>
      <x:c r="G474" s="56"/>
      <x:c r="H474" s="37"/>
      <x:c r="I474" s="37"/>
      <x:c r="J474" s="37"/>
      <x:c r="K474" s="56"/>
      <x:c r="L474" s="37"/>
      <x:c r="M474" s="37"/>
      <x:c r="N474" s="57"/>
      <x:c r="O474" s="57"/>
      <x:c r="P474" s="57"/>
      <x:c r="Q474" s="57"/>
      <x:c r="R474" s="57"/>
      <x:c r="S474" s="37"/>
      <x:c r="T474" s="37"/>
      <x:c r="U474" s="37"/>
      <x:c r="V474" s="37"/>
      <x:c r="W474" s="70"/>
      <x:c r="X474"/>
      <x:c r="Y474"/>
      <x:c r="Z474"/>
      <x:c r="AA474"/>
    </x:row>
    <x:row r="475">
      <x:c r="A475" s="37"/>
      <x:c r="B475" s="37"/>
      <x:c r="C475" s="37"/>
      <x:c r="D475" s="37"/>
      <x:c r="E475" s="37"/>
      <x:c r="F475" s="37"/>
      <x:c r="G475" s="56"/>
      <x:c r="H475" s="37"/>
      <x:c r="I475" s="37"/>
      <x:c r="J475" s="37"/>
      <x:c r="K475" s="56"/>
      <x:c r="L475" s="37"/>
      <x:c r="M475" s="37"/>
      <x:c r="N475" s="57"/>
      <x:c r="O475" s="57"/>
      <x:c r="P475" s="57"/>
      <x:c r="Q475" s="57"/>
      <x:c r="R475" s="57"/>
      <x:c r="S475" s="37"/>
      <x:c r="T475" s="37"/>
      <x:c r="U475" s="37"/>
      <x:c r="V475" s="37"/>
      <x:c r="W475" s="70"/>
      <x:c r="X475"/>
      <x:c r="Y475"/>
      <x:c r="Z475"/>
      <x:c r="AA475"/>
    </x:row>
    <x:row r="476">
      <x:c r="A476" s="37"/>
      <x:c r="B476" s="37"/>
      <x:c r="C476" s="37"/>
      <x:c r="D476" s="37"/>
      <x:c r="E476" s="37"/>
      <x:c r="F476" s="37"/>
      <x:c r="G476" s="56"/>
      <x:c r="H476" s="37"/>
      <x:c r="I476" s="37"/>
      <x:c r="J476" s="37"/>
      <x:c r="K476" s="56"/>
      <x:c r="L476" s="37"/>
      <x:c r="M476" s="37"/>
      <x:c r="N476" s="57"/>
      <x:c r="O476" s="57"/>
      <x:c r="P476" s="57"/>
      <x:c r="Q476" s="57"/>
      <x:c r="R476" s="57"/>
      <x:c r="S476" s="37"/>
      <x:c r="T476" s="37"/>
      <x:c r="U476" s="37"/>
      <x:c r="V476" s="37"/>
      <x:c r="W476" s="70"/>
      <x:c r="X476"/>
      <x:c r="Y476"/>
      <x:c r="Z476"/>
      <x:c r="AA476"/>
    </x:row>
    <x:row r="477">
      <x:c r="A477" s="37"/>
      <x:c r="B477" s="37"/>
      <x:c r="C477" s="37"/>
      <x:c r="D477" s="37"/>
      <x:c r="E477" s="37"/>
      <x:c r="F477" s="37"/>
      <x:c r="G477" s="56"/>
      <x:c r="H477" s="37"/>
      <x:c r="I477" s="37"/>
      <x:c r="J477" s="37"/>
      <x:c r="K477" s="56"/>
      <x:c r="L477" s="37"/>
      <x:c r="M477" s="37"/>
      <x:c r="N477" s="57"/>
      <x:c r="O477" s="57"/>
      <x:c r="P477" s="57"/>
      <x:c r="Q477" s="57"/>
      <x:c r="R477" s="57"/>
      <x:c r="S477" s="37"/>
      <x:c r="T477" s="37"/>
      <x:c r="U477" s="37"/>
      <x:c r="V477" s="37"/>
      <x:c r="W477" s="70"/>
      <x:c r="X477"/>
      <x:c r="Y477"/>
      <x:c r="Z477"/>
      <x:c r="AA477"/>
    </x:row>
    <x:row r="478">
      <x:c r="A478" s="37"/>
      <x:c r="B478" s="37"/>
      <x:c r="C478" s="37"/>
      <x:c r="D478" s="37"/>
      <x:c r="E478" s="37"/>
      <x:c r="F478" s="37"/>
      <x:c r="G478" s="56"/>
      <x:c r="H478" s="37"/>
      <x:c r="I478" s="37"/>
      <x:c r="J478" s="37"/>
      <x:c r="K478" s="56"/>
      <x:c r="L478" s="37"/>
      <x:c r="M478" s="37"/>
      <x:c r="N478" s="57"/>
      <x:c r="O478" s="57"/>
      <x:c r="P478" s="57"/>
      <x:c r="Q478" s="57"/>
      <x:c r="R478" s="57"/>
      <x:c r="S478" s="37"/>
      <x:c r="T478" s="37"/>
      <x:c r="U478" s="37"/>
      <x:c r="V478" s="37"/>
      <x:c r="W478" s="70"/>
      <x:c r="X478"/>
      <x:c r="Y478"/>
      <x:c r="Z478"/>
      <x:c r="AA478"/>
    </x:row>
    <x:row r="479">
      <x:c r="A479" s="37"/>
      <x:c r="B479" s="37"/>
      <x:c r="C479" s="37"/>
      <x:c r="D479" s="37"/>
      <x:c r="E479" s="37"/>
      <x:c r="F479" s="37"/>
      <x:c r="G479" s="56"/>
      <x:c r="H479" s="37"/>
      <x:c r="I479" s="37"/>
      <x:c r="J479" s="37"/>
      <x:c r="K479" s="56"/>
      <x:c r="L479" s="37"/>
      <x:c r="M479" s="37"/>
      <x:c r="N479" s="57"/>
      <x:c r="O479" s="57"/>
      <x:c r="P479" s="57"/>
      <x:c r="Q479" s="57"/>
      <x:c r="R479" s="57"/>
      <x:c r="S479" s="37"/>
      <x:c r="T479" s="37"/>
      <x:c r="U479" s="37"/>
      <x:c r="V479" s="37"/>
      <x:c r="W479" s="70"/>
      <x:c r="X479"/>
      <x:c r="Y479"/>
      <x:c r="Z479"/>
      <x:c r="AA479"/>
    </x:row>
    <x:row r="480">
      <x:c r="A480" s="37"/>
      <x:c r="B480" s="37"/>
      <x:c r="C480" s="37"/>
      <x:c r="D480" s="37"/>
      <x:c r="E480" s="37"/>
      <x:c r="F480" s="37"/>
      <x:c r="G480" s="56"/>
      <x:c r="H480" s="37"/>
      <x:c r="I480" s="37"/>
      <x:c r="J480" s="37"/>
      <x:c r="K480" s="56"/>
      <x:c r="L480" s="37"/>
      <x:c r="M480" s="37"/>
      <x:c r="N480" s="57"/>
      <x:c r="O480" s="57"/>
      <x:c r="P480" s="57"/>
      <x:c r="Q480" s="57"/>
      <x:c r="R480" s="57"/>
      <x:c r="S480" s="37"/>
      <x:c r="T480" s="37"/>
      <x:c r="U480" s="37"/>
      <x:c r="V480" s="37"/>
      <x:c r="W480" s="70"/>
      <x:c r="X480"/>
      <x:c r="Y480"/>
      <x:c r="Z480"/>
      <x:c r="AA480"/>
    </x:row>
    <x:row r="481">
      <x:c r="A481" s="37"/>
      <x:c r="B481" s="37"/>
      <x:c r="C481" s="37"/>
      <x:c r="D481" s="37"/>
      <x:c r="E481" s="37"/>
      <x:c r="F481" s="37"/>
      <x:c r="G481" s="56"/>
      <x:c r="H481" s="37"/>
      <x:c r="I481" s="37"/>
      <x:c r="J481" s="37"/>
      <x:c r="K481" s="56"/>
      <x:c r="L481" s="37"/>
      <x:c r="M481" s="37"/>
      <x:c r="N481" s="57"/>
      <x:c r="O481" s="57"/>
      <x:c r="P481" s="57"/>
      <x:c r="Q481" s="57"/>
      <x:c r="R481" s="57"/>
      <x:c r="S481" s="37"/>
      <x:c r="T481" s="37"/>
      <x:c r="U481" s="37"/>
      <x:c r="V481" s="37"/>
      <x:c r="W481" s="70"/>
      <x:c r="X481"/>
      <x:c r="Y481"/>
      <x:c r="Z481"/>
      <x:c r="AA481"/>
    </x:row>
    <x:row r="482">
      <x:c r="A482" s="37"/>
      <x:c r="B482" s="37"/>
      <x:c r="C482" s="37"/>
      <x:c r="D482" s="37"/>
      <x:c r="E482" s="37"/>
      <x:c r="F482" s="37"/>
      <x:c r="G482" s="56"/>
      <x:c r="H482" s="37"/>
      <x:c r="I482" s="37"/>
      <x:c r="J482" s="37"/>
      <x:c r="K482" s="56"/>
      <x:c r="L482" s="37"/>
      <x:c r="M482" s="37"/>
      <x:c r="N482" s="57"/>
      <x:c r="O482" s="57"/>
      <x:c r="P482" s="57"/>
      <x:c r="Q482" s="57"/>
      <x:c r="R482" s="57"/>
      <x:c r="S482" s="37"/>
      <x:c r="T482" s="37"/>
      <x:c r="U482" s="37"/>
      <x:c r="V482" s="37"/>
      <x:c r="W482" s="70"/>
      <x:c r="X482"/>
      <x:c r="Y482"/>
      <x:c r="Z482"/>
      <x:c r="AA482"/>
    </x:row>
    <x:row r="483">
      <x:c r="A483" s="37"/>
      <x:c r="B483" s="37"/>
      <x:c r="C483" s="37"/>
      <x:c r="D483" s="37"/>
      <x:c r="E483" s="37"/>
      <x:c r="F483" s="37"/>
      <x:c r="G483" s="56"/>
      <x:c r="H483" s="37"/>
      <x:c r="I483" s="37"/>
      <x:c r="J483" s="37"/>
      <x:c r="K483" s="56"/>
      <x:c r="L483" s="37"/>
      <x:c r="M483" s="37"/>
      <x:c r="N483" s="57"/>
      <x:c r="O483" s="57"/>
      <x:c r="P483" s="57"/>
      <x:c r="Q483" s="57"/>
      <x:c r="R483" s="57"/>
      <x:c r="S483" s="37"/>
      <x:c r="T483" s="37"/>
      <x:c r="U483" s="37"/>
      <x:c r="V483" s="37"/>
      <x:c r="W483" s="70"/>
      <x:c r="X483"/>
      <x:c r="Y483"/>
      <x:c r="Z483"/>
      <x:c r="AA483"/>
    </x:row>
    <x:row r="484">
      <x:c r="A484" s="37"/>
      <x:c r="B484" s="37"/>
      <x:c r="C484" s="37"/>
      <x:c r="D484" s="37"/>
      <x:c r="E484" s="37"/>
      <x:c r="F484" s="37"/>
      <x:c r="G484" s="56"/>
      <x:c r="H484" s="37"/>
      <x:c r="I484" s="37"/>
      <x:c r="J484" s="37"/>
      <x:c r="K484" s="56"/>
      <x:c r="L484" s="37"/>
      <x:c r="M484" s="37"/>
      <x:c r="N484" s="57"/>
      <x:c r="O484" s="57"/>
      <x:c r="P484" s="57"/>
      <x:c r="Q484" s="57"/>
      <x:c r="R484" s="57"/>
      <x:c r="S484" s="37"/>
      <x:c r="T484" s="37"/>
      <x:c r="U484" s="37"/>
      <x:c r="V484" s="37"/>
      <x:c r="W484" s="70"/>
      <x:c r="X484"/>
      <x:c r="Y484"/>
      <x:c r="Z484"/>
      <x:c r="AA484"/>
    </x:row>
    <x:row r="485">
      <x:c r="A485" s="37"/>
      <x:c r="B485" s="37"/>
      <x:c r="C485" s="37"/>
      <x:c r="D485" s="37"/>
      <x:c r="E485" s="37"/>
      <x:c r="F485" s="37"/>
      <x:c r="G485" s="56"/>
      <x:c r="H485" s="37"/>
      <x:c r="I485" s="37"/>
      <x:c r="J485" s="37"/>
      <x:c r="K485" s="56"/>
      <x:c r="L485" s="37"/>
      <x:c r="M485" s="37"/>
      <x:c r="N485" s="57"/>
      <x:c r="O485" s="57"/>
      <x:c r="P485" s="57"/>
      <x:c r="Q485" s="57"/>
      <x:c r="R485" s="57"/>
      <x:c r="S485" s="37"/>
      <x:c r="T485" s="37"/>
      <x:c r="U485" s="37"/>
      <x:c r="V485" s="37"/>
      <x:c r="W485" s="70"/>
      <x:c r="X485"/>
      <x:c r="Y485"/>
      <x:c r="Z485"/>
      <x:c r="AA485"/>
    </x:row>
    <x:row r="486">
      <x:c r="A486" s="37"/>
      <x:c r="B486" s="37"/>
      <x:c r="C486" s="37"/>
      <x:c r="D486" s="37"/>
      <x:c r="E486" s="37"/>
      <x:c r="F486" s="37"/>
      <x:c r="G486" s="56"/>
      <x:c r="H486" s="37"/>
      <x:c r="I486" s="37"/>
      <x:c r="J486" s="37"/>
      <x:c r="K486" s="56"/>
      <x:c r="L486" s="37"/>
      <x:c r="M486" s="37"/>
      <x:c r="N486" s="57"/>
      <x:c r="O486" s="57"/>
      <x:c r="P486" s="57"/>
      <x:c r="Q486" s="57"/>
      <x:c r="R486" s="57"/>
      <x:c r="S486" s="37"/>
      <x:c r="T486" s="37"/>
      <x:c r="U486" s="37"/>
      <x:c r="V486" s="37"/>
      <x:c r="W486" s="70"/>
      <x:c r="X486"/>
      <x:c r="Y486"/>
      <x:c r="Z486"/>
      <x:c r="AA486"/>
    </x:row>
    <x:row r="487">
      <x:c r="A487" s="37"/>
      <x:c r="B487" s="37"/>
      <x:c r="C487" s="37"/>
      <x:c r="D487" s="37"/>
      <x:c r="E487" s="37"/>
      <x:c r="F487" s="37"/>
      <x:c r="G487" s="56"/>
      <x:c r="H487" s="37"/>
      <x:c r="I487" s="37"/>
      <x:c r="J487" s="37"/>
      <x:c r="K487" s="56"/>
      <x:c r="L487" s="37"/>
      <x:c r="M487" s="37"/>
      <x:c r="N487" s="57"/>
      <x:c r="O487" s="57"/>
      <x:c r="P487" s="57"/>
      <x:c r="Q487" s="57"/>
      <x:c r="R487" s="57"/>
      <x:c r="S487" s="37"/>
      <x:c r="T487" s="37"/>
      <x:c r="U487" s="37"/>
      <x:c r="V487" s="37"/>
      <x:c r="W487" s="70"/>
      <x:c r="X487"/>
      <x:c r="Y487"/>
      <x:c r="Z487"/>
      <x:c r="AA487"/>
    </x:row>
    <x:row r="488">
      <x:c r="A488" s="37"/>
      <x:c r="B488" s="37"/>
      <x:c r="C488" s="37"/>
      <x:c r="D488" s="37"/>
      <x:c r="E488" s="37"/>
      <x:c r="F488" s="37"/>
      <x:c r="G488" s="56"/>
      <x:c r="H488" s="37"/>
      <x:c r="I488" s="37"/>
      <x:c r="J488" s="37"/>
      <x:c r="K488" s="56"/>
      <x:c r="L488" s="37"/>
      <x:c r="M488" s="37"/>
      <x:c r="N488" s="57"/>
      <x:c r="O488" s="57"/>
      <x:c r="P488" s="57"/>
      <x:c r="Q488" s="57"/>
      <x:c r="R488" s="57"/>
      <x:c r="S488" s="37"/>
      <x:c r="T488" s="37"/>
      <x:c r="U488" s="37"/>
      <x:c r="V488" s="37"/>
      <x:c r="W488" s="70"/>
      <x:c r="X488"/>
      <x:c r="Y488"/>
      <x:c r="Z488"/>
      <x:c r="AA488"/>
    </x:row>
    <x:row r="489">
      <x:c r="A489" s="37"/>
      <x:c r="B489" s="37"/>
      <x:c r="C489" s="37"/>
      <x:c r="D489" s="37"/>
      <x:c r="E489" s="37"/>
      <x:c r="F489" s="37"/>
      <x:c r="G489" s="56"/>
      <x:c r="H489" s="37"/>
      <x:c r="I489" s="37"/>
      <x:c r="J489" s="37"/>
      <x:c r="K489" s="56"/>
      <x:c r="L489" s="37"/>
      <x:c r="M489" s="37"/>
      <x:c r="N489" s="57"/>
      <x:c r="O489" s="57"/>
      <x:c r="P489" s="57"/>
      <x:c r="Q489" s="57"/>
      <x:c r="R489" s="57"/>
      <x:c r="S489" s="37"/>
      <x:c r="T489" s="37"/>
      <x:c r="U489" s="37"/>
      <x:c r="V489" s="37"/>
      <x:c r="W489" s="70"/>
      <x:c r="X489"/>
      <x:c r="Y489"/>
      <x:c r="Z489"/>
      <x:c r="AA489"/>
    </x:row>
    <x:row r="490">
      <x:c r="A490" s="37"/>
      <x:c r="B490" s="37"/>
      <x:c r="C490" s="37"/>
      <x:c r="D490" s="37"/>
      <x:c r="E490" s="37"/>
      <x:c r="F490" s="37"/>
      <x:c r="G490" s="56"/>
      <x:c r="H490" s="37"/>
      <x:c r="I490" s="37"/>
      <x:c r="J490" s="37"/>
      <x:c r="K490" s="56"/>
      <x:c r="L490" s="37"/>
      <x:c r="M490" s="37"/>
      <x:c r="N490" s="57"/>
      <x:c r="O490" s="57"/>
      <x:c r="P490" s="57"/>
      <x:c r="Q490" s="57"/>
      <x:c r="R490" s="57"/>
      <x:c r="S490" s="37"/>
      <x:c r="T490" s="37"/>
      <x:c r="U490" s="37"/>
      <x:c r="V490" s="37"/>
      <x:c r="W490" s="70"/>
      <x:c r="X490"/>
      <x:c r="Y490"/>
      <x:c r="Z490"/>
      <x:c r="AA490"/>
    </x:row>
    <x:row r="491">
      <x:c r="A491" s="37"/>
      <x:c r="B491" s="37"/>
      <x:c r="C491" s="37"/>
      <x:c r="D491" s="37"/>
      <x:c r="E491" s="37"/>
      <x:c r="F491" s="37"/>
      <x:c r="G491" s="56"/>
      <x:c r="H491" s="37"/>
      <x:c r="I491" s="37"/>
      <x:c r="J491" s="37"/>
      <x:c r="K491" s="56"/>
      <x:c r="L491" s="37"/>
      <x:c r="M491" s="37"/>
      <x:c r="N491" s="57"/>
      <x:c r="O491" s="57"/>
      <x:c r="P491" s="57"/>
      <x:c r="Q491" s="57"/>
      <x:c r="R491" s="57"/>
      <x:c r="S491" s="37"/>
      <x:c r="T491" s="37"/>
      <x:c r="U491" s="37"/>
      <x:c r="V491" s="37"/>
      <x:c r="W491" s="70"/>
      <x:c r="X491"/>
      <x:c r="Y491"/>
      <x:c r="Z491"/>
      <x:c r="AA491"/>
    </x:row>
    <x:row r="492">
      <x:c r="A492" s="37"/>
      <x:c r="B492" s="37"/>
      <x:c r="C492" s="37"/>
      <x:c r="D492" s="37"/>
      <x:c r="E492" s="37"/>
      <x:c r="F492" s="37"/>
      <x:c r="G492" s="56"/>
      <x:c r="H492" s="37"/>
      <x:c r="I492" s="37"/>
      <x:c r="J492" s="37"/>
      <x:c r="K492" s="56"/>
      <x:c r="L492" s="37"/>
      <x:c r="M492" s="37"/>
      <x:c r="N492" s="57"/>
      <x:c r="O492" s="57"/>
      <x:c r="P492" s="57"/>
      <x:c r="Q492" s="57"/>
      <x:c r="R492" s="57"/>
      <x:c r="S492" s="37"/>
      <x:c r="T492" s="37"/>
      <x:c r="U492" s="37"/>
      <x:c r="V492" s="37"/>
      <x:c r="W492" s="70"/>
      <x:c r="X492"/>
      <x:c r="Y492"/>
      <x:c r="Z492"/>
      <x:c r="AA492"/>
    </x:row>
    <x:row r="493">
      <x:c r="A493" s="37"/>
      <x:c r="B493" s="37"/>
      <x:c r="C493" s="37"/>
      <x:c r="D493" s="37"/>
      <x:c r="E493" s="37"/>
      <x:c r="F493" s="37"/>
      <x:c r="G493" s="56"/>
      <x:c r="H493" s="37"/>
      <x:c r="I493" s="37"/>
      <x:c r="J493" s="37"/>
      <x:c r="K493" s="56"/>
      <x:c r="L493" s="37"/>
      <x:c r="M493" s="37"/>
      <x:c r="N493" s="57"/>
      <x:c r="O493" s="57"/>
      <x:c r="P493" s="57"/>
      <x:c r="Q493" s="57"/>
      <x:c r="R493" s="57"/>
      <x:c r="S493" s="37"/>
      <x:c r="T493" s="37"/>
      <x:c r="U493" s="37"/>
      <x:c r="V493" s="37"/>
      <x:c r="W493" s="70"/>
      <x:c r="X493"/>
      <x:c r="Y493"/>
      <x:c r="Z493"/>
      <x:c r="AA493"/>
    </x:row>
    <x:row r="494">
      <x:c r="A494" s="37"/>
      <x:c r="B494" s="37"/>
      <x:c r="C494" s="37"/>
      <x:c r="D494" s="37"/>
      <x:c r="E494" s="37"/>
      <x:c r="F494" s="37"/>
      <x:c r="G494" s="56"/>
      <x:c r="H494" s="37"/>
      <x:c r="I494" s="37"/>
      <x:c r="J494" s="37"/>
      <x:c r="K494" s="56"/>
      <x:c r="L494" s="37"/>
      <x:c r="M494" s="37"/>
      <x:c r="N494" s="57"/>
      <x:c r="O494" s="57"/>
      <x:c r="P494" s="57"/>
      <x:c r="Q494" s="57"/>
      <x:c r="R494" s="57"/>
      <x:c r="S494" s="37"/>
      <x:c r="T494" s="37"/>
      <x:c r="U494" s="37"/>
      <x:c r="V494" s="37"/>
      <x:c r="W494" s="70"/>
      <x:c r="X494"/>
      <x:c r="Y494"/>
      <x:c r="Z494"/>
      <x:c r="AA494"/>
    </x:row>
    <x:row r="495">
      <x:c r="A495" s="37"/>
      <x:c r="B495" s="37"/>
      <x:c r="C495" s="37"/>
      <x:c r="D495" s="37"/>
      <x:c r="E495" s="37"/>
      <x:c r="F495" s="37"/>
      <x:c r="G495" s="56"/>
      <x:c r="H495" s="37"/>
      <x:c r="I495" s="37"/>
      <x:c r="J495" s="37"/>
      <x:c r="K495" s="56"/>
      <x:c r="L495" s="37"/>
      <x:c r="M495" s="37"/>
      <x:c r="N495" s="57"/>
      <x:c r="O495" s="57"/>
      <x:c r="P495" s="57"/>
      <x:c r="Q495" s="57"/>
      <x:c r="R495" s="57"/>
      <x:c r="S495" s="37"/>
      <x:c r="T495" s="37"/>
      <x:c r="U495" s="37"/>
      <x:c r="V495" s="37"/>
      <x:c r="W495" s="70"/>
      <x:c r="X495"/>
      <x:c r="Y495"/>
      <x:c r="Z495"/>
      <x:c r="AA495"/>
    </x:row>
    <x:row r="496">
      <x:c r="A496" s="37"/>
      <x:c r="B496" s="37"/>
      <x:c r="C496" s="37"/>
      <x:c r="D496" s="37"/>
      <x:c r="E496" s="37"/>
      <x:c r="F496" s="37"/>
      <x:c r="G496" s="56"/>
      <x:c r="H496" s="37"/>
      <x:c r="I496" s="37"/>
      <x:c r="J496" s="37"/>
      <x:c r="K496" s="56"/>
      <x:c r="L496" s="37"/>
      <x:c r="M496" s="37"/>
      <x:c r="N496" s="57"/>
      <x:c r="O496" s="57"/>
      <x:c r="P496" s="57"/>
      <x:c r="Q496" s="57"/>
      <x:c r="R496" s="57"/>
      <x:c r="S496" s="37"/>
      <x:c r="T496" s="37"/>
      <x:c r="U496" s="37"/>
      <x:c r="V496" s="37"/>
      <x:c r="W496" s="70"/>
      <x:c r="X496"/>
      <x:c r="Y496"/>
      <x:c r="Z496"/>
      <x:c r="AA496"/>
    </x:row>
    <x:row r="497">
      <x:c r="A497" s="37"/>
      <x:c r="B497" s="37"/>
      <x:c r="C497" s="37"/>
      <x:c r="D497" s="37"/>
      <x:c r="E497" s="37"/>
      <x:c r="F497" s="37"/>
      <x:c r="G497" s="56"/>
      <x:c r="H497" s="37"/>
      <x:c r="I497" s="37"/>
      <x:c r="J497" s="37"/>
      <x:c r="K497" s="56"/>
      <x:c r="L497" s="37"/>
      <x:c r="M497" s="37"/>
      <x:c r="N497" s="57"/>
      <x:c r="O497" s="57"/>
      <x:c r="P497" s="57"/>
      <x:c r="Q497" s="57"/>
      <x:c r="R497" s="57"/>
      <x:c r="S497" s="37"/>
      <x:c r="T497" s="37"/>
      <x:c r="U497" s="37"/>
      <x:c r="V497" s="37"/>
      <x:c r="W497" s="70"/>
      <x:c r="X497"/>
      <x:c r="Y497"/>
      <x:c r="Z497"/>
      <x:c r="AA497"/>
    </x:row>
    <x:row r="498">
      <x:c r="A498" s="37"/>
      <x:c r="B498" s="37"/>
      <x:c r="C498" s="37"/>
      <x:c r="D498" s="37"/>
      <x:c r="E498" s="37"/>
      <x:c r="F498" s="37"/>
      <x:c r="G498" s="56"/>
      <x:c r="H498" s="37"/>
      <x:c r="I498" s="37"/>
      <x:c r="J498" s="37"/>
      <x:c r="K498" s="56"/>
      <x:c r="L498" s="37"/>
      <x:c r="M498" s="37"/>
      <x:c r="N498" s="57"/>
      <x:c r="O498" s="57"/>
      <x:c r="P498" s="57"/>
      <x:c r="Q498" s="57"/>
      <x:c r="R498" s="57"/>
      <x:c r="S498" s="37"/>
      <x:c r="T498" s="37"/>
      <x:c r="U498" s="37"/>
      <x:c r="V498" s="37"/>
      <x:c r="W498" s="70"/>
      <x:c r="X498"/>
      <x:c r="Y498"/>
      <x:c r="Z498"/>
      <x:c r="AA498"/>
    </x:row>
    <x:row r="499">
      <x:c r="A499" s="37"/>
      <x:c r="B499" s="37"/>
      <x:c r="C499" s="37"/>
      <x:c r="D499" s="37"/>
      <x:c r="E499" s="37"/>
      <x:c r="F499" s="37"/>
      <x:c r="G499" s="56"/>
      <x:c r="H499" s="37"/>
      <x:c r="I499" s="37"/>
      <x:c r="J499" s="37"/>
      <x:c r="K499" s="56"/>
      <x:c r="L499" s="37"/>
      <x:c r="M499" s="37"/>
      <x:c r="N499" s="57"/>
      <x:c r="O499" s="57"/>
      <x:c r="P499" s="57"/>
      <x:c r="Q499" s="57"/>
      <x:c r="R499" s="57"/>
      <x:c r="S499" s="37"/>
      <x:c r="T499" s="37"/>
      <x:c r="U499" s="37"/>
      <x:c r="V499" s="37"/>
      <x:c r="W499" s="70"/>
      <x:c r="X499"/>
      <x:c r="Y499"/>
      <x:c r="Z499"/>
      <x:c r="AA499"/>
    </x:row>
    <x:row r="500">
      <x:c r="A500" s="37"/>
      <x:c r="B500" s="37"/>
      <x:c r="C500" s="37"/>
      <x:c r="D500" s="37"/>
      <x:c r="E500" s="37"/>
      <x:c r="F500" s="37"/>
      <x:c r="G500" s="56"/>
      <x:c r="H500" s="37"/>
      <x:c r="I500" s="37"/>
      <x:c r="J500" s="37"/>
      <x:c r="K500" s="56"/>
      <x:c r="L500" s="37"/>
      <x:c r="M500" s="37"/>
      <x:c r="N500" s="57"/>
      <x:c r="O500" s="57"/>
      <x:c r="P500" s="57"/>
      <x:c r="Q500" s="57"/>
      <x:c r="R500" s="57"/>
      <x:c r="S500" s="37"/>
      <x:c r="T500" s="37"/>
      <x:c r="U500" s="37"/>
      <x:c r="V500" s="37"/>
      <x:c r="W500" s="70"/>
      <x:c r="X500"/>
      <x:c r="Y500"/>
      <x:c r="Z500"/>
      <x:c r="AA500"/>
    </x:row>
    <x:row r="501">
      <x:c r="A501" s="37"/>
      <x:c r="B501" s="37"/>
      <x:c r="C501" s="37"/>
      <x:c r="D501" s="37"/>
      <x:c r="E501" s="37"/>
      <x:c r="F501" s="37"/>
      <x:c r="G501" s="56"/>
      <x:c r="H501" s="37"/>
      <x:c r="I501" s="37"/>
      <x:c r="J501" s="37"/>
      <x:c r="K501" s="56"/>
      <x:c r="L501" s="37"/>
      <x:c r="M501" s="37"/>
      <x:c r="N501" s="57"/>
      <x:c r="O501" s="57"/>
      <x:c r="P501" s="57"/>
      <x:c r="Q501" s="57"/>
      <x:c r="R501" s="57"/>
      <x:c r="S501" s="37"/>
      <x:c r="T501" s="37"/>
      <x:c r="U501" s="37"/>
      <x:c r="V501" s="37"/>
      <x:c r="W501" s="70"/>
      <x:c r="X501"/>
      <x:c r="Y501"/>
      <x:c r="Z501"/>
      <x:c r="AA501"/>
    </x:row>
  </x:sheetData>
  <x:conditionalFormatting sqref="Q2:Q501">
    <x:cfRule type="expression" dxfId="0" priority="1">
      <x:formula>Q2="New"</x:formula>
    </x:cfRule>
    <x:cfRule type="expression" dxfId="1" priority="2">
      <x:formula>Q2="Extended"</x:formula>
    </x:cfRule>
    <x:cfRule type="expression" dxfId="2" priority="3">
      <x:formula>Q2="Corrigendum"</x:formula>
    </x:cfRule>
    <x:cfRule type="expression" dxfId="3" priority="4">
      <x:formula>OR(Q2="Closed",Q2="Cancelled")</x:formula>
    </x:cfRule>
  </x:conditionalFormatting>
  <x:conditionalFormatting sqref="X2:X501">
    <x:cfRule type="expression" dxfId="4" priority="5">
      <x:formula>X2="Urgent"</x:formula>
    </x:cfRule>
    <x:cfRule type="expression" dxfId="5" priority="6">
      <x:formula>X2="Due in 7 Days"</x:formula>
    </x:cfRule>
    <x:cfRule type="expression" dxfId="6" priority="7">
      <x:formula>X2="Expired"</x:formula>
    </x:cfRule>
  </x:conditionalFormatting>
  <x:conditionalFormatting sqref="Z2:Z501">
    <x:cfRule type="expression" dxfId="7" priority="8">
      <x:formula>Z2="Duplicate"</x:formula>
    </x:cfRule>
  </x:conditionalFormatting>
  <x:conditionalFormatting sqref="AE2:AE27">
    <x:cfRule type="colorScale" priority="9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4">
    <x:dataValidation type="list" sqref="F2:F501">
      <x:formula1>"Solar,Solar + BESS,FDRE,Wind,Hybrid,BESS,Pumped Storage,RTC,Other"</x:formula1>
    </x:dataValidation>
    <x:dataValidation type="list" sqref="H2:H501">
      <x:formula1>"Yes,No,Not Specified"</x:formula1>
    </x:dataValidation>
    <x:dataValidation type="list" sqref="Q2:Q501">
      <x:formula1>"New,Open,Extended,Corrigendum,Evaluation"</x:formula1>
    </x:dataValidation>
    <x:dataValidation type="list" sqref="X2:X501">
      <x:formula1>"Expired,Urgent,Due in 7 Days,Normal"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9a103749042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2" hidden="0" customWidth="1"/>
    <x:col min="5" max="5" width="34" hidden="0" customWidth="1"/>
    <x:col min="6" max="6" width="34" hidden="0" customWidth="1"/>
    <x:col min="7" max="7" width="16" hidden="0" customWidth="1"/>
    <x:col min="8" max="8" width="28" hidden="0" customWidth="1"/>
  </x:cols>
  <x:sheetData>
    <x:row r="1">
      <x:c r="A1" s="44" t="str">
        <x:v>Category</x:v>
      </x:c>
      <x:c r="B1" s="44" t="str">
        <x:v>Agency</x:v>
      </x:c>
      <x:c r="C1" s="44" t="str">
        <x:v>State / Region</x:v>
      </x:c>
      <x:c r="D1" s="44" t="str">
        <x:v>Enabled</x:v>
      </x:c>
      <x:c r="E1" s="44" t="str">
        <x:v>Primary Tender Page</x:v>
      </x:c>
      <x:c r="F1" s="44" t="str">
        <x:v>Secondary / eProcurement Page</x:v>
      </x:c>
      <x:c r="G1" s="44" t="str">
        <x:v>Scan Method</x:v>
      </x:c>
      <x:c r="H1" s="44" t="str">
        <x:v>Notes</x:v>
      </x:c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37" t="str">
        <x:v>Central</x:v>
      </x:c>
      <x:c r="B2" s="37" t="str">
        <x:v>SECI</x:v>
      </x:c>
      <x:c r="C2" s="37" t="str">
        <x:v>All India</x:v>
      </x:c>
      <x:c r="D2" s="37" t="str">
        <x:v>Yes</x:v>
      </x:c>
      <x:c r="E2" s="37" t="str">
        <x:v>https://www.seci.co.in/</x:v>
      </x:c>
      <x:c r="F2" s="37" t="str"/>
      <x:c r="G2" s="37" t="str">
        <x:v>HTML/PDF</x:v>
      </x:c>
      <x:c r="H2" s="37" t="str"/>
    </x:row>
    <x:row r="3">
      <x:c r="A3" s="37" t="str">
        <x:v>Central</x:v>
      </x:c>
      <x:c r="B3" s="37" t="str">
        <x:v>NTPC REL</x:v>
      </x:c>
      <x:c r="C3" s="37" t="str">
        <x:v>All India</x:v>
      </x:c>
      <x:c r="D3" s="37" t="str">
        <x:v>Yes</x:v>
      </x:c>
      <x:c r="E3" s="37" t="str">
        <x:v>https://www.ntpc.co.in/</x:v>
      </x:c>
      <x:c r="F3" s="37" t="str"/>
      <x:c r="G3" s="37" t="str">
        <x:v>HTML/PDF</x:v>
      </x:c>
      <x:c r="H3" s="37" t="str"/>
    </x:row>
    <x:row r="4">
      <x:c r="A4" s="37" t="str">
        <x:v>Central</x:v>
      </x:c>
      <x:c r="B4" s="37" t="str">
        <x:v>NHPC</x:v>
      </x:c>
      <x:c r="C4" s="37" t="str">
        <x:v>All India</x:v>
      </x:c>
      <x:c r="D4" s="37" t="str">
        <x:v>Yes</x:v>
      </x:c>
      <x:c r="E4" s="37" t="str">
        <x:v>https://www.nhpcindia.com/</x:v>
      </x:c>
      <x:c r="F4" s="37" t="str"/>
      <x:c r="G4" s="37" t="str">
        <x:v>HTML/PDF</x:v>
      </x:c>
      <x:c r="H4" s="37" t="str"/>
    </x:row>
    <x:row r="5">
      <x:c r="A5" s="37" t="str">
        <x:v>Central</x:v>
      </x:c>
      <x:c r="B5" s="37" t="str">
        <x:v>SJVN</x:v>
      </x:c>
      <x:c r="C5" s="37" t="str">
        <x:v>All India</x:v>
      </x:c>
      <x:c r="D5" s="37" t="str">
        <x:v>Yes</x:v>
      </x:c>
      <x:c r="E5" s="37" t="str">
        <x:v>https://sjvn.nic.in/</x:v>
      </x:c>
      <x:c r="F5" s="37" t="str"/>
      <x:c r="G5" s="37" t="str">
        <x:v>HTML/PDF</x:v>
      </x:c>
      <x:c r="H5" s="37" t="str"/>
    </x:row>
    <x:row r="6">
      <x:c r="A6" s="37" t="str">
        <x:v>Central</x:v>
      </x:c>
      <x:c r="B6" s="37" t="str">
        <x:v>NLCIL</x:v>
      </x:c>
      <x:c r="C6" s="37" t="str">
        <x:v>All India</x:v>
      </x:c>
      <x:c r="D6" s="37" t="str">
        <x:v>Yes</x:v>
      </x:c>
      <x:c r="E6" s="37" t="str">
        <x:v>https://www.nlcindia.in/</x:v>
      </x:c>
      <x:c r="F6" s="37" t="str"/>
      <x:c r="G6" s="37" t="str">
        <x:v>HTML/PDF</x:v>
      </x:c>
      <x:c r="H6" s="37" t="str"/>
    </x:row>
    <x:row r="7">
      <x:c r="A7" s="37" t="str">
        <x:v>Central</x:v>
      </x:c>
      <x:c r="B7" s="37" t="str">
        <x:v>GUVNL (ISTS)</x:v>
      </x:c>
      <x:c r="C7" s="37" t="str">
        <x:v>All India</x:v>
      </x:c>
      <x:c r="D7" s="37" t="str">
        <x:v>Yes</x:v>
      </x:c>
      <x:c r="E7" s="37" t="str">
        <x:v>https://www.guvnl.com/</x:v>
      </x:c>
      <x:c r="F7" s="37" t="str"/>
      <x:c r="G7" s="37" t="str">
        <x:v>HTML/PDF</x:v>
      </x:c>
      <x:c r="H7" s="37" t="str"/>
    </x:row>
    <x:row r="8">
      <x:c r="A8" s="37" t="str">
        <x:v>Central</x:v>
      </x:c>
      <x:c r="B8" s="37" t="str">
        <x:v>REMCL</x:v>
      </x:c>
      <x:c r="C8" s="37" t="str">
        <x:v>All India</x:v>
      </x:c>
      <x:c r="D8" s="37" t="str">
        <x:v>Yes</x:v>
      </x:c>
      <x:c r="E8" s="37" t="str">
        <x:v>https://www.remcl.in/</x:v>
      </x:c>
      <x:c r="F8" s="37" t="str"/>
      <x:c r="G8" s="37" t="str">
        <x:v>HTML/PDF</x:v>
      </x:c>
      <x:c r="H8" s="37" t="str"/>
    </x:row>
    <x:row r="9">
      <x:c r="A9" s="37" t="str">
        <x:v>Rajasthan</x:v>
      </x:c>
      <x:c r="B9" s="37" t="str">
        <x:v>RUVNL</x:v>
      </x:c>
      <x:c r="C9" s="37" t="str">
        <x:v>Rajasthan</x:v>
      </x:c>
      <x:c r="D9" s="37" t="str">
        <x:v>Yes</x:v>
      </x:c>
      <x:c r="E9" s="37" t="str"/>
      <x:c r="F9" s="37" t="str"/>
      <x:c r="G9" s="37" t="str">
        <x:v>HTML/PDF</x:v>
      </x:c>
      <x:c r="H9" s="37" t="str">
        <x:v>Verify current official tender page</x:v>
      </x:c>
    </x:row>
    <x:row r="10">
      <x:c r="A10" s="37" t="str">
        <x:v>Rajasthan</x:v>
      </x:c>
      <x:c r="B10" s="37" t="str">
        <x:v>RVPN</x:v>
      </x:c>
      <x:c r="C10" s="37" t="str">
        <x:v>Rajasthan</x:v>
      </x:c>
      <x:c r="D10" s="37" t="str">
        <x:v>Yes</x:v>
      </x:c>
      <x:c r="E10" s="37" t="str">
        <x:v>https://energy.rajasthan.gov.in/rvpnl</x:v>
      </x:c>
      <x:c r="F10" s="37" t="str"/>
      <x:c r="G10" s="37" t="str">
        <x:v>HTML/PDF</x:v>
      </x:c>
      <x:c r="H10" s="37" t="str"/>
    </x:row>
    <x:row r="11">
      <x:c r="A11" s="37" t="str">
        <x:v>Karnataka</x:v>
      </x:c>
      <x:c r="B11" s="37" t="str">
        <x:v>KREDL</x:v>
      </x:c>
      <x:c r="C11" s="37" t="str">
        <x:v>Karnataka</x:v>
      </x:c>
      <x:c r="D11" s="37" t="str">
        <x:v>Yes</x:v>
      </x:c>
      <x:c r="E11" s="37" t="str">
        <x:v>https://kredl.karnataka.gov.in/</x:v>
      </x:c>
      <x:c r="F11" s="37" t="str"/>
      <x:c r="G11" s="37" t="str">
        <x:v>HTML/PDF</x:v>
      </x:c>
      <x:c r="H11" s="37" t="str"/>
    </x:row>
    <x:row r="12">
      <x:c r="A12" s="37" t="str">
        <x:v>Karnataka</x:v>
      </x:c>
      <x:c r="B12" s="37" t="str">
        <x:v>KPTCL</x:v>
      </x:c>
      <x:c r="C12" s="37" t="str">
        <x:v>Karnataka</x:v>
      </x:c>
      <x:c r="D12" s="37" t="str">
        <x:v>Yes</x:v>
      </x:c>
      <x:c r="E12" s="37" t="str">
        <x:v>https://kptcl.karnataka.gov.in/</x:v>
      </x:c>
      <x:c r="F12" s="37" t="str"/>
      <x:c r="G12" s="37" t="str">
        <x:v>HTML/PDF</x:v>
      </x:c>
      <x:c r="H12" s="37" t="str"/>
    </x:row>
    <x:row r="13">
      <x:c r="A13" s="37" t="str">
        <x:v>Karnataka</x:v>
      </x:c>
      <x:c r="B13" s="37" t="str">
        <x:v>KPCL</x:v>
      </x:c>
      <x:c r="C13" s="37" t="str">
        <x:v>Karnataka</x:v>
      </x:c>
      <x:c r="D13" s="37" t="str">
        <x:v>Yes</x:v>
      </x:c>
      <x:c r="E13" s="37" t="str">
        <x:v>https://karnatakapower.com/</x:v>
      </x:c>
      <x:c r="F13" s="37" t="str"/>
      <x:c r="G13" s="37" t="str">
        <x:v>HTML/PDF</x:v>
      </x:c>
      <x:c r="H13" s="37" t="str"/>
    </x:row>
    <x:row r="14">
      <x:c r="A14" s="37" t="str">
        <x:v>Madhya Pradesh</x:v>
      </x:c>
      <x:c r="B14" s="37" t="str">
        <x:v>MPUVNL</x:v>
      </x:c>
      <x:c r="C14" s="37" t="str">
        <x:v>Madhya Pradesh</x:v>
      </x:c>
      <x:c r="D14" s="37" t="str">
        <x:v>Yes</x:v>
      </x:c>
      <x:c r="E14" s="37" t="str">
        <x:v>https://www.mprenewable.nic.in/</x:v>
      </x:c>
      <x:c r="F14" s="37" t="str"/>
      <x:c r="G14" s="37" t="str">
        <x:v>HTML/PDF</x:v>
      </x:c>
      <x:c r="H14" s="37" t="str"/>
    </x:row>
    <x:row r="15">
      <x:c r="A15" s="37" t="str">
        <x:v>Madhya Pradesh</x:v>
      </x:c>
      <x:c r="B15" s="37" t="str">
        <x:v>MPPMCL</x:v>
      </x:c>
      <x:c r="C15" s="37" t="str">
        <x:v>Madhya Pradesh</x:v>
      </x:c>
      <x:c r="D15" s="37" t="str">
        <x:v>Yes</x:v>
      </x:c>
      <x:c r="E15" s="37" t="str">
        <x:v>https://mppmcl.com/</x:v>
      </x:c>
      <x:c r="F15" s="37" t="str"/>
      <x:c r="G15" s="37" t="str">
        <x:v>HTML/PDF</x:v>
      </x:c>
      <x:c r="H15" s="37" t="str"/>
    </x:row>
    <x:row r="16">
      <x:c r="A16" s="37" t="str">
        <x:v>Madhya Pradesh</x:v>
      </x:c>
      <x:c r="B16" s="37" t="str">
        <x:v>MP Urja Vikas Nigam</x:v>
      </x:c>
      <x:c r="C16" s="37" t="str">
        <x:v>Madhya Pradesh</x:v>
      </x:c>
      <x:c r="D16" s="37" t="str">
        <x:v>Yes</x:v>
      </x:c>
      <x:c r="E16" s="37" t="str">
        <x:v>https://www.mprenewable.nic.in/</x:v>
      </x:c>
      <x:c r="F16" s="37" t="str"/>
      <x:c r="G16" s="37" t="str">
        <x:v>HTML/PDF</x:v>
      </x:c>
      <x:c r="H16" s="37" t="str"/>
    </x:row>
    <x:row r="17">
      <x:c r="A17" s="37" t="str">
        <x:v>Maharashtra</x:v>
      </x:c>
      <x:c r="B17" s="37" t="str">
        <x:v>MSEDCL</x:v>
      </x:c>
      <x:c r="C17" s="37" t="str">
        <x:v>Maharashtra</x:v>
      </x:c>
      <x:c r="D17" s="37" t="str">
        <x:v>Yes</x:v>
      </x:c>
      <x:c r="E17" s="37" t="str">
        <x:v>https://www.mahadiscom.in/</x:v>
      </x:c>
      <x:c r="F17" s="37" t="str"/>
      <x:c r="G17" s="37" t="str">
        <x:v>HTML/PDF</x:v>
      </x:c>
      <x:c r="H17" s="37" t="str"/>
    </x:row>
    <x:row r="18">
      <x:c r="A18" s="37" t="str">
        <x:v>Maharashtra</x:v>
      </x:c>
      <x:c r="B18" s="37" t="str">
        <x:v>MAHAGENCO</x:v>
      </x:c>
      <x:c r="C18" s="37" t="str">
        <x:v>Maharashtra</x:v>
      </x:c>
      <x:c r="D18" s="37" t="str">
        <x:v>Yes</x:v>
      </x:c>
      <x:c r="E18" s="37" t="str">
        <x:v>https://www.mahagenco.in/</x:v>
      </x:c>
      <x:c r="F18" s="37" t="str"/>
      <x:c r="G18" s="37" t="str">
        <x:v>HTML/PDF</x:v>
      </x:c>
      <x:c r="H18" s="37" t="str"/>
    </x:row>
    <x:row r="19">
      <x:c r="A19" s="37" t="str">
        <x:v>Gujarat</x:v>
      </x:c>
      <x:c r="B19" s="37" t="str">
        <x:v>GUVNL</x:v>
      </x:c>
      <x:c r="C19" s="37" t="str">
        <x:v>Gujarat</x:v>
      </x:c>
      <x:c r="D19" s="37" t="str">
        <x:v>Yes</x:v>
      </x:c>
      <x:c r="E19" s="37" t="str">
        <x:v>https://www.guvnl.com/</x:v>
      </x:c>
      <x:c r="F19" s="37" t="str"/>
      <x:c r="G19" s="37" t="str">
        <x:v>HTML/PDF</x:v>
      </x:c>
      <x:c r="H19" s="37" t="str"/>
    </x:row>
    <x:row r="20">
      <x:c r="A20" s="37" t="str">
        <x:v>Gujarat</x:v>
      </x:c>
      <x:c r="B20" s="37" t="str">
        <x:v>GPCL</x:v>
      </x:c>
      <x:c r="C20" s="37" t="str">
        <x:v>Gujarat</x:v>
      </x:c>
      <x:c r="D20" s="37" t="str">
        <x:v>Yes</x:v>
      </x:c>
      <x:c r="E20" s="37" t="str">
        <x:v>https://gpcl.gujarat.gov.in/</x:v>
      </x:c>
      <x:c r="F20" s="37" t="str"/>
      <x:c r="G20" s="37" t="str">
        <x:v>HTML/PDF</x:v>
      </x:c>
      <x:c r="H20" s="37" t="str"/>
    </x:row>
    <x:row r="21">
      <x:c r="A21" s="37" t="str">
        <x:v>Andhra Pradesh</x:v>
      </x:c>
      <x:c r="B21" s="37" t="str">
        <x:v>APSPDCL</x:v>
      </x:c>
      <x:c r="C21" s="37" t="str">
        <x:v>Andhra Pradesh</x:v>
      </x:c>
      <x:c r="D21" s="37" t="str">
        <x:v>Yes</x:v>
      </x:c>
      <x:c r="E21" s="37" t="str">
        <x:v>https://www.apspdcl.in/</x:v>
      </x:c>
      <x:c r="F21" s="37" t="str"/>
      <x:c r="G21" s="37" t="str">
        <x:v>HTML/PDF</x:v>
      </x:c>
      <x:c r="H21" s="37" t="str"/>
    </x:row>
    <x:row r="22">
      <x:c r="A22" s="37" t="str">
        <x:v>Andhra Pradesh</x:v>
      </x:c>
      <x:c r="B22" s="37" t="str">
        <x:v>APGENCO</x:v>
      </x:c>
      <x:c r="C22" s="37" t="str">
        <x:v>Andhra Pradesh</x:v>
      </x:c>
      <x:c r="D22" s="37" t="str">
        <x:v>Yes</x:v>
      </x:c>
      <x:c r="E22" s="37" t="str">
        <x:v>https://apgenco.gov.in/</x:v>
      </x:c>
      <x:c r="F22" s="37" t="str"/>
      <x:c r="G22" s="37" t="str">
        <x:v>HTML/PDF</x:v>
      </x:c>
      <x:c r="H22" s="37" t="str"/>
    </x:row>
    <x:row r="23">
      <x:c r="A23" s="37" t="str">
        <x:v>Andhra Pradesh</x:v>
      </x:c>
      <x:c r="B23" s="37" t="str">
        <x:v>NREDCAP</x:v>
      </x:c>
      <x:c r="C23" s="37" t="str">
        <x:v>Andhra Pradesh</x:v>
      </x:c>
      <x:c r="D23" s="37" t="str">
        <x:v>Yes</x:v>
      </x:c>
      <x:c r="E23" s="37" t="str">
        <x:v>https://nredcap.in/</x:v>
      </x:c>
      <x:c r="F23" s="37" t="str"/>
      <x:c r="G23" s="37" t="str">
        <x:v>HTML/PDF</x:v>
      </x:c>
      <x:c r="H23" s="37" t="str"/>
    </x:row>
    <x:row r="24">
      <x:c r="A24" s="37" t="str">
        <x:v>Telangana</x:v>
      </x:c>
      <x:c r="B24" s="37" t="str">
        <x:v>TGNPDCL</x:v>
      </x:c>
      <x:c r="C24" s="37" t="str">
        <x:v>Telangana</x:v>
      </x:c>
      <x:c r="D24" s="37" t="str">
        <x:v>Yes</x:v>
      </x:c>
      <x:c r="E24" s="37" t="str"/>
      <x:c r="F24" s="37" t="str"/>
      <x:c r="G24" s="37" t="str">
        <x:v>HTML/PDF</x:v>
      </x:c>
      <x:c r="H24" s="37" t="str">
        <x:v>Verify current official tender page</x:v>
      </x:c>
    </x:row>
    <x:row r="25">
      <x:c r="A25" s="37" t="str">
        <x:v>Telangana</x:v>
      </x:c>
      <x:c r="B25" s="37" t="str">
        <x:v>TSSPDCL</x:v>
      </x:c>
      <x:c r="C25" s="37" t="str">
        <x:v>Telangana</x:v>
      </x:c>
      <x:c r="D25" s="37" t="str">
        <x:v>Yes</x:v>
      </x:c>
      <x:c r="E25" s="37" t="str">
        <x:v>https://www.tssouthernpower.com/</x:v>
      </x:c>
      <x:c r="F25" s="37" t="str"/>
      <x:c r="G25" s="37" t="str">
        <x:v>HTML/PDF</x:v>
      </x:c>
      <x:c r="H25" s="37" t="str"/>
    </x:row>
    <x:row r="26">
      <x:c r="A26" s="37" t="str">
        <x:v>Tamil Nadu</x:v>
      </x:c>
      <x:c r="B26" s="37" t="str">
        <x:v>TNGECL</x:v>
      </x:c>
      <x:c r="C26" s="37" t="str">
        <x:v>Tamil Nadu</x:v>
      </x:c>
      <x:c r="D26" s="37" t="str">
        <x:v>Yes</x:v>
      </x:c>
      <x:c r="E26" s="37" t="str"/>
      <x:c r="F26" s="37" t="str"/>
      <x:c r="G26" s="37" t="str">
        <x:v>HTML/PDF</x:v>
      </x:c>
      <x:c r="H26" s="37" t="str">
        <x:v>Verify current official tender page</x:v>
      </x:c>
    </x:row>
    <x:row r="27">
      <x:c r="A27" s="37" t="str">
        <x:v>Tamil Nadu</x:v>
      </x:c>
      <x:c r="B27" s="37" t="str">
        <x:v>TANTRANSCO</x:v>
      </x:c>
      <x:c r="C27" s="37" t="str">
        <x:v>Tamil Nadu</x:v>
      </x:c>
      <x:c r="D27" s="37" t="str">
        <x:v>Yes</x:v>
      </x:c>
      <x:c r="E27" s="37" t="str">
        <x:v>https://www.tantransco.gov.in/</x:v>
      </x:c>
      <x:c r="F27" s="37" t="str"/>
      <x:c r="G27" s="37" t="str">
        <x:v>HTML/PDF</x:v>
      </x:c>
      <x:c r="H27" s="37" t="str"/>
    </x:row>
    <x:row r="28">
      <x:c r="A28" s="37" t="str">
        <x:v>Odisha</x:v>
      </x:c>
      <x:c r="B28" s="37" t="str">
        <x:v>GRIDCO</x:v>
      </x:c>
      <x:c r="C28" s="37" t="str">
        <x:v>Odisha</x:v>
      </x:c>
      <x:c r="D28" s="37" t="str">
        <x:v>Yes</x:v>
      </x:c>
      <x:c r="E28" s="37" t="str">
        <x:v>https://www.gridco.co.in/</x:v>
      </x:c>
      <x:c r="F28" s="37" t="str"/>
      <x:c r="G28" s="37" t="str">
        <x:v>HTML/PDF</x:v>
      </x:c>
      <x:c r="H28" s="37" t="str"/>
    </x:row>
    <x:row r="29">
      <x:c r="A29" s="37" t="str">
        <x:v>Haryana</x:v>
      </x:c>
      <x:c r="B29" s="37" t="str">
        <x:v>HAREDA</x:v>
      </x:c>
      <x:c r="C29" s="37" t="str">
        <x:v>Haryana</x:v>
      </x:c>
      <x:c r="D29" s="37" t="str">
        <x:v>Yes</x:v>
      </x:c>
      <x:c r="E29" s="37" t="str">
        <x:v>https://hareda.gov.in/</x:v>
      </x:c>
      <x:c r="F29" s="37" t="str"/>
      <x:c r="G29" s="37" t="str">
        <x:v>HTML/PDF</x:v>
      </x:c>
      <x:c r="H29" s="37" t="str"/>
    </x:row>
    <x:row r="30">
      <x:c r="A30" s="37" t="str">
        <x:v>Punjab</x:v>
      </x:c>
      <x:c r="B30" s="37" t="str">
        <x:v>PSPCL</x:v>
      </x:c>
      <x:c r="C30" s="37" t="str">
        <x:v>Punjab</x:v>
      </x:c>
      <x:c r="D30" s="37" t="str">
        <x:v>Yes</x:v>
      </x:c>
      <x:c r="E30" s="37" t="str">
        <x:v>https://www.pspcl.in/</x:v>
      </x:c>
      <x:c r="F30" s="37" t="str"/>
      <x:c r="G30" s="37" t="str">
        <x:v>HTML/PDF</x:v>
      </x:c>
      <x:c r="H30" s="37" t="str"/>
    </x:row>
    <x:row r="31">
      <x:c r="A31" s="37" t="str">
        <x:v>Uttar Pradesh</x:v>
      </x:c>
      <x:c r="B31" s="37" t="str">
        <x:v>UPNEDA</x:v>
      </x:c>
      <x:c r="C31" s="37" t="str">
        <x:v>Uttar Pradesh</x:v>
      </x:c>
      <x:c r="D31" s="37" t="str">
        <x:v>Yes</x:v>
      </x:c>
      <x:c r="E31" s="37" t="str">
        <x:v>https://upneda.org.in/</x:v>
      </x:c>
      <x:c r="F31" s="37" t="str"/>
      <x:c r="G31" s="37" t="str">
        <x:v>HTML/PDF</x:v>
      </x:c>
      <x:c r="H31" s="37" t="str"/>
    </x:row>
    <x:row r="32">
      <x:c r="A32" s="37" t="str">
        <x:v>Bihar</x:v>
      </x:c>
      <x:c r="B32" s="37" t="str">
        <x:v>BSPHCL</x:v>
      </x:c>
      <x:c r="C32" s="37" t="str">
        <x:v>Bihar</x:v>
      </x:c>
      <x:c r="D32" s="37" t="str">
        <x:v>Yes</x:v>
      </x:c>
      <x:c r="E32" s="37" t="str">
        <x:v>https://www.bsphcl.co.in/</x:v>
      </x:c>
      <x:c r="F32" s="37" t="str"/>
      <x:c r="G32" s="37" t="str">
        <x:v>HTML/PDF</x:v>
      </x:c>
      <x:c r="H32" s="37" t="str"/>
    </x:row>
    <x:row r="33">
      <x:c r="A33" s="37" t="str">
        <x:v>Others</x:v>
      </x:c>
      <x:c r="B33" s="37" t="str">
        <x:v>Central Public Procurement Portal</x:v>
      </x:c>
      <x:c r="C33" s="37" t="str">
        <x:v>All India</x:v>
      </x:c>
      <x:c r="D33" s="37" t="str">
        <x:v>Yes</x:v>
      </x:c>
      <x:c r="E33" s="37" t="str">
        <x:v>https://eprocure.gov.in/eprocure/app</x:v>
      </x:c>
      <x:c r="F33" s="37" t="str"/>
      <x:c r="G33" s="37" t="str">
        <x:v>Portal</x:v>
      </x:c>
      <x:c r="H33" s="37" t="str"/>
    </x:row>
    <x:row r="34">
      <x:c r="A34" s="37" t="str">
        <x:v>Others</x:v>
      </x:c>
      <x:c r="B34" s="37" t="str">
        <x:v>Government e-Marketplace</x:v>
      </x:c>
      <x:c r="C34" s="37" t="str">
        <x:v>All India</x:v>
      </x:c>
      <x:c r="D34" s="37" t="str">
        <x:v>No</x:v>
      </x:c>
      <x:c r="E34" s="37" t="str">
        <x:v>https://gem.gov.in/</x:v>
      </x:c>
      <x:c r="F34" s="37" t="str"/>
      <x:c r="G34" s="37" t="str">
        <x:v>Portal</x:v>
      </x:c>
      <x:c r="H34" s="37" t="str">
        <x:v>Enable where relevant</x:v>
      </x:c>
    </x:row>
  </x:sheetData>
  <x:dataValidations count="1">
    <x:dataValidation type="list" sqref="D2:D3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393ebfb09e46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Timestamp</x:v>
      </x:c>
      <x:c r="B1" s="44" t="str">
        <x:v>Agency</x:v>
      </x:c>
      <x:c r="C1" s="44" t="str">
        <x:v>Tender ID</x:v>
      </x:c>
      <x:c r="D1" s="44" t="str">
        <x:v>Action</x:v>
      </x:c>
      <x:c r="E1" s="44" t="str">
        <x:v>Previous Value</x:v>
      </x:c>
      <x:c r="F1" s="44" t="str">
        <x:v>New Value</x:v>
      </x:c>
      <x:c r="G1" s="44" t="str">
        <x:v>Result</x:v>
      </x:c>
      <x:c r="H1" s="44" t="str">
        <x:v>Error / Notes</x:v>
      </x:c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60"/>
    </x:row>
    <x:row r="3">
      <x:c r="A3" s="60"/>
    </x:row>
    <x:row r="4">
      <x:c r="A4" s="60"/>
    </x:row>
    <x:row r="5">
      <x:c r="A5" s="60"/>
    </x:row>
    <x:row r="6">
      <x:c r="A6" s="60"/>
    </x:row>
    <x:row r="7">
      <x:c r="A7" s="60"/>
    </x:row>
    <x:row r="8">
      <x:c r="A8" s="60"/>
    </x:row>
    <x:row r="9">
      <x:c r="A9" s="60"/>
    </x:row>
    <x:row r="10">
      <x:c r="A10" s="60"/>
    </x:row>
    <x:row r="11">
      <x:c r="A11" s="60"/>
    </x:row>
    <x:row r="12">
      <x:c r="A12" s="60"/>
    </x:row>
    <x:row r="13">
      <x:c r="A13" s="60"/>
    </x:row>
    <x:row r="14">
      <x:c r="A14" s="60"/>
    </x:row>
    <x:row r="15">
      <x:c r="A15" s="60"/>
    </x:row>
    <x:row r="16">
      <x:c r="A16" s="60"/>
    </x:row>
    <x:row r="17">
      <x:c r="A17" s="60"/>
    </x:row>
    <x:row r="18">
      <x:c r="A18" s="60"/>
    </x:row>
    <x:row r="19">
      <x:c r="A19" s="60"/>
    </x:row>
    <x:row r="20">
      <x:c r="A20" s="60"/>
    </x:row>
    <x:row r="21">
      <x:c r="A21" s="60"/>
    </x:row>
    <x:row r="22">
      <x:c r="A22" s="60"/>
    </x:row>
    <x:row r="23">
      <x:c r="A23" s="60"/>
    </x:row>
    <x:row r="24">
      <x:c r="A24" s="60"/>
    </x:row>
    <x:row r="25">
      <x:c r="A25" s="60"/>
    </x:row>
    <x:row r="26">
      <x:c r="A26" s="60"/>
    </x:row>
    <x:row r="27">
      <x:c r="A27" s="60"/>
    </x:row>
    <x:row r="28">
      <x:c r="A28" s="60"/>
    </x:row>
    <x:row r="29">
      <x:c r="A29" s="60"/>
    </x:row>
    <x:row r="30">
      <x:c r="A30" s="60"/>
    </x:row>
    <x:row r="31">
      <x:c r="A31" s="60"/>
    </x:row>
    <x:row r="32">
      <x:c r="A32" s="60"/>
    </x:row>
    <x:row r="33">
      <x:c r="A33" s="60"/>
    </x:row>
    <x:row r="34">
      <x:c r="A34" s="60"/>
    </x:row>
    <x:row r="35">
      <x:c r="A35" s="60"/>
    </x:row>
    <x:row r="36">
      <x:c r="A36" s="60"/>
    </x:row>
    <x:row r="37">
      <x:c r="A37" s="60"/>
    </x:row>
    <x:row r="38">
      <x:c r="A38" s="60"/>
    </x:row>
    <x:row r="39">
      <x:c r="A39" s="60"/>
    </x:row>
    <x:row r="40">
      <x:c r="A40" s="60"/>
    </x:row>
    <x:row r="41">
      <x:c r="A41" s="60"/>
    </x:row>
    <x:row r="42">
      <x:c r="A42" s="60"/>
    </x:row>
    <x:row r="43">
      <x:c r="A43" s="60"/>
    </x:row>
    <x:row r="44">
      <x:c r="A44" s="60"/>
    </x:row>
    <x:row r="45">
      <x:c r="A45" s="60"/>
    </x:row>
    <x:row r="46">
      <x:c r="A46" s="60"/>
    </x:row>
    <x:row r="47">
      <x:c r="A47" s="60"/>
    </x:row>
    <x:row r="48">
      <x:c r="A48" s="60"/>
    </x:row>
    <x:row r="49">
      <x:c r="A49" s="60"/>
    </x:row>
    <x:row r="50">
      <x:c r="A50" s="60"/>
    </x:row>
    <x:row r="51">
      <x:c r="A51" s="60"/>
    </x:row>
    <x:row r="52">
      <x:c r="A52" s="60"/>
    </x:row>
    <x:row r="53">
      <x:c r="A53" s="60"/>
    </x:row>
    <x:row r="54">
      <x:c r="A54" s="60"/>
    </x:row>
    <x:row r="55">
      <x:c r="A55" s="60"/>
    </x:row>
    <x:row r="56">
      <x:c r="A56" s="60"/>
    </x:row>
    <x:row r="57">
      <x:c r="A57" s="60"/>
    </x:row>
    <x:row r="58">
      <x:c r="A58" s="60"/>
    </x:row>
    <x:row r="59">
      <x:c r="A59" s="60"/>
    </x:row>
    <x:row r="60">
      <x:c r="A60" s="60"/>
    </x:row>
    <x:row r="61">
      <x:c r="A61" s="60"/>
    </x:row>
    <x:row r="62">
      <x:c r="A62" s="60"/>
    </x:row>
    <x:row r="63">
      <x:c r="A63" s="60"/>
    </x:row>
    <x:row r="64">
      <x:c r="A64" s="60"/>
    </x:row>
    <x:row r="65">
      <x:c r="A65" s="60"/>
    </x:row>
    <x:row r="66">
      <x:c r="A66" s="60"/>
    </x:row>
    <x:row r="67">
      <x:c r="A67" s="60"/>
    </x:row>
    <x:row r="68">
      <x:c r="A68" s="60"/>
    </x:row>
    <x:row r="69">
      <x:c r="A69" s="60"/>
    </x:row>
    <x:row r="70">
      <x:c r="A70" s="60"/>
    </x:row>
    <x:row r="71">
      <x:c r="A71" s="60"/>
    </x:row>
    <x:row r="72">
      <x:c r="A72" s="60"/>
    </x:row>
    <x:row r="73">
      <x:c r="A73" s="60"/>
    </x:row>
    <x:row r="74">
      <x:c r="A74" s="60"/>
    </x:row>
    <x:row r="75">
      <x:c r="A75" s="60"/>
    </x:row>
    <x:row r="76">
      <x:c r="A76" s="60"/>
    </x:row>
    <x:row r="77">
      <x:c r="A77" s="60"/>
    </x:row>
    <x:row r="78">
      <x:c r="A78" s="60"/>
    </x:row>
    <x:row r="79">
      <x:c r="A79" s="60"/>
    </x:row>
    <x:row r="80">
      <x:c r="A80" s="60"/>
    </x:row>
    <x:row r="81">
      <x:c r="A81" s="60"/>
    </x:row>
    <x:row r="82">
      <x:c r="A82" s="60"/>
    </x:row>
    <x:row r="83">
      <x:c r="A83" s="60"/>
    </x:row>
    <x:row r="84">
      <x:c r="A84" s="60"/>
    </x:row>
    <x:row r="85">
      <x:c r="A85" s="60"/>
    </x:row>
    <x:row r="86">
      <x:c r="A86" s="60"/>
    </x:row>
    <x:row r="87">
      <x:c r="A87" s="60"/>
    </x:row>
    <x:row r="88">
      <x:c r="A88" s="60"/>
    </x:row>
    <x:row r="89">
      <x:c r="A89" s="60"/>
    </x:row>
    <x:row r="90">
      <x:c r="A90" s="60"/>
    </x:row>
    <x:row r="91">
      <x:c r="A91" s="60"/>
    </x:row>
    <x:row r="92">
      <x:c r="A92" s="60"/>
    </x:row>
    <x:row r="93">
      <x:c r="A93" s="60"/>
    </x:row>
    <x:row r="94">
      <x:c r="A94" s="60"/>
    </x:row>
    <x:row r="95">
      <x:c r="A95" s="60"/>
    </x:row>
    <x:row r="96">
      <x:c r="A96" s="60"/>
    </x:row>
    <x:row r="97">
      <x:c r="A97" s="60"/>
    </x:row>
    <x:row r="98">
      <x:c r="A98" s="60"/>
    </x:row>
    <x:row r="99">
      <x:c r="A99" s="60"/>
    </x:row>
    <x:row r="100">
      <x:c r="A100" s="60"/>
    </x:row>
    <x:row r="101">
      <x:c r="A101" s="60"/>
    </x:row>
    <x:row r="102">
      <x:c r="A102" s="60"/>
    </x:row>
    <x:row r="103">
      <x:c r="A103" s="60"/>
    </x:row>
    <x:row r="104">
      <x:c r="A104" s="60"/>
    </x:row>
    <x:row r="105">
      <x:c r="A105" s="60"/>
    </x:row>
    <x:row r="106">
      <x:c r="A106" s="60"/>
    </x:row>
    <x:row r="107">
      <x:c r="A107" s="60"/>
    </x:row>
    <x:row r="108">
      <x:c r="A108" s="60"/>
    </x:row>
    <x:row r="109">
      <x:c r="A109" s="60"/>
    </x:row>
    <x:row r="110">
      <x:c r="A110" s="60"/>
    </x:row>
    <x:row r="111">
      <x:c r="A111" s="60"/>
    </x:row>
    <x:row r="112">
      <x:c r="A112" s="60"/>
    </x:row>
    <x:row r="113">
      <x:c r="A113" s="60"/>
    </x:row>
    <x:row r="114">
      <x:c r="A114" s="60"/>
    </x:row>
    <x:row r="115">
      <x:c r="A115" s="60"/>
    </x:row>
    <x:row r="116">
      <x:c r="A116" s="60"/>
    </x:row>
    <x:row r="117">
      <x:c r="A117" s="60"/>
    </x:row>
    <x:row r="118">
      <x:c r="A118" s="60"/>
    </x:row>
    <x:row r="119">
      <x:c r="A119" s="60"/>
    </x:row>
    <x:row r="120">
      <x:c r="A120" s="60"/>
    </x:row>
    <x:row r="121">
      <x:c r="A121" s="60"/>
    </x:row>
    <x:row r="122">
      <x:c r="A122" s="60"/>
    </x:row>
    <x:row r="123">
      <x:c r="A123" s="60"/>
    </x:row>
    <x:row r="124">
      <x:c r="A124" s="60"/>
    </x:row>
    <x:row r="125">
      <x:c r="A125" s="60"/>
    </x:row>
    <x:row r="126">
      <x:c r="A126" s="60"/>
    </x:row>
    <x:row r="127">
      <x:c r="A127" s="60"/>
    </x:row>
    <x:row r="128">
      <x:c r="A128" s="60"/>
    </x:row>
    <x:row r="129">
      <x:c r="A129" s="60"/>
    </x:row>
    <x:row r="130">
      <x:c r="A130" s="60"/>
    </x:row>
    <x:row r="131">
      <x:c r="A131" s="60"/>
    </x:row>
    <x:row r="132">
      <x:c r="A132" s="60"/>
    </x:row>
    <x:row r="133">
      <x:c r="A133" s="60"/>
    </x:row>
    <x:row r="134">
      <x:c r="A134" s="60"/>
    </x:row>
    <x:row r="135">
      <x:c r="A135" s="60"/>
    </x:row>
    <x:row r="136">
      <x:c r="A136" s="60"/>
    </x:row>
    <x:row r="137">
      <x:c r="A137" s="60"/>
    </x:row>
    <x:row r="138">
      <x:c r="A138" s="60"/>
    </x:row>
    <x:row r="139">
      <x:c r="A139" s="60"/>
    </x:row>
    <x:row r="140">
      <x:c r="A140" s="60"/>
    </x:row>
    <x:row r="141">
      <x:c r="A141" s="60"/>
    </x:row>
    <x:row r="142">
      <x:c r="A142" s="60"/>
    </x:row>
    <x:row r="143">
      <x:c r="A143" s="60"/>
    </x:row>
    <x:row r="144">
      <x:c r="A144" s="60"/>
    </x:row>
    <x:row r="145">
      <x:c r="A145" s="60"/>
    </x:row>
    <x:row r="146">
      <x:c r="A146" s="60"/>
    </x:row>
    <x:row r="147">
      <x:c r="A147" s="60"/>
    </x:row>
    <x:row r="148">
      <x:c r="A148" s="60"/>
    </x:row>
    <x:row r="149">
      <x:c r="A149" s="60"/>
    </x:row>
    <x:row r="150">
      <x:c r="A150" s="60"/>
    </x:row>
    <x:row r="151">
      <x:c r="A151" s="60"/>
    </x:row>
    <x:row r="152">
      <x:c r="A152" s="60"/>
    </x:row>
    <x:row r="153">
      <x:c r="A153" s="60"/>
    </x:row>
    <x:row r="154">
      <x:c r="A154" s="60"/>
    </x:row>
    <x:row r="155">
      <x:c r="A155" s="60"/>
    </x:row>
    <x:row r="156">
      <x:c r="A156" s="60"/>
    </x:row>
    <x:row r="157">
      <x:c r="A157" s="60"/>
    </x:row>
    <x:row r="158">
      <x:c r="A158" s="60"/>
    </x:row>
    <x:row r="159">
      <x:c r="A159" s="60"/>
    </x:row>
    <x:row r="160">
      <x:c r="A160" s="60"/>
    </x:row>
    <x:row r="161">
      <x:c r="A161" s="60"/>
    </x:row>
    <x:row r="162">
      <x:c r="A162" s="60"/>
    </x:row>
    <x:row r="163">
      <x:c r="A163" s="60"/>
    </x:row>
    <x:row r="164">
      <x:c r="A164" s="60"/>
    </x:row>
    <x:row r="165">
      <x:c r="A165" s="60"/>
    </x:row>
    <x:row r="166">
      <x:c r="A166" s="60"/>
    </x:row>
    <x:row r="167">
      <x:c r="A167" s="60"/>
    </x:row>
    <x:row r="168">
      <x:c r="A168" s="60"/>
    </x:row>
    <x:row r="169">
      <x:c r="A169" s="60"/>
    </x:row>
    <x:row r="170">
      <x:c r="A170" s="60"/>
    </x:row>
    <x:row r="171">
      <x:c r="A171" s="60"/>
    </x:row>
    <x:row r="172">
      <x:c r="A172" s="60"/>
    </x:row>
    <x:row r="173">
      <x:c r="A173" s="60"/>
    </x:row>
    <x:row r="174">
      <x:c r="A174" s="60"/>
    </x:row>
    <x:row r="175">
      <x:c r="A175" s="60"/>
    </x:row>
    <x:row r="176">
      <x:c r="A176" s="60"/>
    </x:row>
    <x:row r="177">
      <x:c r="A177" s="60"/>
    </x:row>
    <x:row r="178">
      <x:c r="A178" s="60"/>
    </x:row>
    <x:row r="179">
      <x:c r="A179" s="60"/>
    </x:row>
    <x:row r="180">
      <x:c r="A180" s="60"/>
    </x:row>
    <x:row r="181">
      <x:c r="A181" s="60"/>
    </x:row>
    <x:row r="182">
      <x:c r="A182" s="60"/>
    </x:row>
    <x:row r="183">
      <x:c r="A183" s="60"/>
    </x:row>
    <x:row r="184">
      <x:c r="A184" s="60"/>
    </x:row>
    <x:row r="185">
      <x:c r="A185" s="60"/>
    </x:row>
    <x:row r="186">
      <x:c r="A186" s="60"/>
    </x:row>
    <x:row r="187">
      <x:c r="A187" s="60"/>
    </x:row>
    <x:row r="188">
      <x:c r="A188" s="60"/>
    </x:row>
    <x:row r="189">
      <x:c r="A189" s="60"/>
    </x:row>
    <x:row r="190">
      <x:c r="A190" s="60"/>
    </x:row>
    <x:row r="191">
      <x:c r="A191" s="60"/>
    </x:row>
    <x:row r="192">
      <x:c r="A192" s="60"/>
    </x:row>
    <x:row r="193">
      <x:c r="A193" s="60"/>
    </x:row>
    <x:row r="194">
      <x:c r="A194" s="60"/>
    </x:row>
    <x:row r="195">
      <x:c r="A195" s="60"/>
    </x:row>
    <x:row r="196">
      <x:c r="A196" s="60"/>
    </x:row>
    <x:row r="197">
      <x:c r="A197" s="60"/>
    </x:row>
    <x:row r="198">
      <x:c r="A198" s="60"/>
    </x:row>
    <x:row r="199">
      <x:c r="A199" s="60"/>
    </x:row>
    <x:row r="200">
      <x:c r="A200" s="60"/>
    </x:row>
    <x:row r="201">
      <x:c r="A201" s="60"/>
    </x:row>
    <x:row r="202">
      <x:c r="A202" s="60"/>
    </x:row>
    <x:row r="203">
      <x:c r="A203" s="60"/>
    </x:row>
    <x:row r="204">
      <x:c r="A204" s="60"/>
    </x:row>
    <x:row r="205">
      <x:c r="A205" s="60"/>
    </x:row>
    <x:row r="206">
      <x:c r="A206" s="60"/>
    </x:row>
    <x:row r="207">
      <x:c r="A207" s="60"/>
    </x:row>
    <x:row r="208">
      <x:c r="A208" s="60"/>
    </x:row>
    <x:row r="209">
      <x:c r="A209" s="60"/>
    </x:row>
    <x:row r="210">
      <x:c r="A210" s="60"/>
    </x:row>
    <x:row r="211">
      <x:c r="A211" s="60"/>
    </x:row>
    <x:row r="212">
      <x:c r="A212" s="60"/>
    </x:row>
    <x:row r="213">
      <x:c r="A213" s="60"/>
    </x:row>
    <x:row r="214">
      <x:c r="A214" s="60"/>
    </x:row>
    <x:row r="215">
      <x:c r="A215" s="60"/>
    </x:row>
    <x:row r="216">
      <x:c r="A216" s="60"/>
    </x:row>
    <x:row r="217">
      <x:c r="A217" s="60"/>
    </x:row>
    <x:row r="218">
      <x:c r="A218" s="60"/>
    </x:row>
    <x:row r="219">
      <x:c r="A219" s="60"/>
    </x:row>
    <x:row r="220">
      <x:c r="A220" s="60"/>
    </x:row>
    <x:row r="221">
      <x:c r="A221" s="60"/>
    </x:row>
    <x:row r="222">
      <x:c r="A222" s="60"/>
    </x:row>
    <x:row r="223">
      <x:c r="A223" s="60"/>
    </x:row>
    <x:row r="224">
      <x:c r="A224" s="60"/>
    </x:row>
    <x:row r="225">
      <x:c r="A225" s="60"/>
    </x:row>
    <x:row r="226">
      <x:c r="A226" s="60"/>
    </x:row>
    <x:row r="227">
      <x:c r="A227" s="60"/>
    </x:row>
    <x:row r="228">
      <x:c r="A228" s="60"/>
    </x:row>
    <x:row r="229">
      <x:c r="A229" s="60"/>
    </x:row>
    <x:row r="230">
      <x:c r="A230" s="60"/>
    </x:row>
    <x:row r="231">
      <x:c r="A231" s="60"/>
    </x:row>
    <x:row r="232">
      <x:c r="A232" s="60"/>
    </x:row>
    <x:row r="233">
      <x:c r="A233" s="60"/>
    </x:row>
    <x:row r="234">
      <x:c r="A234" s="60"/>
    </x:row>
    <x:row r="235">
      <x:c r="A235" s="60"/>
    </x:row>
    <x:row r="236">
      <x:c r="A236" s="60"/>
    </x:row>
    <x:row r="237">
      <x:c r="A237" s="60"/>
    </x:row>
    <x:row r="238">
      <x:c r="A238" s="60"/>
    </x:row>
    <x:row r="239">
      <x:c r="A239" s="60"/>
    </x:row>
    <x:row r="240">
      <x:c r="A240" s="60"/>
    </x:row>
    <x:row r="241">
      <x:c r="A241" s="60"/>
    </x:row>
    <x:row r="242">
      <x:c r="A242" s="60"/>
    </x:row>
    <x:row r="243">
      <x:c r="A243" s="60"/>
    </x:row>
    <x:row r="244">
      <x:c r="A244" s="60"/>
    </x:row>
    <x:row r="245">
      <x:c r="A245" s="60"/>
    </x:row>
    <x:row r="246">
      <x:c r="A246" s="60"/>
    </x:row>
    <x:row r="247">
      <x:c r="A247" s="60"/>
    </x:row>
    <x:row r="248">
      <x:c r="A248" s="60"/>
    </x:row>
    <x:row r="249">
      <x:c r="A249" s="60"/>
    </x:row>
    <x:row r="250">
      <x:c r="A250" s="60"/>
    </x:row>
    <x:row r="251">
      <x:c r="A251" s="60"/>
    </x:row>
    <x:row r="252">
      <x:c r="A252" s="60"/>
    </x:row>
    <x:row r="253">
      <x:c r="A253" s="60"/>
    </x:row>
    <x:row r="254">
      <x:c r="A254" s="60"/>
    </x:row>
    <x:row r="255">
      <x:c r="A255" s="60"/>
    </x:row>
    <x:row r="256">
      <x:c r="A256" s="60"/>
    </x:row>
    <x:row r="257">
      <x:c r="A257" s="60"/>
    </x:row>
    <x:row r="258">
      <x:c r="A258" s="60"/>
    </x:row>
    <x:row r="259">
      <x:c r="A259" s="60"/>
    </x:row>
    <x:row r="260">
      <x:c r="A260" s="60"/>
    </x:row>
    <x:row r="261">
      <x:c r="A261" s="60"/>
    </x:row>
    <x:row r="262">
      <x:c r="A262" s="60"/>
    </x:row>
    <x:row r="263">
      <x:c r="A263" s="60"/>
    </x:row>
    <x:row r="264">
      <x:c r="A264" s="60"/>
    </x:row>
    <x:row r="265">
      <x:c r="A265" s="60"/>
    </x:row>
    <x:row r="266">
      <x:c r="A266" s="60"/>
    </x:row>
    <x:row r="267">
      <x:c r="A267" s="60"/>
    </x:row>
    <x:row r="268">
      <x:c r="A268" s="60"/>
    </x:row>
    <x:row r="269">
      <x:c r="A269" s="60"/>
    </x:row>
    <x:row r="270">
      <x:c r="A270" s="60"/>
    </x:row>
    <x:row r="271">
      <x:c r="A271" s="60"/>
    </x:row>
    <x:row r="272">
      <x:c r="A272" s="60"/>
    </x:row>
    <x:row r="273">
      <x:c r="A273" s="60"/>
    </x:row>
    <x:row r="274">
      <x:c r="A274" s="60"/>
    </x:row>
    <x:row r="275">
      <x:c r="A275" s="60"/>
    </x:row>
    <x:row r="276">
      <x:c r="A276" s="60"/>
    </x:row>
    <x:row r="277">
      <x:c r="A277" s="60"/>
    </x:row>
    <x:row r="278">
      <x:c r="A278" s="60"/>
    </x:row>
    <x:row r="279">
      <x:c r="A279" s="60"/>
    </x:row>
    <x:row r="280">
      <x:c r="A280" s="60"/>
    </x:row>
    <x:row r="281">
      <x:c r="A281" s="60"/>
    </x:row>
    <x:row r="282">
      <x:c r="A282" s="60"/>
    </x:row>
    <x:row r="283">
      <x:c r="A283" s="60"/>
    </x:row>
    <x:row r="284">
      <x:c r="A284" s="60"/>
    </x:row>
    <x:row r="285">
      <x:c r="A285" s="60"/>
    </x:row>
    <x:row r="286">
      <x:c r="A286" s="60"/>
    </x:row>
    <x:row r="287">
      <x:c r="A287" s="60"/>
    </x:row>
    <x:row r="288">
      <x:c r="A288" s="60"/>
    </x:row>
    <x:row r="289">
      <x:c r="A289" s="60"/>
    </x:row>
    <x:row r="290">
      <x:c r="A290" s="60"/>
    </x:row>
    <x:row r="291">
      <x:c r="A291" s="60"/>
    </x:row>
    <x:row r="292">
      <x:c r="A292" s="60"/>
    </x:row>
    <x:row r="293">
      <x:c r="A293" s="60"/>
    </x:row>
    <x:row r="294">
      <x:c r="A294" s="60"/>
    </x:row>
    <x:row r="295">
      <x:c r="A295" s="60"/>
    </x:row>
    <x:row r="296">
      <x:c r="A296" s="60"/>
    </x:row>
    <x:row r="297">
      <x:c r="A297" s="60"/>
    </x:row>
    <x:row r="298">
      <x:c r="A298" s="60"/>
    </x:row>
    <x:row r="299">
      <x:c r="A299" s="60"/>
    </x:row>
    <x:row r="300">
      <x:c r="A300" s="60"/>
    </x:row>
    <x:row r="301">
      <x:c r="A301" s="60"/>
    </x:row>
    <x:row r="302">
      <x:c r="A302" s="60"/>
    </x:row>
    <x:row r="303">
      <x:c r="A303" s="60"/>
    </x:row>
    <x:row r="304">
      <x:c r="A304" s="60"/>
    </x:row>
    <x:row r="305">
      <x:c r="A305" s="60"/>
    </x:row>
    <x:row r="306">
      <x:c r="A306" s="60"/>
    </x:row>
    <x:row r="307">
      <x:c r="A307" s="60"/>
    </x:row>
    <x:row r="308">
      <x:c r="A308" s="60"/>
    </x:row>
    <x:row r="309">
      <x:c r="A309" s="60"/>
    </x:row>
    <x:row r="310">
      <x:c r="A310" s="60"/>
    </x:row>
    <x:row r="311">
      <x:c r="A311" s="60"/>
    </x:row>
    <x:row r="312">
      <x:c r="A312" s="60"/>
    </x:row>
    <x:row r="313">
      <x:c r="A313" s="60"/>
    </x:row>
    <x:row r="314">
      <x:c r="A314" s="60"/>
    </x:row>
    <x:row r="315">
      <x:c r="A315" s="60"/>
    </x:row>
    <x:row r="316">
      <x:c r="A316" s="60"/>
    </x:row>
    <x:row r="317">
      <x:c r="A317" s="60"/>
    </x:row>
    <x:row r="318">
      <x:c r="A318" s="60"/>
    </x:row>
    <x:row r="319">
      <x:c r="A319" s="60"/>
    </x:row>
    <x:row r="320">
      <x:c r="A320" s="60"/>
    </x:row>
    <x:row r="321">
      <x:c r="A321" s="60"/>
    </x:row>
    <x:row r="322">
      <x:c r="A322" s="60"/>
    </x:row>
    <x:row r="323">
      <x:c r="A323" s="60"/>
    </x:row>
    <x:row r="324">
      <x:c r="A324" s="60"/>
    </x:row>
    <x:row r="325">
      <x:c r="A325" s="60"/>
    </x:row>
    <x:row r="326">
      <x:c r="A326" s="60"/>
    </x:row>
    <x:row r="327">
      <x:c r="A327" s="60"/>
    </x:row>
    <x:row r="328">
      <x:c r="A328" s="60"/>
    </x:row>
    <x:row r="329">
      <x:c r="A329" s="60"/>
    </x:row>
    <x:row r="330">
      <x:c r="A330" s="60"/>
    </x:row>
    <x:row r="331">
      <x:c r="A331" s="60"/>
    </x:row>
    <x:row r="332">
      <x:c r="A332" s="60"/>
    </x:row>
    <x:row r="333">
      <x:c r="A333" s="60"/>
    </x:row>
    <x:row r="334">
      <x:c r="A334" s="60"/>
    </x:row>
    <x:row r="335">
      <x:c r="A335" s="60"/>
    </x:row>
    <x:row r="336">
      <x:c r="A336" s="60"/>
    </x:row>
    <x:row r="337">
      <x:c r="A337" s="60"/>
    </x:row>
    <x:row r="338">
      <x:c r="A338" s="60"/>
    </x:row>
    <x:row r="339">
      <x:c r="A339" s="60"/>
    </x:row>
    <x:row r="340">
      <x:c r="A340" s="60"/>
    </x:row>
    <x:row r="341">
      <x:c r="A341" s="60"/>
    </x:row>
    <x:row r="342">
      <x:c r="A342" s="60"/>
    </x:row>
    <x:row r="343">
      <x:c r="A343" s="60"/>
    </x:row>
    <x:row r="344">
      <x:c r="A344" s="60"/>
    </x:row>
    <x:row r="345">
      <x:c r="A345" s="60"/>
    </x:row>
    <x:row r="346">
      <x:c r="A346" s="60"/>
    </x:row>
    <x:row r="347">
      <x:c r="A347" s="60"/>
    </x:row>
    <x:row r="348">
      <x:c r="A348" s="60"/>
    </x:row>
    <x:row r="349">
      <x:c r="A349" s="60"/>
    </x:row>
    <x:row r="350">
      <x:c r="A350" s="60"/>
    </x:row>
    <x:row r="351">
      <x:c r="A351" s="60"/>
    </x:row>
    <x:row r="352">
      <x:c r="A352" s="60"/>
    </x:row>
    <x:row r="353">
      <x:c r="A353" s="60"/>
    </x:row>
    <x:row r="354">
      <x:c r="A354" s="60"/>
    </x:row>
    <x:row r="355">
      <x:c r="A355" s="60"/>
    </x:row>
    <x:row r="356">
      <x:c r="A356" s="60"/>
    </x:row>
    <x:row r="357">
      <x:c r="A357" s="60"/>
    </x:row>
    <x:row r="358">
      <x:c r="A358" s="60"/>
    </x:row>
    <x:row r="359">
      <x:c r="A359" s="60"/>
    </x:row>
    <x:row r="360">
      <x:c r="A360" s="60"/>
    </x:row>
    <x:row r="361">
      <x:c r="A361" s="60"/>
    </x:row>
    <x:row r="362">
      <x:c r="A362" s="60"/>
    </x:row>
    <x:row r="363">
      <x:c r="A363" s="60"/>
    </x:row>
    <x:row r="364">
      <x:c r="A364" s="60"/>
    </x:row>
    <x:row r="365">
      <x:c r="A365" s="60"/>
    </x:row>
    <x:row r="366">
      <x:c r="A366" s="60"/>
    </x:row>
    <x:row r="367">
      <x:c r="A367" s="60"/>
    </x:row>
    <x:row r="368">
      <x:c r="A368" s="60"/>
    </x:row>
    <x:row r="369">
      <x:c r="A369" s="60"/>
    </x:row>
    <x:row r="370">
      <x:c r="A370" s="60"/>
    </x:row>
    <x:row r="371">
      <x:c r="A371" s="60"/>
    </x:row>
    <x:row r="372">
      <x:c r="A372" s="60"/>
    </x:row>
    <x:row r="373">
      <x:c r="A373" s="60"/>
    </x:row>
    <x:row r="374">
      <x:c r="A374" s="60"/>
    </x:row>
    <x:row r="375">
      <x:c r="A375" s="60"/>
    </x:row>
    <x:row r="376">
      <x:c r="A376" s="60"/>
    </x:row>
    <x:row r="377">
      <x:c r="A377" s="60"/>
    </x:row>
    <x:row r="378">
      <x:c r="A378" s="60"/>
    </x:row>
    <x:row r="379">
      <x:c r="A379" s="60"/>
    </x:row>
    <x:row r="380">
      <x:c r="A380" s="60"/>
    </x:row>
    <x:row r="381">
      <x:c r="A381" s="60"/>
    </x:row>
    <x:row r="382">
      <x:c r="A382" s="60"/>
    </x:row>
    <x:row r="383">
      <x:c r="A383" s="60"/>
    </x:row>
    <x:row r="384">
      <x:c r="A384" s="60"/>
    </x:row>
    <x:row r="385">
      <x:c r="A385" s="60"/>
    </x:row>
    <x:row r="386">
      <x:c r="A386" s="60"/>
    </x:row>
    <x:row r="387">
      <x:c r="A387" s="60"/>
    </x:row>
    <x:row r="388">
      <x:c r="A388" s="60"/>
    </x:row>
    <x:row r="389">
      <x:c r="A389" s="60"/>
    </x:row>
    <x:row r="390">
      <x:c r="A390" s="60"/>
    </x:row>
    <x:row r="391">
      <x:c r="A391" s="60"/>
    </x:row>
    <x:row r="392">
      <x:c r="A392" s="60"/>
    </x:row>
    <x:row r="393">
      <x:c r="A393" s="60"/>
    </x:row>
    <x:row r="394">
      <x:c r="A394" s="60"/>
    </x:row>
    <x:row r="395">
      <x:c r="A395" s="60"/>
    </x:row>
    <x:row r="396">
      <x:c r="A396" s="60"/>
    </x:row>
    <x:row r="397">
      <x:c r="A397" s="60"/>
    </x:row>
    <x:row r="398">
      <x:c r="A398" s="60"/>
    </x:row>
    <x:row r="399">
      <x:c r="A399" s="60"/>
    </x:row>
    <x:row r="400">
      <x:c r="A400" s="60"/>
    </x:row>
    <x:row r="401">
      <x:c r="A401" s="60"/>
    </x:row>
    <x:row r="402">
      <x:c r="A402" s="60"/>
    </x:row>
    <x:row r="403">
      <x:c r="A403" s="60"/>
    </x:row>
    <x:row r="404">
      <x:c r="A404" s="60"/>
    </x:row>
    <x:row r="405">
      <x:c r="A405" s="60"/>
    </x:row>
    <x:row r="406">
      <x:c r="A406" s="60"/>
    </x:row>
    <x:row r="407">
      <x:c r="A407" s="60"/>
    </x:row>
    <x:row r="408">
      <x:c r="A408" s="60"/>
    </x:row>
    <x:row r="409">
      <x:c r="A409" s="60"/>
    </x:row>
    <x:row r="410">
      <x:c r="A410" s="60"/>
    </x:row>
    <x:row r="411">
      <x:c r="A411" s="60"/>
    </x:row>
    <x:row r="412">
      <x:c r="A412" s="60"/>
    </x:row>
    <x:row r="413">
      <x:c r="A413" s="60"/>
    </x:row>
    <x:row r="414">
      <x:c r="A414" s="60"/>
    </x:row>
    <x:row r="415">
      <x:c r="A415" s="60"/>
    </x:row>
    <x:row r="416">
      <x:c r="A416" s="60"/>
    </x:row>
    <x:row r="417">
      <x:c r="A417" s="60"/>
    </x:row>
    <x:row r="418">
      <x:c r="A418" s="60"/>
    </x:row>
    <x:row r="419">
      <x:c r="A419" s="60"/>
    </x:row>
    <x:row r="420">
      <x:c r="A420" s="60"/>
    </x:row>
    <x:row r="421">
      <x:c r="A421" s="60"/>
    </x:row>
    <x:row r="422">
      <x:c r="A422" s="60"/>
    </x:row>
    <x:row r="423">
      <x:c r="A423" s="60"/>
    </x:row>
    <x:row r="424">
      <x:c r="A424" s="60"/>
    </x:row>
    <x:row r="425">
      <x:c r="A425" s="60"/>
    </x:row>
    <x:row r="426">
      <x:c r="A426" s="60"/>
    </x:row>
    <x:row r="427">
      <x:c r="A427" s="60"/>
    </x:row>
    <x:row r="428">
      <x:c r="A428" s="60"/>
    </x:row>
    <x:row r="429">
      <x:c r="A429" s="60"/>
    </x:row>
    <x:row r="430">
      <x:c r="A430" s="60"/>
    </x:row>
    <x:row r="431">
      <x:c r="A431" s="60"/>
    </x:row>
    <x:row r="432">
      <x:c r="A432" s="60"/>
    </x:row>
    <x:row r="433">
      <x:c r="A433" s="60"/>
    </x:row>
    <x:row r="434">
      <x:c r="A434" s="60"/>
    </x:row>
    <x:row r="435">
      <x:c r="A435" s="60"/>
    </x:row>
    <x:row r="436">
      <x:c r="A436" s="60"/>
    </x:row>
    <x:row r="437">
      <x:c r="A437" s="60"/>
    </x:row>
    <x:row r="438">
      <x:c r="A438" s="60"/>
    </x:row>
    <x:row r="439">
      <x:c r="A439" s="60"/>
    </x:row>
    <x:row r="440">
      <x:c r="A440" s="60"/>
    </x:row>
    <x:row r="441">
      <x:c r="A441" s="60"/>
    </x:row>
    <x:row r="442">
      <x:c r="A442" s="60"/>
    </x:row>
    <x:row r="443">
      <x:c r="A443" s="60"/>
    </x:row>
    <x:row r="444">
      <x:c r="A444" s="60"/>
    </x:row>
    <x:row r="445">
      <x:c r="A445" s="60"/>
    </x:row>
    <x:row r="446">
      <x:c r="A446" s="60"/>
    </x:row>
    <x:row r="447">
      <x:c r="A447" s="60"/>
    </x:row>
    <x:row r="448">
      <x:c r="A448" s="60"/>
    </x:row>
    <x:row r="449">
      <x:c r="A449" s="60"/>
    </x:row>
    <x:row r="450">
      <x:c r="A450" s="60"/>
    </x:row>
    <x:row r="451">
      <x:c r="A451" s="60"/>
    </x:row>
    <x:row r="452">
      <x:c r="A452" s="60"/>
    </x:row>
    <x:row r="453">
      <x:c r="A453" s="60"/>
    </x:row>
    <x:row r="454">
      <x:c r="A454" s="60"/>
    </x:row>
    <x:row r="455">
      <x:c r="A455" s="60"/>
    </x:row>
    <x:row r="456">
      <x:c r="A456" s="60"/>
    </x:row>
    <x:row r="457">
      <x:c r="A457" s="60"/>
    </x:row>
    <x:row r="458">
      <x:c r="A458" s="60"/>
    </x:row>
    <x:row r="459">
      <x:c r="A459" s="60"/>
    </x:row>
    <x:row r="460">
      <x:c r="A460" s="60"/>
    </x:row>
    <x:row r="461">
      <x:c r="A461" s="60"/>
    </x:row>
    <x:row r="462">
      <x:c r="A462" s="60"/>
    </x:row>
    <x:row r="463">
      <x:c r="A463" s="60"/>
    </x:row>
    <x:row r="464">
      <x:c r="A464" s="60"/>
    </x:row>
    <x:row r="465">
      <x:c r="A465" s="60"/>
    </x:row>
    <x:row r="466">
      <x:c r="A466" s="60"/>
    </x:row>
    <x:row r="467">
      <x:c r="A467" s="60"/>
    </x:row>
    <x:row r="468">
      <x:c r="A468" s="60"/>
    </x:row>
    <x:row r="469">
      <x:c r="A469" s="60"/>
    </x:row>
    <x:row r="470">
      <x:c r="A470" s="60"/>
    </x:row>
    <x:row r="471">
      <x:c r="A471" s="60"/>
    </x:row>
    <x:row r="472">
      <x:c r="A472" s="60"/>
    </x:row>
    <x:row r="473">
      <x:c r="A473" s="60"/>
    </x:row>
    <x:row r="474">
      <x:c r="A474" s="60"/>
    </x:row>
    <x:row r="475">
      <x:c r="A475" s="60"/>
    </x:row>
    <x:row r="476">
      <x:c r="A476" s="60"/>
    </x:row>
    <x:row r="477">
      <x:c r="A477" s="60"/>
    </x:row>
    <x:row r="478">
      <x:c r="A478" s="60"/>
    </x:row>
    <x:row r="479">
      <x:c r="A479" s="60"/>
    </x:row>
    <x:row r="480">
      <x:c r="A480" s="60"/>
    </x:row>
    <x:row r="481">
      <x:c r="A481" s="60"/>
    </x:row>
    <x:row r="482">
      <x:c r="A482" s="60"/>
    </x:row>
    <x:row r="483">
      <x:c r="A483" s="60"/>
    </x:row>
    <x:row r="484">
      <x:c r="A484" s="60"/>
    </x:row>
    <x:row r="485">
      <x:c r="A485" s="60"/>
    </x:row>
    <x:row r="486">
      <x:c r="A486" s="60"/>
    </x:row>
    <x:row r="487">
      <x:c r="A487" s="60"/>
    </x:row>
    <x:row r="488">
      <x:c r="A488" s="60"/>
    </x:row>
    <x:row r="489">
      <x:c r="A489" s="60"/>
    </x:row>
    <x:row r="490">
      <x:c r="A490" s="60"/>
    </x:row>
    <x:row r="491">
      <x:c r="A491" s="60"/>
    </x:row>
    <x:row r="492">
      <x:c r="A492" s="60"/>
    </x:row>
    <x:row r="493">
      <x:c r="A493" s="60"/>
    </x:row>
    <x:row r="494">
      <x:c r="A494" s="60"/>
    </x:row>
    <x:row r="495">
      <x:c r="A495" s="60"/>
    </x:row>
    <x:row r="496">
      <x:c r="A496" s="60"/>
    </x:row>
    <x:row r="497">
      <x:c r="A497" s="60"/>
    </x:row>
    <x:row r="498">
      <x:c r="A498" s="60"/>
    </x:row>
    <x:row r="499">
      <x:c r="A499" s="60"/>
    </x:row>
    <x:row r="500">
      <x:c r="A500" s="60"/>
    </x:row>
    <x:row r="501">
      <x:c r="A501" s="60"/>
    </x:row>
  </x:sheetData>
  <x:pageMargins left="0.7" right="0.7" top="0.75" bottom="0.75" header="0.3" footer="0.3"/>
  <x:tableParts count="1">
    <x:tablePart xmlns:r="http://schemas.openxmlformats.org/officeDocument/2006/relationships" r:id="R19a956f657834068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New Tenders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44" t="str">
        <x:v>Tender ID</x:v>
      </x:c>
      <x:c r="B4" s="44" t="str">
        <x:v>Category</x:v>
      </x:c>
      <x:c r="C4" s="44" t="str">
        <x:v>Agency</x:v>
      </x:c>
      <x:c r="D4" s="44" t="str">
        <x:v>State</x:v>
      </x:c>
      <x:c r="E4" s="44" t="str">
        <x:v>Tender Number</x:v>
      </x:c>
      <x:c r="F4" s="44" t="str">
        <x:v>Technology</x:v>
      </x:c>
      <x:c r="G4" s="44" t="str">
        <x:v>Capacity MW</x:v>
      </x:c>
      <x:c r="H4" s="44" t="str">
        <x:v>Storage Required</x:v>
      </x:c>
      <x:c r="I4" s="44" t="str">
        <x:v>Storage Hours</x:v>
      </x:c>
      <x:c r="J4" s="44" t="str">
        <x:v>Dispatch Condition</x:v>
      </x:c>
      <x:c r="K4" s="44" t="str">
        <x:v>Minimum PLF %</x:v>
      </x:c>
      <x:c r="L4" s="44" t="str">
        <x:v>EMD</x:v>
      </x:c>
      <x:c r="M4" s="44" t="str">
        <x:v>BG / PBG Conditions</x:v>
      </x:c>
      <x:c r="N4" s="44" t="str">
        <x:v>Bid Submission Date</x:v>
      </x:c>
      <x:c r="O4" s="44" t="str">
        <x:v>Technical Opening</x:v>
      </x:c>
      <x:c r="P4" s="44" t="str">
        <x:v>Financial Opening</x:v>
      </x:c>
      <x:c r="Q4" s="44" t="str">
        <x:v>Status</x:v>
      </x:c>
      <x:c r="R4" s="44" t="str">
        <x:v>Last Updated</x:v>
      </x:c>
      <x:c r="S4" s="44" t="str">
        <x:v>Corrigendum Count</x:v>
      </x:c>
      <x:c r="T4" s="44" t="str">
        <x:v>Tender URL</x:v>
      </x:c>
      <x:c r="U4" s="44" t="str">
        <x:v>Document URL</x:v>
      </x:c>
      <x:c r="V4" s="44" t="str">
        <x:v>Remarks</x:v>
      </x:c>
    </x:row>
    <x:row r="5">
      <x:c r="A5" t="str">
        <x:f>FILTER('Master Tenders'!A2:V501,'Master Tenders'!Q2:Q501="New","No new tenders")</x:f>
        <x:v>No new tenders</x:v>
      </x:c>
    </x:row>
  </x:sheetData>
  <x:mergeCells>
    <x:mergeCell ref="A1:V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8" max="8" width="28" hidden="0" customWidth="1"/>
    <x:col min="9" max="9" width="20" hidden="0" customWidth="1"/>
    <x:col min="10" max="10" width="34" hidden="0" customWidth="1"/>
  </x:cols>
  <x:sheetData>
    <x:row r="1">
      <x:c r="A1" s="5" t="str">
        <x:v>Tracker Settings &amp; Classification Rules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5"/>
      <x:c r="B2" s="5"/>
      <x:c r="C2" s="5"/>
      <x:c r="D2" s="5"/>
      <x:c r="E2" s="5"/>
      <x:c r="F2" s="5"/>
    </x:row>
    <x:row r="4">
      <x:c r="A4" s="44" t="str">
        <x:v>Setting</x:v>
      </x:c>
      <x:c r="B4" s="44" t="str">
        <x:v>Value</x:v>
      </x:c>
      <x:c r="D4" s="44" t="str">
        <x:v>Keyword</x:v>
      </x:c>
      <x:c r="E4" s="44" t="str">
        <x:v>Mapped Technology</x:v>
      </x:c>
      <x:c r="F4" s="44" t="str">
        <x:v>Priority</x:v>
      </x:c>
      <x:c r="H4" s="151" t="str">
        <x:v>Execution Setting</x:v>
      </x:c>
      <x:c r="I4" s="151" t="str">
        <x:v>Value</x:v>
      </x:c>
      <x:c r="J4" s="151" t="str">
        <x:v>Notes</x:v>
      </x:c>
    </x:row>
    <x:row r="5">
      <x:c r="A5" t="str">
        <x:v>Default lookback days</x:v>
      </x:c>
      <x:c r="B5" t="n">
        <x:v>30</x:v>
      </x:c>
      <x:c r="D5" t="str">
        <x:v>solar + bess</x:v>
      </x:c>
      <x:c r="E5" t="str">
        <x:v>Solar + BESS</x:v>
      </x:c>
      <x:c r="F5" t="n">
        <x:v>1</x:v>
      </x:c>
      <x:c r="H5" t="str">
        <x:v>Direct XLSX write-back</x:v>
      </x:c>
      <x:c r="I5" t="str">
        <x:v>Yes</x:v>
      </x:c>
      <x:c r="J5" t="str">
        <x:v>Uses Python openpyxl in package</x:v>
      </x:c>
    </x:row>
    <x:row r="6">
      <x:c r="A6" t="str">
        <x:v>Request timeout seconds</x:v>
      </x:c>
      <x:c r="B6" t="n">
        <x:v>45</x:v>
      </x:c>
      <x:c r="D6" t="str">
        <x:v>battery energy storage</x:v>
      </x:c>
      <x:c r="E6" t="str">
        <x:v>BESS</x:v>
      </x:c>
      <x:c r="F6" t="n">
        <x:v>1</x:v>
      </x:c>
      <x:c r="H6" t="str">
        <x:v>Create timestamped backup</x:v>
      </x:c>
      <x:c r="I6" t="str">
        <x:v>Yes</x:v>
      </x:c>
      <x:c r="J6" t="str">
        <x:v>Before any live write</x:v>
      </x:c>
    </x:row>
    <x:row r="7">
      <x:c r="A7" t="str">
        <x:v>Download PDFs</x:v>
      </x:c>
      <x:c r="B7" t="str">
        <x:v>Yes</x:v>
      </x:c>
      <x:c r="D7" t="str">
        <x:v>firm and dispatchable renewable energy</x:v>
      </x:c>
      <x:c r="E7" t="str">
        <x:v>FDRE</x:v>
      </x:c>
      <x:c r="F7" t="n">
        <x:v>1</x:v>
      </x:c>
      <x:c r="H7" t="str">
        <x:v>Default dry-run</x:v>
      </x:c>
      <x:c r="I7" t="str">
        <x:v>Yes</x:v>
      </x:c>
      <x:c r="J7" t="str">
        <x:v>Recommended until tested</x:v>
      </x:c>
    </x:row>
    <x:row r="8">
      <x:c r="A8" t="str">
        <x:v>Update existing tenders</x:v>
      </x:c>
      <x:c r="B8" t="str">
        <x:v>Yes</x:v>
      </x:c>
      <x:c r="D8" t="str">
        <x:v>fdre</x:v>
      </x:c>
      <x:c r="E8" t="str">
        <x:v>FDRE</x:v>
      </x:c>
      <x:c r="F8" t="n">
        <x:v>1</x:v>
      </x:c>
      <x:c r="H8" t="str">
        <x:v>Update formulas after write</x:v>
      </x:c>
      <x:c r="I8" t="str">
        <x:v>Yes</x:v>
      </x:c>
      <x:c r="J8" t="str">
        <x:v>Excel recalculates on open</x:v>
      </x:c>
    </x:row>
    <x:row r="9">
      <x:c r="A9" t="str">
        <x:v>Close expired tenders automatically</x:v>
      </x:c>
      <x:c r="B9" t="str">
        <x:v>No</x:v>
      </x:c>
      <x:c r="D9" t="str">
        <x:v>wind solar hybrid</x:v>
      </x:c>
      <x:c r="E9" t="str">
        <x:v>Hybrid</x:v>
      </x:c>
      <x:c r="F9" t="n">
        <x:v>2</x:v>
      </x:c>
      <x:c r="H9" t="str">
        <x:v>Daily summary enabled</x:v>
      </x:c>
      <x:c r="I9" t="str">
        <x:v>Yes</x:v>
      </x:c>
      <x:c r="J9" t="str">
        <x:v>Writes run-level totals</x:v>
      </x:c>
    </x:row>
    <x:row r="10">
      <x:c r="A10" t="str">
        <x:v>Output workbook name</x:v>
      </x:c>
      <x:c r="B10" t="str">
        <x:v>Renewable_Tender_Tracker.xlsx</x:v>
      </x:c>
      <x:c r="D10" t="str">
        <x:v>hybrid renewable</x:v>
      </x:c>
      <x:c r="E10" t="str">
        <x:v>Hybrid</x:v>
      </x:c>
      <x:c r="F10" t="n">
        <x:v>2</x:v>
      </x:c>
      <x:c r="H10" t="str">
        <x:v>Export management report</x:v>
      </x:c>
      <x:c r="I10" t="str">
        <x:v>Yes</x:v>
      </x:c>
      <x:c r="J10" t="str">
        <x:v>Workbook sheet</x:v>
      </x:c>
    </x:row>
    <x:row r="11">
      <x:c r="D11" t="str">
        <x:v>wind</x:v>
      </x:c>
      <x:c r="E11" t="str">
        <x:v>Wind</x:v>
      </x:c>
      <x:c r="F11" t="n">
        <x:v>3</x:v>
      </x:c>
      <x:c r="H11" t="str">
        <x:v>Scheduled cloud execution</x:v>
      </x:c>
      <x:c r="I11" t="str">
        <x:v>Optional</x:v>
      </x:c>
      <x:c r="J11" t="str">
        <x:v>Templates included</x:v>
      </x:c>
    </x:row>
    <x:row r="12">
      <x:c r="A12" s="69" t="str">
        <x:v>Automation Parameter</x:v>
      </x:c>
      <x:c r="B12" s="69" t="str">
        <x:v>Value</x:v>
      </x:c>
      <x:c r="D12" t="str">
        <x:v>solar</x:v>
      </x:c>
      <x:c r="E12" t="str">
        <x:v>Solar</x:v>
      </x:c>
      <x:c r="F12" t="n">
        <x:v>4</x:v>
      </x:c>
      <x:c r="H12" t="str">
        <x:v>Email notifications</x:v>
      </x:c>
      <x:c r="I12" t="str">
        <x:v>Not configured</x:v>
      </x:c>
      <x:c r="J12" t="str">
        <x:v>Requires mail provider</x:v>
      </x:c>
    </x:row>
    <x:row r="13">
      <x:c r="A13" t="str">
        <x:v>Auto-close expired records</x:v>
      </x:c>
      <x:c r="B13" t="str">
        <x:v>No</x:v>
      </x:c>
      <x:c r="D13" t="str">
        <x:v>pumped storage</x:v>
      </x:c>
      <x:c r="E13" t="str">
        <x:v>Pumped Storage</x:v>
      </x:c>
      <x:c r="F13" t="n">
        <x:v>1</x:v>
      </x:c>
      <x:c r="H13" t="str">
        <x:v>Maximum input rows per run</x:v>
      </x:c>
      <x:c r="I13" t="n">
        <x:v>2000</x:v>
      </x:c>
      <x:c r="J13" t="str"/>
    </x:row>
    <x:row r="14">
      <x:c r="A14" t="str">
        <x:v>Duplicate handling</x:v>
      </x:c>
      <x:c r="B14" t="str">
        <x:v>Skip and log</x:v>
      </x:c>
      <x:c r="D14" t="str">
        <x:v>round the clock</x:v>
      </x:c>
      <x:c r="E14" t="str">
        <x:v>RTC</x:v>
      </x:c>
      <x:c r="F14" t="n">
        <x:v>2</x:v>
      </x:c>
      <x:c r="H14" t="str">
        <x:v>Workbook password</x:v>
      </x:c>
      <x:c r="I14" t="str">
        <x:v>Not configured</x:v>
      </x:c>
      <x:c r="J14" t="str">
        <x:v>Do not store secrets in files</x:v>
      </x:c>
    </x:row>
    <x:row r="15">
      <x:c r="A15" t="str">
        <x:v>History retention days</x:v>
      </x:c>
      <x:c r="B15" t="n">
        <x:v>365</x:v>
      </x:c>
      <x:c r="H15" t="str">
        <x:v>Log retention days</x:v>
      </x:c>
      <x:c r="I15" t="n">
        <x:v>365</x:v>
      </x:c>
      <x:c r="J15" t="str"/>
    </x:row>
    <x:row r="16">
      <x:c r="A16" t="str">
        <x:v>Deadline alert window</x:v>
      </x:c>
      <x:c r="B16" t="n">
        <x:v>7</x:v>
      </x:c>
    </x:row>
    <x:row r="17">
      <x:c r="A17" t="str">
        <x:v>Urgent alert window</x:v>
      </x:c>
      <x:c r="B17" t="n">
        <x:v>3</x:v>
      </x:c>
    </x:row>
    <x:row r="18">
      <x:c r="A18" t="str">
        <x:v>Preferred output format</x:v>
      </x:c>
      <x:c r="B18" t="str">
        <x:v>xlsx / xlsm-ready</x:v>
      </x:c>
    </x:row>
    <x:row r="20">
      <x:c r="A20" s="122" t="str">
        <x:v>Document Processing Setting</x:v>
      </x:c>
      <x:c r="B20" s="122" t="str">
        <x:v>Value</x:v>
      </x:c>
      <x:c r="D20" s="137" t="str">
        <x:v>Import / Writeback Setting</x:v>
      </x:c>
      <x:c r="E20" s="137" t="str">
        <x:v>Value</x:v>
      </x:c>
      <x:c r="F20" s="137" t="str">
        <x:v>Notes</x:v>
      </x:c>
    </x:row>
    <x:row r="21">
      <x:c r="A21" t="str">
        <x:v>PDF download folder</x:v>
      </x:c>
      <x:c r="B21" t="str">
        <x:v>downloads</x:v>
      </x:c>
      <x:c r="D21" t="str">
        <x:v>Import batch size</x:v>
      </x:c>
      <x:c r="E21" t="n">
        <x:v>500</x:v>
      </x:c>
      <x:c r="F21" t="str">
        <x:v>Maximum rows per file</x:v>
      </x:c>
    </x:row>
    <x:row r="22">
      <x:c r="A22" t="str">
        <x:v>Extracted text folder</x:v>
      </x:c>
      <x:c r="B22" t="str">
        <x:v>extracted_text</x:v>
      </x:c>
      <x:c r="D22" t="str">
        <x:v>Required duplicate fields</x:v>
      </x:c>
      <x:c r="E22" t="str">
        <x:v>Agency + Tender Number</x:v>
      </x:c>
      <x:c r="F22" t="str"/>
    </x:row>
    <x:row r="23">
      <x:c r="A23" t="str">
        <x:v>Maximum PDF size MB</x:v>
      </x:c>
      <x:c r="B23" t="n">
        <x:v>50</x:v>
      </x:c>
      <x:c r="D23" t="str">
        <x:v>Reject blank tender number</x:v>
      </x:c>
      <x:c r="E23" t="str">
        <x:v>Yes</x:v>
      </x:c>
      <x:c r="F23" t="str"/>
    </x:row>
    <x:row r="24">
      <x:c r="A24" t="str">
        <x:v>Minimum auto-approval confidence</x:v>
      </x:c>
      <x:c r="B24" s="123" t="n">
        <x:v>0.9</x:v>
      </x:c>
      <x:c r="D24" t="str">
        <x:v>Reject blank agency</x:v>
      </x:c>
      <x:c r="E24" t="str">
        <x:v>Yes</x:v>
      </x:c>
      <x:c r="F24" t="str"/>
    </x:row>
    <x:row r="25">
      <x:c r="A25" t="str">
        <x:v>OCR fallback enabled</x:v>
      </x:c>
      <x:c r="B25" t="str">
        <x:v>No</x:v>
      </x:c>
      <x:c r="D25" t="str">
        <x:v>Allow unknown technology</x:v>
      </x:c>
      <x:c r="E25" t="str">
        <x:v>Yes</x:v>
      </x:c>
      <x:c r="F25" t="str">
        <x:v>Mapped to Other</x:v>
      </x:c>
    </x:row>
    <x:row r="26">
      <x:c r="A26" t="str">
        <x:v>Keep raw snapshots</x:v>
      </x:c>
      <x:c r="B26" t="str">
        <x:v>Yes</x:v>
      </x:c>
      <x:c r="D26" t="str">
        <x:v>Write audit for every change</x:v>
      </x:c>
      <x:c r="E26" t="str">
        <x:v>Yes</x:v>
      </x:c>
      <x:c r="F26" t="str"/>
    </x:row>
    <x:row r="27">
      <x:c r="A27" t="str">
        <x:v>Apply approved changes automatically</x:v>
      </x:c>
      <x:c r="B27" t="str">
        <x:v>No</x:v>
      </x:c>
      <x:c r="D27" t="str">
        <x:v>Archive processed files</x:v>
      </x:c>
      <x:c r="E27" t="str">
        <x:v>Yes</x:v>
      </x:c>
      <x:c r="F27" t="str"/>
    </x:row>
    <x:row r="28">
      <x:c r="A28" t="str">
        <x:v>Document hash algorithm</x:v>
      </x:c>
      <x:c r="B28" t="str">
        <x:v>SHA-256</x:v>
      </x:c>
      <x:c r="D28" t="str">
        <x:v>Auto-create review items</x:v>
      </x:c>
      <x:c r="E28" t="str">
        <x:v>Yes</x:v>
      </x:c>
      <x:c r="F28" t="str">
        <x:v>For conflicting values</x:v>
      </x:c>
    </x:row>
    <x:row r="29">
      <x:c r="D29" t="str">
        <x:v>Rollback file enabled</x:v>
      </x:c>
      <x:c r="E29" t="str">
        <x:v>Yes</x:v>
      </x:c>
      <x:c r="F29" t="str">
        <x:v>Creates pre-write snapshot</x:v>
      </x:c>
    </x:row>
  </x:sheetData>
  <x:mergeCells>
    <x:mergeCell ref="A1:F2"/>
  </x:mergeCells>
  <x:dataValidations count="4">
    <x:dataValidation type="list" sqref="B13:B14">
      <x:formula1>"Yes,No,Skip and log,Update existing"</x:formula1>
    </x:dataValidation>
    <x:dataValidation type="list" sqref="B25:B27">
      <x:formula1>"Yes,No"</x:formula1>
    </x:dataValidation>
    <x:dataValidation type="list" sqref="E23:E29">
      <x:formula1>"Yes,No"</x:formula1>
    </x:dataValidation>
    <x:dataValidation type="list" sqref="I5:I10">
      <x:formula1>"Yes,No,Optional,Not configured"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d532cccd44c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16" hidden="0" customWidth="1"/>
    <x:col min="13" max="13" width="3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>
      <x:c r="A1" s="74" t="str">
        <x:v>Tender Intake / Import Staging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6" t="str">
        <x:v>Paste newly collected tender data here. The updater framework validates, de-duplicates, and appends approved records to Master Tenders.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</x:row>
    <x:row r="5">
      <x:c r="A5" s="69" t="str">
        <x:v>Tender ID</x:v>
      </x:c>
      <x:c r="B5" s="69" t="str">
        <x:v>Category</x:v>
      </x:c>
      <x:c r="C5" s="69" t="str">
        <x:v>Agency</x:v>
      </x:c>
      <x:c r="D5" s="69" t="str">
        <x:v>State</x:v>
      </x:c>
      <x:c r="E5" s="69" t="str">
        <x:v>Tender Number</x:v>
      </x:c>
      <x:c r="F5" s="69" t="str">
        <x:v>Technology</x:v>
      </x:c>
      <x:c r="G5" s="69" t="str">
        <x:v>Capacity MW</x:v>
      </x:c>
      <x:c r="H5" s="69" t="str">
        <x:v>Storage Required</x:v>
      </x:c>
      <x:c r="I5" s="69" t="str">
        <x:v>Storage Hours</x:v>
      </x:c>
      <x:c r="J5" s="69" t="str">
        <x:v>Dispatch Condition</x:v>
      </x:c>
      <x:c r="K5" s="69" t="str">
        <x:v>Minimum PLF %</x:v>
      </x:c>
      <x:c r="L5" s="69" t="str">
        <x:v>EMD</x:v>
      </x:c>
      <x:c r="M5" s="69" t="str">
        <x:v>BG / PBG Conditions</x:v>
      </x:c>
      <x:c r="N5" s="69" t="str">
        <x:v>Bid Submission Date</x:v>
      </x:c>
      <x:c r="O5" s="69" t="str">
        <x:v>Technical Opening</x:v>
      </x:c>
      <x:c r="P5" s="69" t="str">
        <x:v>Financial Opening</x:v>
      </x:c>
      <x:c r="Q5" s="69" t="str">
        <x:v>Status</x:v>
      </x:c>
      <x:c r="R5" s="69" t="str">
        <x:v>Last Updated</x:v>
      </x:c>
      <x:c r="S5" s="69" t="str">
        <x:v>Corrigendum Count</x:v>
      </x:c>
      <x:c r="T5" s="69" t="str">
        <x:v>Tender URL</x:v>
      </x:c>
      <x:c r="U5" s="69" t="str">
        <x:v>Document URL</x:v>
      </x:c>
      <x:c r="V5" s="69" t="str">
        <x:v>Remarks</x:v>
      </x:c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57"/>
      <x:c r="O6" s="57"/>
      <x:c r="P6" s="57"/>
      <x:c r="Q6" s="57"/>
      <x:c r="R6" s="57"/>
      <x:c r="S6" s="37"/>
      <x:c r="T6" s="37"/>
      <x:c r="U6" s="37"/>
      <x:c r="V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57"/>
      <x:c r="O7" s="57"/>
      <x:c r="P7" s="57"/>
      <x:c r="Q7" s="57"/>
      <x:c r="R7" s="57"/>
      <x:c r="S7" s="37"/>
      <x:c r="T7" s="37"/>
      <x:c r="U7" s="37"/>
      <x:c r="V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57"/>
      <x:c r="O8" s="57"/>
      <x:c r="P8" s="57"/>
      <x:c r="Q8" s="57"/>
      <x:c r="R8" s="57"/>
      <x:c r="S8" s="37"/>
      <x:c r="T8" s="37"/>
      <x:c r="U8" s="37"/>
      <x:c r="V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57"/>
      <x:c r="O9" s="57"/>
      <x:c r="P9" s="57"/>
      <x:c r="Q9" s="57"/>
      <x:c r="R9" s="57"/>
      <x:c r="S9" s="37"/>
      <x:c r="T9" s="37"/>
      <x:c r="U9" s="37"/>
      <x:c r="V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57"/>
      <x:c r="O10" s="57"/>
      <x:c r="P10" s="57"/>
      <x:c r="Q10" s="57"/>
      <x:c r="R10" s="57"/>
      <x:c r="S10" s="37"/>
      <x:c r="T10" s="37"/>
      <x:c r="U10" s="37"/>
      <x:c r="V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57"/>
      <x:c r="O11" s="57"/>
      <x:c r="P11" s="57"/>
      <x:c r="Q11" s="57"/>
      <x:c r="R11" s="57"/>
      <x:c r="S11" s="37"/>
      <x:c r="T11" s="37"/>
      <x:c r="U11" s="37"/>
      <x:c r="V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57"/>
      <x:c r="O12" s="57"/>
      <x:c r="P12" s="57"/>
      <x:c r="Q12" s="57"/>
      <x:c r="R12" s="57"/>
      <x:c r="S12" s="37"/>
      <x:c r="T12" s="37"/>
      <x:c r="U12" s="37"/>
      <x:c r="V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57"/>
      <x:c r="O13" s="57"/>
      <x:c r="P13" s="57"/>
      <x:c r="Q13" s="57"/>
      <x:c r="R13" s="57"/>
      <x:c r="S13" s="37"/>
      <x:c r="T13" s="37"/>
      <x:c r="U13" s="37"/>
      <x:c r="V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57"/>
      <x:c r="O14" s="57"/>
      <x:c r="P14" s="57"/>
      <x:c r="Q14" s="57"/>
      <x:c r="R14" s="57"/>
      <x:c r="S14" s="37"/>
      <x:c r="T14" s="37"/>
      <x:c r="U14" s="37"/>
      <x:c r="V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57"/>
      <x:c r="O15" s="57"/>
      <x:c r="P15" s="57"/>
      <x:c r="Q15" s="57"/>
      <x:c r="R15" s="57"/>
      <x:c r="S15" s="37"/>
      <x:c r="T15" s="37"/>
      <x:c r="U15" s="37"/>
      <x:c r="V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57"/>
      <x:c r="O16" s="57"/>
      <x:c r="P16" s="57"/>
      <x:c r="Q16" s="57"/>
      <x:c r="R16" s="57"/>
      <x:c r="S16" s="37"/>
      <x:c r="T16" s="37"/>
      <x:c r="U16" s="37"/>
      <x:c r="V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57"/>
      <x:c r="O17" s="57"/>
      <x:c r="P17" s="57"/>
      <x:c r="Q17" s="57"/>
      <x:c r="R17" s="57"/>
      <x:c r="S17" s="37"/>
      <x:c r="T17" s="37"/>
      <x:c r="U17" s="37"/>
      <x:c r="V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57"/>
      <x:c r="O18" s="57"/>
      <x:c r="P18" s="57"/>
      <x:c r="Q18" s="57"/>
      <x:c r="R18" s="57"/>
      <x:c r="S18" s="37"/>
      <x:c r="T18" s="37"/>
      <x:c r="U18" s="37"/>
      <x:c r="V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57"/>
      <x:c r="O19" s="57"/>
      <x:c r="P19" s="57"/>
      <x:c r="Q19" s="57"/>
      <x:c r="R19" s="57"/>
      <x:c r="S19" s="37"/>
      <x:c r="T19" s="37"/>
      <x:c r="U19" s="37"/>
      <x:c r="V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57"/>
      <x:c r="O20" s="57"/>
      <x:c r="P20" s="57"/>
      <x:c r="Q20" s="57"/>
      <x:c r="R20" s="57"/>
      <x:c r="S20" s="37"/>
      <x:c r="T20" s="37"/>
      <x:c r="U20" s="37"/>
      <x:c r="V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57"/>
      <x:c r="O21" s="57"/>
      <x:c r="P21" s="57"/>
      <x:c r="Q21" s="57"/>
      <x:c r="R21" s="57"/>
      <x:c r="S21" s="37"/>
      <x:c r="T21" s="37"/>
      <x:c r="U21" s="37"/>
      <x:c r="V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57"/>
      <x:c r="O22" s="57"/>
      <x:c r="P22" s="57"/>
      <x:c r="Q22" s="57"/>
      <x:c r="R22" s="57"/>
      <x:c r="S22" s="37"/>
      <x:c r="T22" s="37"/>
      <x:c r="U22" s="37"/>
      <x:c r="V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57"/>
      <x:c r="O23" s="57"/>
      <x:c r="P23" s="57"/>
      <x:c r="Q23" s="57"/>
      <x:c r="R23" s="57"/>
      <x:c r="S23" s="37"/>
      <x:c r="T23" s="37"/>
      <x:c r="U23" s="37"/>
      <x:c r="V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57"/>
      <x:c r="O24" s="57"/>
      <x:c r="P24" s="57"/>
      <x:c r="Q24" s="57"/>
      <x:c r="R24" s="57"/>
      <x:c r="S24" s="37"/>
      <x:c r="T24" s="37"/>
      <x:c r="U24" s="37"/>
      <x:c r="V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57"/>
      <x:c r="O25" s="57"/>
      <x:c r="P25" s="57"/>
      <x:c r="Q25" s="57"/>
      <x:c r="R25" s="57"/>
      <x:c r="S25" s="37"/>
      <x:c r="T25" s="37"/>
      <x:c r="U25" s="37"/>
      <x:c r="V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57"/>
      <x:c r="O26" s="57"/>
      <x:c r="P26" s="57"/>
      <x:c r="Q26" s="57"/>
      <x:c r="R26" s="57"/>
      <x:c r="S26" s="37"/>
      <x:c r="T26" s="37"/>
      <x:c r="U26" s="37"/>
      <x:c r="V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57"/>
      <x:c r="O27" s="57"/>
      <x:c r="P27" s="57"/>
      <x:c r="Q27" s="57"/>
      <x:c r="R27" s="57"/>
      <x:c r="S27" s="37"/>
      <x:c r="T27" s="37"/>
      <x:c r="U27" s="37"/>
      <x:c r="V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57"/>
      <x:c r="O28" s="57"/>
      <x:c r="P28" s="57"/>
      <x:c r="Q28" s="57"/>
      <x:c r="R28" s="57"/>
      <x:c r="S28" s="37"/>
      <x:c r="T28" s="37"/>
      <x:c r="U28" s="37"/>
      <x:c r="V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57"/>
      <x:c r="O29" s="57"/>
      <x:c r="P29" s="57"/>
      <x:c r="Q29" s="57"/>
      <x:c r="R29" s="57"/>
      <x:c r="S29" s="37"/>
      <x:c r="T29" s="37"/>
      <x:c r="U29" s="37"/>
      <x:c r="V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57"/>
      <x:c r="O30" s="57"/>
      <x:c r="P30" s="57"/>
      <x:c r="Q30" s="57"/>
      <x:c r="R30" s="57"/>
      <x:c r="S30" s="37"/>
      <x:c r="T30" s="37"/>
      <x:c r="U30" s="37"/>
      <x:c r="V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57"/>
      <x:c r="O31" s="57"/>
      <x:c r="P31" s="57"/>
      <x:c r="Q31" s="57"/>
      <x:c r="R31" s="57"/>
      <x:c r="S31" s="37"/>
      <x:c r="T31" s="37"/>
      <x:c r="U31" s="37"/>
      <x:c r="V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57"/>
      <x:c r="O32" s="57"/>
      <x:c r="P32" s="57"/>
      <x:c r="Q32" s="57"/>
      <x:c r="R32" s="57"/>
      <x:c r="S32" s="37"/>
      <x:c r="T32" s="37"/>
      <x:c r="U32" s="37"/>
      <x:c r="V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57"/>
      <x:c r="O33" s="57"/>
      <x:c r="P33" s="57"/>
      <x:c r="Q33" s="57"/>
      <x:c r="R33" s="57"/>
      <x:c r="S33" s="37"/>
      <x:c r="T33" s="37"/>
      <x:c r="U33" s="37"/>
      <x:c r="V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57"/>
      <x:c r="O34" s="57"/>
      <x:c r="P34" s="57"/>
      <x:c r="Q34" s="57"/>
      <x:c r="R34" s="57"/>
      <x:c r="S34" s="37"/>
      <x:c r="T34" s="37"/>
      <x:c r="U34" s="37"/>
      <x:c r="V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57"/>
      <x:c r="O35" s="57"/>
      <x:c r="P35" s="57"/>
      <x:c r="Q35" s="57"/>
      <x:c r="R35" s="57"/>
      <x:c r="S35" s="37"/>
      <x:c r="T35" s="37"/>
      <x:c r="U35" s="37"/>
      <x:c r="V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57"/>
      <x:c r="O36" s="57"/>
      <x:c r="P36" s="57"/>
      <x:c r="Q36" s="57"/>
      <x:c r="R36" s="57"/>
      <x:c r="S36" s="37"/>
      <x:c r="T36" s="37"/>
      <x:c r="U36" s="37"/>
      <x:c r="V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57"/>
      <x:c r="O37" s="57"/>
      <x:c r="P37" s="57"/>
      <x:c r="Q37" s="57"/>
      <x:c r="R37" s="57"/>
      <x:c r="S37" s="37"/>
      <x:c r="T37" s="37"/>
      <x:c r="U37" s="37"/>
      <x:c r="V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57"/>
      <x:c r="O38" s="57"/>
      <x:c r="P38" s="57"/>
      <x:c r="Q38" s="57"/>
      <x:c r="R38" s="57"/>
      <x:c r="S38" s="37"/>
      <x:c r="T38" s="37"/>
      <x:c r="U38" s="37"/>
      <x:c r="V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57"/>
      <x:c r="O39" s="57"/>
      <x:c r="P39" s="57"/>
      <x:c r="Q39" s="57"/>
      <x:c r="R39" s="57"/>
      <x:c r="S39" s="37"/>
      <x:c r="T39" s="37"/>
      <x:c r="U39" s="37"/>
      <x:c r="V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57"/>
      <x:c r="O40" s="57"/>
      <x:c r="P40" s="57"/>
      <x:c r="Q40" s="57"/>
      <x:c r="R40" s="57"/>
      <x:c r="S40" s="37"/>
      <x:c r="T40" s="37"/>
      <x:c r="U40" s="37"/>
      <x:c r="V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57"/>
      <x:c r="O41" s="57"/>
      <x:c r="P41" s="57"/>
      <x:c r="Q41" s="57"/>
      <x:c r="R41" s="57"/>
      <x:c r="S41" s="37"/>
      <x:c r="T41" s="37"/>
      <x:c r="U41" s="37"/>
      <x:c r="V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57"/>
      <x:c r="O42" s="57"/>
      <x:c r="P42" s="57"/>
      <x:c r="Q42" s="57"/>
      <x:c r="R42" s="57"/>
      <x:c r="S42" s="37"/>
      <x:c r="T42" s="37"/>
      <x:c r="U42" s="37"/>
      <x:c r="V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57"/>
      <x:c r="O43" s="57"/>
      <x:c r="P43" s="57"/>
      <x:c r="Q43" s="57"/>
      <x:c r="R43" s="57"/>
      <x:c r="S43" s="37"/>
      <x:c r="T43" s="37"/>
      <x:c r="U43" s="37"/>
      <x:c r="V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57"/>
      <x:c r="O44" s="57"/>
      <x:c r="P44" s="57"/>
      <x:c r="Q44" s="57"/>
      <x:c r="R44" s="57"/>
      <x:c r="S44" s="37"/>
      <x:c r="T44" s="37"/>
      <x:c r="U44" s="37"/>
      <x:c r="V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57"/>
      <x:c r="O45" s="57"/>
      <x:c r="P45" s="57"/>
      <x:c r="Q45" s="57"/>
      <x:c r="R45" s="57"/>
      <x:c r="S45" s="37"/>
      <x:c r="T45" s="37"/>
      <x:c r="U45" s="37"/>
      <x:c r="V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57"/>
      <x:c r="O46" s="57"/>
      <x:c r="P46" s="57"/>
      <x:c r="Q46" s="57"/>
      <x:c r="R46" s="57"/>
      <x:c r="S46" s="37"/>
      <x:c r="T46" s="37"/>
      <x:c r="U46" s="37"/>
      <x:c r="V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57"/>
      <x:c r="O47" s="57"/>
      <x:c r="P47" s="57"/>
      <x:c r="Q47" s="57"/>
      <x:c r="R47" s="57"/>
      <x:c r="S47" s="37"/>
      <x:c r="T47" s="37"/>
      <x:c r="U47" s="37"/>
      <x:c r="V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57"/>
      <x:c r="O48" s="57"/>
      <x:c r="P48" s="57"/>
      <x:c r="Q48" s="57"/>
      <x:c r="R48" s="57"/>
      <x:c r="S48" s="37"/>
      <x:c r="T48" s="37"/>
      <x:c r="U48" s="37"/>
      <x:c r="V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57"/>
      <x:c r="O49" s="57"/>
      <x:c r="P49" s="57"/>
      <x:c r="Q49" s="57"/>
      <x:c r="R49" s="57"/>
      <x:c r="S49" s="37"/>
      <x:c r="T49" s="37"/>
      <x:c r="U49" s="37"/>
      <x:c r="V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57"/>
      <x:c r="O50" s="57"/>
      <x:c r="P50" s="57"/>
      <x:c r="Q50" s="57"/>
      <x:c r="R50" s="57"/>
      <x:c r="S50" s="37"/>
      <x:c r="T50" s="37"/>
      <x:c r="U50" s="37"/>
      <x:c r="V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57"/>
      <x:c r="O51" s="57"/>
      <x:c r="P51" s="57"/>
      <x:c r="Q51" s="57"/>
      <x:c r="R51" s="57"/>
      <x:c r="S51" s="37"/>
      <x:c r="T51" s="37"/>
      <x:c r="U51" s="37"/>
      <x:c r="V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57"/>
      <x:c r="O52" s="57"/>
      <x:c r="P52" s="57"/>
      <x:c r="Q52" s="57"/>
      <x:c r="R52" s="57"/>
      <x:c r="S52" s="37"/>
      <x:c r="T52" s="37"/>
      <x:c r="U52" s="37"/>
      <x:c r="V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57"/>
      <x:c r="O53" s="57"/>
      <x:c r="P53" s="57"/>
      <x:c r="Q53" s="57"/>
      <x:c r="R53" s="57"/>
      <x:c r="S53" s="37"/>
      <x:c r="T53" s="37"/>
      <x:c r="U53" s="37"/>
      <x:c r="V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57"/>
      <x:c r="O54" s="57"/>
      <x:c r="P54" s="57"/>
      <x:c r="Q54" s="57"/>
      <x:c r="R54" s="57"/>
      <x:c r="S54" s="37"/>
      <x:c r="T54" s="37"/>
      <x:c r="U54" s="37"/>
      <x:c r="V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57"/>
      <x:c r="O55" s="57"/>
      <x:c r="P55" s="57"/>
      <x:c r="Q55" s="57"/>
      <x:c r="R55" s="57"/>
      <x:c r="S55" s="37"/>
      <x:c r="T55" s="37"/>
      <x:c r="U55" s="37"/>
      <x:c r="V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57"/>
      <x:c r="O56" s="57"/>
      <x:c r="P56" s="57"/>
      <x:c r="Q56" s="57"/>
      <x:c r="R56" s="57"/>
      <x:c r="S56" s="37"/>
      <x:c r="T56" s="37"/>
      <x:c r="U56" s="37"/>
      <x:c r="V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57"/>
      <x:c r="O57" s="57"/>
      <x:c r="P57" s="57"/>
      <x:c r="Q57" s="57"/>
      <x:c r="R57" s="57"/>
      <x:c r="S57" s="37"/>
      <x:c r="T57" s="37"/>
      <x:c r="U57" s="37"/>
      <x:c r="V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57"/>
      <x:c r="O58" s="57"/>
      <x:c r="P58" s="57"/>
      <x:c r="Q58" s="57"/>
      <x:c r="R58" s="57"/>
      <x:c r="S58" s="37"/>
      <x:c r="T58" s="37"/>
      <x:c r="U58" s="37"/>
      <x:c r="V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57"/>
      <x:c r="O59" s="57"/>
      <x:c r="P59" s="57"/>
      <x:c r="Q59" s="57"/>
      <x:c r="R59" s="57"/>
      <x:c r="S59" s="37"/>
      <x:c r="T59" s="37"/>
      <x:c r="U59" s="37"/>
      <x:c r="V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57"/>
      <x:c r="O60" s="57"/>
      <x:c r="P60" s="57"/>
      <x:c r="Q60" s="57"/>
      <x:c r="R60" s="57"/>
      <x:c r="S60" s="37"/>
      <x:c r="T60" s="37"/>
      <x:c r="U60" s="37"/>
      <x:c r="V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57"/>
      <x:c r="O61" s="57"/>
      <x:c r="P61" s="57"/>
      <x:c r="Q61" s="57"/>
      <x:c r="R61" s="57"/>
      <x:c r="S61" s="37"/>
      <x:c r="T61" s="37"/>
      <x:c r="U61" s="37"/>
      <x:c r="V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57"/>
      <x:c r="O62" s="57"/>
      <x:c r="P62" s="57"/>
      <x:c r="Q62" s="57"/>
      <x:c r="R62" s="57"/>
      <x:c r="S62" s="37"/>
      <x:c r="T62" s="37"/>
      <x:c r="U62" s="37"/>
      <x:c r="V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57"/>
      <x:c r="O63" s="57"/>
      <x:c r="P63" s="57"/>
      <x:c r="Q63" s="57"/>
      <x:c r="R63" s="57"/>
      <x:c r="S63" s="37"/>
      <x:c r="T63" s="37"/>
      <x:c r="U63" s="37"/>
      <x:c r="V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57"/>
      <x:c r="O64" s="57"/>
      <x:c r="P64" s="57"/>
      <x:c r="Q64" s="57"/>
      <x:c r="R64" s="57"/>
      <x:c r="S64" s="37"/>
      <x:c r="T64" s="37"/>
      <x:c r="U64" s="37"/>
      <x:c r="V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57"/>
      <x:c r="O65" s="57"/>
      <x:c r="P65" s="57"/>
      <x:c r="Q65" s="57"/>
      <x:c r="R65" s="57"/>
      <x:c r="S65" s="37"/>
      <x:c r="T65" s="37"/>
      <x:c r="U65" s="37"/>
      <x:c r="V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57"/>
      <x:c r="O66" s="57"/>
      <x:c r="P66" s="57"/>
      <x:c r="Q66" s="57"/>
      <x:c r="R66" s="57"/>
      <x:c r="S66" s="37"/>
      <x:c r="T66" s="37"/>
      <x:c r="U66" s="37"/>
      <x:c r="V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57"/>
      <x:c r="O67" s="57"/>
      <x:c r="P67" s="57"/>
      <x:c r="Q67" s="57"/>
      <x:c r="R67" s="57"/>
      <x:c r="S67" s="37"/>
      <x:c r="T67" s="37"/>
      <x:c r="U67" s="37"/>
      <x:c r="V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57"/>
      <x:c r="O68" s="57"/>
      <x:c r="P68" s="57"/>
      <x:c r="Q68" s="57"/>
      <x:c r="R68" s="57"/>
      <x:c r="S68" s="37"/>
      <x:c r="T68" s="37"/>
      <x:c r="U68" s="37"/>
      <x:c r="V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57"/>
      <x:c r="O69" s="57"/>
      <x:c r="P69" s="57"/>
      <x:c r="Q69" s="57"/>
      <x:c r="R69" s="57"/>
      <x:c r="S69" s="37"/>
      <x:c r="T69" s="37"/>
      <x:c r="U69" s="37"/>
      <x:c r="V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57"/>
      <x:c r="O70" s="57"/>
      <x:c r="P70" s="57"/>
      <x:c r="Q70" s="57"/>
      <x:c r="R70" s="57"/>
      <x:c r="S70" s="37"/>
      <x:c r="T70" s="37"/>
      <x:c r="U70" s="37"/>
      <x:c r="V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57"/>
      <x:c r="O71" s="57"/>
      <x:c r="P71" s="57"/>
      <x:c r="Q71" s="57"/>
      <x:c r="R71" s="57"/>
      <x:c r="S71" s="37"/>
      <x:c r="T71" s="37"/>
      <x:c r="U71" s="37"/>
      <x:c r="V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57"/>
      <x:c r="O72" s="57"/>
      <x:c r="P72" s="57"/>
      <x:c r="Q72" s="57"/>
      <x:c r="R72" s="57"/>
      <x:c r="S72" s="37"/>
      <x:c r="T72" s="37"/>
      <x:c r="U72" s="37"/>
      <x:c r="V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57"/>
      <x:c r="O73" s="57"/>
      <x:c r="P73" s="57"/>
      <x:c r="Q73" s="57"/>
      <x:c r="R73" s="57"/>
      <x:c r="S73" s="37"/>
      <x:c r="T73" s="37"/>
      <x:c r="U73" s="37"/>
      <x:c r="V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57"/>
      <x:c r="O74" s="57"/>
      <x:c r="P74" s="57"/>
      <x:c r="Q74" s="57"/>
      <x:c r="R74" s="57"/>
      <x:c r="S74" s="37"/>
      <x:c r="T74" s="37"/>
      <x:c r="U74" s="37"/>
      <x:c r="V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57"/>
      <x:c r="O75" s="57"/>
      <x:c r="P75" s="57"/>
      <x:c r="Q75" s="57"/>
      <x:c r="R75" s="57"/>
      <x:c r="S75" s="37"/>
      <x:c r="T75" s="37"/>
      <x:c r="U75" s="37"/>
      <x:c r="V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57"/>
      <x:c r="O76" s="57"/>
      <x:c r="P76" s="57"/>
      <x:c r="Q76" s="57"/>
      <x:c r="R76" s="57"/>
      <x:c r="S76" s="37"/>
      <x:c r="T76" s="37"/>
      <x:c r="U76" s="37"/>
      <x:c r="V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57"/>
      <x:c r="O77" s="57"/>
      <x:c r="P77" s="57"/>
      <x:c r="Q77" s="57"/>
      <x:c r="R77" s="57"/>
      <x:c r="S77" s="37"/>
      <x:c r="T77" s="37"/>
      <x:c r="U77" s="37"/>
      <x:c r="V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57"/>
      <x:c r="O78" s="57"/>
      <x:c r="P78" s="57"/>
      <x:c r="Q78" s="57"/>
      <x:c r="R78" s="57"/>
      <x:c r="S78" s="37"/>
      <x:c r="T78" s="37"/>
      <x:c r="U78" s="37"/>
      <x:c r="V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57"/>
      <x:c r="O79" s="57"/>
      <x:c r="P79" s="57"/>
      <x:c r="Q79" s="57"/>
      <x:c r="R79" s="57"/>
      <x:c r="S79" s="37"/>
      <x:c r="T79" s="37"/>
      <x:c r="U79" s="37"/>
      <x:c r="V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57"/>
      <x:c r="O80" s="57"/>
      <x:c r="P80" s="57"/>
      <x:c r="Q80" s="57"/>
      <x:c r="R80" s="57"/>
      <x:c r="S80" s="37"/>
      <x:c r="T80" s="37"/>
      <x:c r="U80" s="37"/>
      <x:c r="V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57"/>
      <x:c r="O81" s="57"/>
      <x:c r="P81" s="57"/>
      <x:c r="Q81" s="57"/>
      <x:c r="R81" s="57"/>
      <x:c r="S81" s="37"/>
      <x:c r="T81" s="37"/>
      <x:c r="U81" s="37"/>
      <x:c r="V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57"/>
      <x:c r="O82" s="57"/>
      <x:c r="P82" s="57"/>
      <x:c r="Q82" s="57"/>
      <x:c r="R82" s="57"/>
      <x:c r="S82" s="37"/>
      <x:c r="T82" s="37"/>
      <x:c r="U82" s="37"/>
      <x:c r="V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57"/>
      <x:c r="O83" s="57"/>
      <x:c r="P83" s="57"/>
      <x:c r="Q83" s="57"/>
      <x:c r="R83" s="57"/>
      <x:c r="S83" s="37"/>
      <x:c r="T83" s="37"/>
      <x:c r="U83" s="37"/>
      <x:c r="V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57"/>
      <x:c r="O84" s="57"/>
      <x:c r="P84" s="57"/>
      <x:c r="Q84" s="57"/>
      <x:c r="R84" s="57"/>
      <x:c r="S84" s="37"/>
      <x:c r="T84" s="37"/>
      <x:c r="U84" s="37"/>
      <x:c r="V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57"/>
      <x:c r="O85" s="57"/>
      <x:c r="P85" s="57"/>
      <x:c r="Q85" s="57"/>
      <x:c r="R85" s="57"/>
      <x:c r="S85" s="37"/>
      <x:c r="T85" s="37"/>
      <x:c r="U85" s="37"/>
      <x:c r="V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57"/>
      <x:c r="O86" s="57"/>
      <x:c r="P86" s="57"/>
      <x:c r="Q86" s="57"/>
      <x:c r="R86" s="57"/>
      <x:c r="S86" s="37"/>
      <x:c r="T86" s="37"/>
      <x:c r="U86" s="37"/>
      <x:c r="V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57"/>
      <x:c r="O87" s="57"/>
      <x:c r="P87" s="57"/>
      <x:c r="Q87" s="57"/>
      <x:c r="R87" s="57"/>
      <x:c r="S87" s="37"/>
      <x:c r="T87" s="37"/>
      <x:c r="U87" s="37"/>
      <x:c r="V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57"/>
      <x:c r="O88" s="57"/>
      <x:c r="P88" s="57"/>
      <x:c r="Q88" s="57"/>
      <x:c r="R88" s="57"/>
      <x:c r="S88" s="37"/>
      <x:c r="T88" s="37"/>
      <x:c r="U88" s="37"/>
      <x:c r="V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57"/>
      <x:c r="O89" s="57"/>
      <x:c r="P89" s="57"/>
      <x:c r="Q89" s="57"/>
      <x:c r="R89" s="57"/>
      <x:c r="S89" s="37"/>
      <x:c r="T89" s="37"/>
      <x:c r="U89" s="37"/>
      <x:c r="V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57"/>
      <x:c r="O90" s="57"/>
      <x:c r="P90" s="57"/>
      <x:c r="Q90" s="57"/>
      <x:c r="R90" s="57"/>
      <x:c r="S90" s="37"/>
      <x:c r="T90" s="37"/>
      <x:c r="U90" s="37"/>
      <x:c r="V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57"/>
      <x:c r="O91" s="57"/>
      <x:c r="P91" s="57"/>
      <x:c r="Q91" s="57"/>
      <x:c r="R91" s="57"/>
      <x:c r="S91" s="37"/>
      <x:c r="T91" s="37"/>
      <x:c r="U91" s="37"/>
      <x:c r="V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57"/>
      <x:c r="O92" s="57"/>
      <x:c r="P92" s="57"/>
      <x:c r="Q92" s="57"/>
      <x:c r="R92" s="57"/>
      <x:c r="S92" s="37"/>
      <x:c r="T92" s="37"/>
      <x:c r="U92" s="37"/>
      <x:c r="V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57"/>
      <x:c r="O93" s="57"/>
      <x:c r="P93" s="57"/>
      <x:c r="Q93" s="57"/>
      <x:c r="R93" s="57"/>
      <x:c r="S93" s="37"/>
      <x:c r="T93" s="37"/>
      <x:c r="U93" s="37"/>
      <x:c r="V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57"/>
      <x:c r="O94" s="57"/>
      <x:c r="P94" s="57"/>
      <x:c r="Q94" s="57"/>
      <x:c r="R94" s="57"/>
      <x:c r="S94" s="37"/>
      <x:c r="T94" s="37"/>
      <x:c r="U94" s="37"/>
      <x:c r="V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57"/>
      <x:c r="O95" s="57"/>
      <x:c r="P95" s="57"/>
      <x:c r="Q95" s="57"/>
      <x:c r="R95" s="57"/>
      <x:c r="S95" s="37"/>
      <x:c r="T95" s="37"/>
      <x:c r="U95" s="37"/>
      <x:c r="V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57"/>
      <x:c r="O96" s="57"/>
      <x:c r="P96" s="57"/>
      <x:c r="Q96" s="57"/>
      <x:c r="R96" s="57"/>
      <x:c r="S96" s="37"/>
      <x:c r="T96" s="37"/>
      <x:c r="U96" s="37"/>
      <x:c r="V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57"/>
      <x:c r="O97" s="57"/>
      <x:c r="P97" s="57"/>
      <x:c r="Q97" s="57"/>
      <x:c r="R97" s="57"/>
      <x:c r="S97" s="37"/>
      <x:c r="T97" s="37"/>
      <x:c r="U97" s="37"/>
      <x:c r="V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57"/>
      <x:c r="O98" s="57"/>
      <x:c r="P98" s="57"/>
      <x:c r="Q98" s="57"/>
      <x:c r="R98" s="57"/>
      <x:c r="S98" s="37"/>
      <x:c r="T98" s="37"/>
      <x:c r="U98" s="37"/>
      <x:c r="V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57"/>
      <x:c r="O99" s="57"/>
      <x:c r="P99" s="57"/>
      <x:c r="Q99" s="57"/>
      <x:c r="R99" s="57"/>
      <x:c r="S99" s="37"/>
      <x:c r="T99" s="37"/>
      <x:c r="U99" s="37"/>
      <x:c r="V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57"/>
      <x:c r="O100" s="57"/>
      <x:c r="P100" s="57"/>
      <x:c r="Q100" s="57"/>
      <x:c r="R100" s="57"/>
      <x:c r="S100" s="37"/>
      <x:c r="T100" s="37"/>
      <x:c r="U100" s="37"/>
      <x:c r="V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57"/>
      <x:c r="O101" s="57"/>
      <x:c r="P101" s="57"/>
      <x:c r="Q101" s="57"/>
      <x:c r="R101" s="57"/>
      <x:c r="S101" s="37"/>
      <x:c r="T101" s="37"/>
      <x:c r="U101" s="37"/>
      <x:c r="V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57"/>
      <x:c r="O102" s="57"/>
      <x:c r="P102" s="57"/>
      <x:c r="Q102" s="57"/>
      <x:c r="R102" s="57"/>
      <x:c r="S102" s="37"/>
      <x:c r="T102" s="37"/>
      <x:c r="U102" s="37"/>
      <x:c r="V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57"/>
      <x:c r="O103" s="57"/>
      <x:c r="P103" s="57"/>
      <x:c r="Q103" s="57"/>
      <x:c r="R103" s="57"/>
      <x:c r="S103" s="37"/>
      <x:c r="T103" s="37"/>
      <x:c r="U103" s="37"/>
      <x:c r="V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57"/>
      <x:c r="O104" s="57"/>
      <x:c r="P104" s="57"/>
      <x:c r="Q104" s="57"/>
      <x:c r="R104" s="57"/>
      <x:c r="S104" s="37"/>
      <x:c r="T104" s="37"/>
      <x:c r="U104" s="37"/>
      <x:c r="V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57"/>
      <x:c r="O105" s="57"/>
      <x:c r="P105" s="57"/>
      <x:c r="Q105" s="57"/>
      <x:c r="R105" s="57"/>
      <x:c r="S105" s="37"/>
      <x:c r="T105" s="37"/>
      <x:c r="U105" s="37"/>
      <x:c r="V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57"/>
      <x:c r="O106" s="57"/>
      <x:c r="P106" s="57"/>
      <x:c r="Q106" s="57"/>
      <x:c r="R106" s="57"/>
      <x:c r="S106" s="37"/>
      <x:c r="T106" s="37"/>
      <x:c r="U106" s="37"/>
      <x:c r="V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57"/>
      <x:c r="O107" s="57"/>
      <x:c r="P107" s="57"/>
      <x:c r="Q107" s="57"/>
      <x:c r="R107" s="57"/>
      <x:c r="S107" s="37"/>
      <x:c r="T107" s="37"/>
      <x:c r="U107" s="37"/>
      <x:c r="V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57"/>
      <x:c r="O108" s="57"/>
      <x:c r="P108" s="57"/>
      <x:c r="Q108" s="57"/>
      <x:c r="R108" s="57"/>
      <x:c r="S108" s="37"/>
      <x:c r="T108" s="37"/>
      <x:c r="U108" s="37"/>
      <x:c r="V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57"/>
      <x:c r="O109" s="57"/>
      <x:c r="P109" s="57"/>
      <x:c r="Q109" s="57"/>
      <x:c r="R109" s="57"/>
      <x:c r="S109" s="37"/>
      <x:c r="T109" s="37"/>
      <x:c r="U109" s="37"/>
      <x:c r="V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57"/>
      <x:c r="O110" s="57"/>
      <x:c r="P110" s="57"/>
      <x:c r="Q110" s="57"/>
      <x:c r="R110" s="57"/>
      <x:c r="S110" s="37"/>
      <x:c r="T110" s="37"/>
      <x:c r="U110" s="37"/>
      <x:c r="V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57"/>
      <x:c r="O111" s="57"/>
      <x:c r="P111" s="57"/>
      <x:c r="Q111" s="57"/>
      <x:c r="R111" s="57"/>
      <x:c r="S111" s="37"/>
      <x:c r="T111" s="37"/>
      <x:c r="U111" s="37"/>
      <x:c r="V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57"/>
      <x:c r="O112" s="57"/>
      <x:c r="P112" s="57"/>
      <x:c r="Q112" s="57"/>
      <x:c r="R112" s="57"/>
      <x:c r="S112" s="37"/>
      <x:c r="T112" s="37"/>
      <x:c r="U112" s="37"/>
      <x:c r="V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57"/>
      <x:c r="O113" s="57"/>
      <x:c r="P113" s="57"/>
      <x:c r="Q113" s="57"/>
      <x:c r="R113" s="57"/>
      <x:c r="S113" s="37"/>
      <x:c r="T113" s="37"/>
      <x:c r="U113" s="37"/>
      <x:c r="V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57"/>
      <x:c r="O114" s="57"/>
      <x:c r="P114" s="57"/>
      <x:c r="Q114" s="57"/>
      <x:c r="R114" s="57"/>
      <x:c r="S114" s="37"/>
      <x:c r="T114" s="37"/>
      <x:c r="U114" s="37"/>
      <x:c r="V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57"/>
      <x:c r="O115" s="57"/>
      <x:c r="P115" s="57"/>
      <x:c r="Q115" s="57"/>
      <x:c r="R115" s="57"/>
      <x:c r="S115" s="37"/>
      <x:c r="T115" s="37"/>
      <x:c r="U115" s="37"/>
      <x:c r="V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57"/>
      <x:c r="O116" s="57"/>
      <x:c r="P116" s="57"/>
      <x:c r="Q116" s="57"/>
      <x:c r="R116" s="57"/>
      <x:c r="S116" s="37"/>
      <x:c r="T116" s="37"/>
      <x:c r="U116" s="37"/>
      <x:c r="V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57"/>
      <x:c r="O117" s="57"/>
      <x:c r="P117" s="57"/>
      <x:c r="Q117" s="57"/>
      <x:c r="R117" s="57"/>
      <x:c r="S117" s="37"/>
      <x:c r="T117" s="37"/>
      <x:c r="U117" s="37"/>
      <x:c r="V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57"/>
      <x:c r="O118" s="57"/>
      <x:c r="P118" s="57"/>
      <x:c r="Q118" s="57"/>
      <x:c r="R118" s="57"/>
      <x:c r="S118" s="37"/>
      <x:c r="T118" s="37"/>
      <x:c r="U118" s="37"/>
      <x:c r="V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57"/>
      <x:c r="O119" s="57"/>
      <x:c r="P119" s="57"/>
      <x:c r="Q119" s="57"/>
      <x:c r="R119" s="57"/>
      <x:c r="S119" s="37"/>
      <x:c r="T119" s="37"/>
      <x:c r="U119" s="37"/>
      <x:c r="V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57"/>
      <x:c r="O120" s="57"/>
      <x:c r="P120" s="57"/>
      <x:c r="Q120" s="57"/>
      <x:c r="R120" s="57"/>
      <x:c r="S120" s="37"/>
      <x:c r="T120" s="37"/>
      <x:c r="U120" s="37"/>
      <x:c r="V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57"/>
      <x:c r="O121" s="57"/>
      <x:c r="P121" s="57"/>
      <x:c r="Q121" s="57"/>
      <x:c r="R121" s="57"/>
      <x:c r="S121" s="37"/>
      <x:c r="T121" s="37"/>
      <x:c r="U121" s="37"/>
      <x:c r="V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57"/>
      <x:c r="O122" s="57"/>
      <x:c r="P122" s="57"/>
      <x:c r="Q122" s="57"/>
      <x:c r="R122" s="57"/>
      <x:c r="S122" s="37"/>
      <x:c r="T122" s="37"/>
      <x:c r="U122" s="37"/>
      <x:c r="V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57"/>
      <x:c r="O123" s="57"/>
      <x:c r="P123" s="57"/>
      <x:c r="Q123" s="57"/>
      <x:c r="R123" s="57"/>
      <x:c r="S123" s="37"/>
      <x:c r="T123" s="37"/>
      <x:c r="U123" s="37"/>
      <x:c r="V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57"/>
      <x:c r="O124" s="57"/>
      <x:c r="P124" s="57"/>
      <x:c r="Q124" s="57"/>
      <x:c r="R124" s="57"/>
      <x:c r="S124" s="37"/>
      <x:c r="T124" s="37"/>
      <x:c r="U124" s="37"/>
      <x:c r="V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57"/>
      <x:c r="O125" s="57"/>
      <x:c r="P125" s="57"/>
      <x:c r="Q125" s="57"/>
      <x:c r="R125" s="57"/>
      <x:c r="S125" s="37"/>
      <x:c r="T125" s="37"/>
      <x:c r="U125" s="37"/>
      <x:c r="V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57"/>
      <x:c r="O126" s="57"/>
      <x:c r="P126" s="57"/>
      <x:c r="Q126" s="57"/>
      <x:c r="R126" s="57"/>
      <x:c r="S126" s="37"/>
      <x:c r="T126" s="37"/>
      <x:c r="U126" s="37"/>
      <x:c r="V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57"/>
      <x:c r="O127" s="57"/>
      <x:c r="P127" s="57"/>
      <x:c r="Q127" s="57"/>
      <x:c r="R127" s="57"/>
      <x:c r="S127" s="37"/>
      <x:c r="T127" s="37"/>
      <x:c r="U127" s="37"/>
      <x:c r="V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57"/>
      <x:c r="O128" s="57"/>
      <x:c r="P128" s="57"/>
      <x:c r="Q128" s="57"/>
      <x:c r="R128" s="57"/>
      <x:c r="S128" s="37"/>
      <x:c r="T128" s="37"/>
      <x:c r="U128" s="37"/>
      <x:c r="V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57"/>
      <x:c r="O129" s="57"/>
      <x:c r="P129" s="57"/>
      <x:c r="Q129" s="57"/>
      <x:c r="R129" s="57"/>
      <x:c r="S129" s="37"/>
      <x:c r="T129" s="37"/>
      <x:c r="U129" s="37"/>
      <x:c r="V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57"/>
      <x:c r="O130" s="57"/>
      <x:c r="P130" s="57"/>
      <x:c r="Q130" s="57"/>
      <x:c r="R130" s="57"/>
      <x:c r="S130" s="37"/>
      <x:c r="T130" s="37"/>
      <x:c r="U130" s="37"/>
      <x:c r="V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57"/>
      <x:c r="O131" s="57"/>
      <x:c r="P131" s="57"/>
      <x:c r="Q131" s="57"/>
      <x:c r="R131" s="57"/>
      <x:c r="S131" s="37"/>
      <x:c r="T131" s="37"/>
      <x:c r="U131" s="37"/>
      <x:c r="V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57"/>
      <x:c r="O132" s="57"/>
      <x:c r="P132" s="57"/>
      <x:c r="Q132" s="57"/>
      <x:c r="R132" s="57"/>
      <x:c r="S132" s="37"/>
      <x:c r="T132" s="37"/>
      <x:c r="U132" s="37"/>
      <x:c r="V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57"/>
      <x:c r="O133" s="57"/>
      <x:c r="P133" s="57"/>
      <x:c r="Q133" s="57"/>
      <x:c r="R133" s="57"/>
      <x:c r="S133" s="37"/>
      <x:c r="T133" s="37"/>
      <x:c r="U133" s="37"/>
      <x:c r="V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57"/>
      <x:c r="O134" s="57"/>
      <x:c r="P134" s="57"/>
      <x:c r="Q134" s="57"/>
      <x:c r="R134" s="57"/>
      <x:c r="S134" s="37"/>
      <x:c r="T134" s="37"/>
      <x:c r="U134" s="37"/>
      <x:c r="V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57"/>
      <x:c r="O135" s="57"/>
      <x:c r="P135" s="57"/>
      <x:c r="Q135" s="57"/>
      <x:c r="R135" s="57"/>
      <x:c r="S135" s="37"/>
      <x:c r="T135" s="37"/>
      <x:c r="U135" s="37"/>
      <x:c r="V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57"/>
      <x:c r="O136" s="57"/>
      <x:c r="P136" s="57"/>
      <x:c r="Q136" s="57"/>
      <x:c r="R136" s="57"/>
      <x:c r="S136" s="37"/>
      <x:c r="T136" s="37"/>
      <x:c r="U136" s="37"/>
      <x:c r="V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57"/>
      <x:c r="O137" s="57"/>
      <x:c r="P137" s="57"/>
      <x:c r="Q137" s="57"/>
      <x:c r="R137" s="57"/>
      <x:c r="S137" s="37"/>
      <x:c r="T137" s="37"/>
      <x:c r="U137" s="37"/>
      <x:c r="V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57"/>
      <x:c r="O138" s="57"/>
      <x:c r="P138" s="57"/>
      <x:c r="Q138" s="57"/>
      <x:c r="R138" s="57"/>
      <x:c r="S138" s="37"/>
      <x:c r="T138" s="37"/>
      <x:c r="U138" s="37"/>
      <x:c r="V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57"/>
      <x:c r="O139" s="57"/>
      <x:c r="P139" s="57"/>
      <x:c r="Q139" s="57"/>
      <x:c r="R139" s="57"/>
      <x:c r="S139" s="37"/>
      <x:c r="T139" s="37"/>
      <x:c r="U139" s="37"/>
      <x:c r="V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57"/>
      <x:c r="O140" s="57"/>
      <x:c r="P140" s="57"/>
      <x:c r="Q140" s="57"/>
      <x:c r="R140" s="57"/>
      <x:c r="S140" s="37"/>
      <x:c r="T140" s="37"/>
      <x:c r="U140" s="37"/>
      <x:c r="V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57"/>
      <x:c r="O141" s="57"/>
      <x:c r="P141" s="57"/>
      <x:c r="Q141" s="57"/>
      <x:c r="R141" s="57"/>
      <x:c r="S141" s="37"/>
      <x:c r="T141" s="37"/>
      <x:c r="U141" s="37"/>
      <x:c r="V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57"/>
      <x:c r="O142" s="57"/>
      <x:c r="P142" s="57"/>
      <x:c r="Q142" s="57"/>
      <x:c r="R142" s="57"/>
      <x:c r="S142" s="37"/>
      <x:c r="T142" s="37"/>
      <x:c r="U142" s="37"/>
      <x:c r="V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57"/>
      <x:c r="O143" s="57"/>
      <x:c r="P143" s="57"/>
      <x:c r="Q143" s="57"/>
      <x:c r="R143" s="57"/>
      <x:c r="S143" s="37"/>
      <x:c r="T143" s="37"/>
      <x:c r="U143" s="37"/>
      <x:c r="V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57"/>
      <x:c r="O144" s="57"/>
      <x:c r="P144" s="57"/>
      <x:c r="Q144" s="57"/>
      <x:c r="R144" s="57"/>
      <x:c r="S144" s="37"/>
      <x:c r="T144" s="37"/>
      <x:c r="U144" s="37"/>
      <x:c r="V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57"/>
      <x:c r="O145" s="57"/>
      <x:c r="P145" s="57"/>
      <x:c r="Q145" s="57"/>
      <x:c r="R145" s="57"/>
      <x:c r="S145" s="37"/>
      <x:c r="T145" s="37"/>
      <x:c r="U145" s="37"/>
      <x:c r="V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57"/>
      <x:c r="O146" s="57"/>
      <x:c r="P146" s="57"/>
      <x:c r="Q146" s="57"/>
      <x:c r="R146" s="57"/>
      <x:c r="S146" s="37"/>
      <x:c r="T146" s="37"/>
      <x:c r="U146" s="37"/>
      <x:c r="V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57"/>
      <x:c r="O147" s="57"/>
      <x:c r="P147" s="57"/>
      <x:c r="Q147" s="57"/>
      <x:c r="R147" s="57"/>
      <x:c r="S147" s="37"/>
      <x:c r="T147" s="37"/>
      <x:c r="U147" s="37"/>
      <x:c r="V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57"/>
      <x:c r="O148" s="57"/>
      <x:c r="P148" s="57"/>
      <x:c r="Q148" s="57"/>
      <x:c r="R148" s="57"/>
      <x:c r="S148" s="37"/>
      <x:c r="T148" s="37"/>
      <x:c r="U148" s="37"/>
      <x:c r="V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57"/>
      <x:c r="O149" s="57"/>
      <x:c r="P149" s="57"/>
      <x:c r="Q149" s="57"/>
      <x:c r="R149" s="57"/>
      <x:c r="S149" s="37"/>
      <x:c r="T149" s="37"/>
      <x:c r="U149" s="37"/>
      <x:c r="V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57"/>
      <x:c r="O150" s="57"/>
      <x:c r="P150" s="57"/>
      <x:c r="Q150" s="57"/>
      <x:c r="R150" s="57"/>
      <x:c r="S150" s="37"/>
      <x:c r="T150" s="37"/>
      <x:c r="U150" s="37"/>
      <x:c r="V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57"/>
      <x:c r="O151" s="57"/>
      <x:c r="P151" s="57"/>
      <x:c r="Q151" s="57"/>
      <x:c r="R151" s="57"/>
      <x:c r="S151" s="37"/>
      <x:c r="T151" s="37"/>
      <x:c r="U151" s="37"/>
      <x:c r="V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57"/>
      <x:c r="O152" s="57"/>
      <x:c r="P152" s="57"/>
      <x:c r="Q152" s="57"/>
      <x:c r="R152" s="57"/>
      <x:c r="S152" s="37"/>
      <x:c r="T152" s="37"/>
      <x:c r="U152" s="37"/>
      <x:c r="V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57"/>
      <x:c r="O153" s="57"/>
      <x:c r="P153" s="57"/>
      <x:c r="Q153" s="57"/>
      <x:c r="R153" s="57"/>
      <x:c r="S153" s="37"/>
      <x:c r="T153" s="37"/>
      <x:c r="U153" s="37"/>
      <x:c r="V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57"/>
      <x:c r="O154" s="57"/>
      <x:c r="P154" s="57"/>
      <x:c r="Q154" s="57"/>
      <x:c r="R154" s="57"/>
      <x:c r="S154" s="37"/>
      <x:c r="T154" s="37"/>
      <x:c r="U154" s="37"/>
      <x:c r="V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57"/>
      <x:c r="O155" s="57"/>
      <x:c r="P155" s="57"/>
      <x:c r="Q155" s="57"/>
      <x:c r="R155" s="57"/>
      <x:c r="S155" s="37"/>
      <x:c r="T155" s="37"/>
      <x:c r="U155" s="37"/>
      <x:c r="V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57"/>
      <x:c r="O156" s="57"/>
      <x:c r="P156" s="57"/>
      <x:c r="Q156" s="57"/>
      <x:c r="R156" s="57"/>
      <x:c r="S156" s="37"/>
      <x:c r="T156" s="37"/>
      <x:c r="U156" s="37"/>
      <x:c r="V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57"/>
      <x:c r="O157" s="57"/>
      <x:c r="P157" s="57"/>
      <x:c r="Q157" s="57"/>
      <x:c r="R157" s="57"/>
      <x:c r="S157" s="37"/>
      <x:c r="T157" s="37"/>
      <x:c r="U157" s="37"/>
      <x:c r="V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57"/>
      <x:c r="O158" s="57"/>
      <x:c r="P158" s="57"/>
      <x:c r="Q158" s="57"/>
      <x:c r="R158" s="57"/>
      <x:c r="S158" s="37"/>
      <x:c r="T158" s="37"/>
      <x:c r="U158" s="37"/>
      <x:c r="V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57"/>
      <x:c r="O159" s="57"/>
      <x:c r="P159" s="57"/>
      <x:c r="Q159" s="57"/>
      <x:c r="R159" s="57"/>
      <x:c r="S159" s="37"/>
      <x:c r="T159" s="37"/>
      <x:c r="U159" s="37"/>
      <x:c r="V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57"/>
      <x:c r="O160" s="57"/>
      <x:c r="P160" s="57"/>
      <x:c r="Q160" s="57"/>
      <x:c r="R160" s="57"/>
      <x:c r="S160" s="37"/>
      <x:c r="T160" s="37"/>
      <x:c r="U160" s="37"/>
      <x:c r="V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57"/>
      <x:c r="O161" s="57"/>
      <x:c r="P161" s="57"/>
      <x:c r="Q161" s="57"/>
      <x:c r="R161" s="57"/>
      <x:c r="S161" s="37"/>
      <x:c r="T161" s="37"/>
      <x:c r="U161" s="37"/>
      <x:c r="V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57"/>
      <x:c r="O162" s="57"/>
      <x:c r="P162" s="57"/>
      <x:c r="Q162" s="57"/>
      <x:c r="R162" s="57"/>
      <x:c r="S162" s="37"/>
      <x:c r="T162" s="37"/>
      <x:c r="U162" s="37"/>
      <x:c r="V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57"/>
      <x:c r="O163" s="57"/>
      <x:c r="P163" s="57"/>
      <x:c r="Q163" s="57"/>
      <x:c r="R163" s="57"/>
      <x:c r="S163" s="37"/>
      <x:c r="T163" s="37"/>
      <x:c r="U163" s="37"/>
      <x:c r="V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57"/>
      <x:c r="O164" s="57"/>
      <x:c r="P164" s="57"/>
      <x:c r="Q164" s="57"/>
      <x:c r="R164" s="57"/>
      <x:c r="S164" s="37"/>
      <x:c r="T164" s="37"/>
      <x:c r="U164" s="37"/>
      <x:c r="V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57"/>
      <x:c r="O165" s="57"/>
      <x:c r="P165" s="57"/>
      <x:c r="Q165" s="57"/>
      <x:c r="R165" s="57"/>
      <x:c r="S165" s="37"/>
      <x:c r="T165" s="37"/>
      <x:c r="U165" s="37"/>
      <x:c r="V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57"/>
      <x:c r="O166" s="57"/>
      <x:c r="P166" s="57"/>
      <x:c r="Q166" s="57"/>
      <x:c r="R166" s="57"/>
      <x:c r="S166" s="37"/>
      <x:c r="T166" s="37"/>
      <x:c r="U166" s="37"/>
      <x:c r="V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57"/>
      <x:c r="O167" s="57"/>
      <x:c r="P167" s="57"/>
      <x:c r="Q167" s="57"/>
      <x:c r="R167" s="57"/>
      <x:c r="S167" s="37"/>
      <x:c r="T167" s="37"/>
      <x:c r="U167" s="37"/>
      <x:c r="V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57"/>
      <x:c r="O168" s="57"/>
      <x:c r="P168" s="57"/>
      <x:c r="Q168" s="57"/>
      <x:c r="R168" s="57"/>
      <x:c r="S168" s="37"/>
      <x:c r="T168" s="37"/>
      <x:c r="U168" s="37"/>
      <x:c r="V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57"/>
      <x:c r="O169" s="57"/>
      <x:c r="P169" s="57"/>
      <x:c r="Q169" s="57"/>
      <x:c r="R169" s="57"/>
      <x:c r="S169" s="37"/>
      <x:c r="T169" s="37"/>
      <x:c r="U169" s="37"/>
      <x:c r="V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57"/>
      <x:c r="O170" s="57"/>
      <x:c r="P170" s="57"/>
      <x:c r="Q170" s="57"/>
      <x:c r="R170" s="57"/>
      <x:c r="S170" s="37"/>
      <x:c r="T170" s="37"/>
      <x:c r="U170" s="37"/>
      <x:c r="V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57"/>
      <x:c r="O171" s="57"/>
      <x:c r="P171" s="57"/>
      <x:c r="Q171" s="57"/>
      <x:c r="R171" s="57"/>
      <x:c r="S171" s="37"/>
      <x:c r="T171" s="37"/>
      <x:c r="U171" s="37"/>
      <x:c r="V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57"/>
      <x:c r="O172" s="57"/>
      <x:c r="P172" s="57"/>
      <x:c r="Q172" s="57"/>
      <x:c r="R172" s="57"/>
      <x:c r="S172" s="37"/>
      <x:c r="T172" s="37"/>
      <x:c r="U172" s="37"/>
      <x:c r="V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57"/>
      <x:c r="O173" s="57"/>
      <x:c r="P173" s="57"/>
      <x:c r="Q173" s="57"/>
      <x:c r="R173" s="57"/>
      <x:c r="S173" s="37"/>
      <x:c r="T173" s="37"/>
      <x:c r="U173" s="37"/>
      <x:c r="V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57"/>
      <x:c r="O174" s="57"/>
      <x:c r="P174" s="57"/>
      <x:c r="Q174" s="57"/>
      <x:c r="R174" s="57"/>
      <x:c r="S174" s="37"/>
      <x:c r="T174" s="37"/>
      <x:c r="U174" s="37"/>
      <x:c r="V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57"/>
      <x:c r="O175" s="57"/>
      <x:c r="P175" s="57"/>
      <x:c r="Q175" s="57"/>
      <x:c r="R175" s="57"/>
      <x:c r="S175" s="37"/>
      <x:c r="T175" s="37"/>
      <x:c r="U175" s="37"/>
      <x:c r="V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57"/>
      <x:c r="O176" s="57"/>
      <x:c r="P176" s="57"/>
      <x:c r="Q176" s="57"/>
      <x:c r="R176" s="57"/>
      <x:c r="S176" s="37"/>
      <x:c r="T176" s="37"/>
      <x:c r="U176" s="37"/>
      <x:c r="V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57"/>
      <x:c r="O177" s="57"/>
      <x:c r="P177" s="57"/>
      <x:c r="Q177" s="57"/>
      <x:c r="R177" s="57"/>
      <x:c r="S177" s="37"/>
      <x:c r="T177" s="37"/>
      <x:c r="U177" s="37"/>
      <x:c r="V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57"/>
      <x:c r="O178" s="57"/>
      <x:c r="P178" s="57"/>
      <x:c r="Q178" s="57"/>
      <x:c r="R178" s="57"/>
      <x:c r="S178" s="37"/>
      <x:c r="T178" s="37"/>
      <x:c r="U178" s="37"/>
      <x:c r="V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57"/>
      <x:c r="O179" s="57"/>
      <x:c r="P179" s="57"/>
      <x:c r="Q179" s="57"/>
      <x:c r="R179" s="57"/>
      <x:c r="S179" s="37"/>
      <x:c r="T179" s="37"/>
      <x:c r="U179" s="37"/>
      <x:c r="V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57"/>
      <x:c r="O180" s="57"/>
      <x:c r="P180" s="57"/>
      <x:c r="Q180" s="57"/>
      <x:c r="R180" s="57"/>
      <x:c r="S180" s="37"/>
      <x:c r="T180" s="37"/>
      <x:c r="U180" s="37"/>
      <x:c r="V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57"/>
      <x:c r="O181" s="57"/>
      <x:c r="P181" s="57"/>
      <x:c r="Q181" s="57"/>
      <x:c r="R181" s="57"/>
      <x:c r="S181" s="37"/>
      <x:c r="T181" s="37"/>
      <x:c r="U181" s="37"/>
      <x:c r="V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57"/>
      <x:c r="O182" s="57"/>
      <x:c r="P182" s="57"/>
      <x:c r="Q182" s="57"/>
      <x:c r="R182" s="57"/>
      <x:c r="S182" s="37"/>
      <x:c r="T182" s="37"/>
      <x:c r="U182" s="37"/>
      <x:c r="V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57"/>
      <x:c r="O183" s="57"/>
      <x:c r="P183" s="57"/>
      <x:c r="Q183" s="57"/>
      <x:c r="R183" s="57"/>
      <x:c r="S183" s="37"/>
      <x:c r="T183" s="37"/>
      <x:c r="U183" s="37"/>
      <x:c r="V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57"/>
      <x:c r="O184" s="57"/>
      <x:c r="P184" s="57"/>
      <x:c r="Q184" s="57"/>
      <x:c r="R184" s="57"/>
      <x:c r="S184" s="37"/>
      <x:c r="T184" s="37"/>
      <x:c r="U184" s="37"/>
      <x:c r="V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57"/>
      <x:c r="O185" s="57"/>
      <x:c r="P185" s="57"/>
      <x:c r="Q185" s="57"/>
      <x:c r="R185" s="57"/>
      <x:c r="S185" s="37"/>
      <x:c r="T185" s="37"/>
      <x:c r="U185" s="37"/>
      <x:c r="V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57"/>
      <x:c r="O186" s="57"/>
      <x:c r="P186" s="57"/>
      <x:c r="Q186" s="57"/>
      <x:c r="R186" s="57"/>
      <x:c r="S186" s="37"/>
      <x:c r="T186" s="37"/>
      <x:c r="U186" s="37"/>
      <x:c r="V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57"/>
      <x:c r="O187" s="57"/>
      <x:c r="P187" s="57"/>
      <x:c r="Q187" s="57"/>
      <x:c r="R187" s="57"/>
      <x:c r="S187" s="37"/>
      <x:c r="T187" s="37"/>
      <x:c r="U187" s="37"/>
      <x:c r="V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57"/>
      <x:c r="O188" s="57"/>
      <x:c r="P188" s="57"/>
      <x:c r="Q188" s="57"/>
      <x:c r="R188" s="57"/>
      <x:c r="S188" s="37"/>
      <x:c r="T188" s="37"/>
      <x:c r="U188" s="37"/>
      <x:c r="V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57"/>
      <x:c r="O189" s="57"/>
      <x:c r="P189" s="57"/>
      <x:c r="Q189" s="57"/>
      <x:c r="R189" s="57"/>
      <x:c r="S189" s="37"/>
      <x:c r="T189" s="37"/>
      <x:c r="U189" s="37"/>
      <x:c r="V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57"/>
      <x:c r="O190" s="57"/>
      <x:c r="P190" s="57"/>
      <x:c r="Q190" s="57"/>
      <x:c r="R190" s="57"/>
      <x:c r="S190" s="37"/>
      <x:c r="T190" s="37"/>
      <x:c r="U190" s="37"/>
      <x:c r="V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57"/>
      <x:c r="O191" s="57"/>
      <x:c r="P191" s="57"/>
      <x:c r="Q191" s="57"/>
      <x:c r="R191" s="57"/>
      <x:c r="S191" s="37"/>
      <x:c r="T191" s="37"/>
      <x:c r="U191" s="37"/>
      <x:c r="V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57"/>
      <x:c r="O192" s="57"/>
      <x:c r="P192" s="57"/>
      <x:c r="Q192" s="57"/>
      <x:c r="R192" s="57"/>
      <x:c r="S192" s="37"/>
      <x:c r="T192" s="37"/>
      <x:c r="U192" s="37"/>
      <x:c r="V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57"/>
      <x:c r="O193" s="57"/>
      <x:c r="P193" s="57"/>
      <x:c r="Q193" s="57"/>
      <x:c r="R193" s="57"/>
      <x:c r="S193" s="37"/>
      <x:c r="T193" s="37"/>
      <x:c r="U193" s="37"/>
      <x:c r="V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57"/>
      <x:c r="O194" s="57"/>
      <x:c r="P194" s="57"/>
      <x:c r="Q194" s="57"/>
      <x:c r="R194" s="57"/>
      <x:c r="S194" s="37"/>
      <x:c r="T194" s="37"/>
      <x:c r="U194" s="37"/>
      <x:c r="V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57"/>
      <x:c r="O195" s="57"/>
      <x:c r="P195" s="57"/>
      <x:c r="Q195" s="57"/>
      <x:c r="R195" s="57"/>
      <x:c r="S195" s="37"/>
      <x:c r="T195" s="37"/>
      <x:c r="U195" s="37"/>
      <x:c r="V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57"/>
      <x:c r="O196" s="57"/>
      <x:c r="P196" s="57"/>
      <x:c r="Q196" s="57"/>
      <x:c r="R196" s="57"/>
      <x:c r="S196" s="37"/>
      <x:c r="T196" s="37"/>
      <x:c r="U196" s="37"/>
      <x:c r="V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57"/>
      <x:c r="O197" s="57"/>
      <x:c r="P197" s="57"/>
      <x:c r="Q197" s="57"/>
      <x:c r="R197" s="57"/>
      <x:c r="S197" s="37"/>
      <x:c r="T197" s="37"/>
      <x:c r="U197" s="37"/>
      <x:c r="V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57"/>
      <x:c r="O198" s="57"/>
      <x:c r="P198" s="57"/>
      <x:c r="Q198" s="57"/>
      <x:c r="R198" s="57"/>
      <x:c r="S198" s="37"/>
      <x:c r="T198" s="37"/>
      <x:c r="U198" s="37"/>
      <x:c r="V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57"/>
      <x:c r="O199" s="57"/>
      <x:c r="P199" s="57"/>
      <x:c r="Q199" s="57"/>
      <x:c r="R199" s="57"/>
      <x:c r="S199" s="37"/>
      <x:c r="T199" s="37"/>
      <x:c r="U199" s="37"/>
      <x:c r="V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57"/>
      <x:c r="O200" s="57"/>
      <x:c r="P200" s="57"/>
      <x:c r="Q200" s="57"/>
      <x:c r="R200" s="57"/>
      <x:c r="S200" s="37"/>
      <x:c r="T200" s="37"/>
      <x:c r="U200" s="37"/>
      <x:c r="V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57"/>
      <x:c r="O201" s="57"/>
      <x:c r="P201" s="57"/>
      <x:c r="Q201" s="57"/>
      <x:c r="R201" s="57"/>
      <x:c r="S201" s="37"/>
      <x:c r="T201" s="37"/>
      <x:c r="U201" s="37"/>
      <x:c r="V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57"/>
      <x:c r="O202" s="57"/>
      <x:c r="P202" s="57"/>
      <x:c r="Q202" s="57"/>
      <x:c r="R202" s="57"/>
      <x:c r="S202" s="37"/>
      <x:c r="T202" s="37"/>
      <x:c r="U202" s="37"/>
      <x:c r="V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57"/>
      <x:c r="O203" s="57"/>
      <x:c r="P203" s="57"/>
      <x:c r="Q203" s="57"/>
      <x:c r="R203" s="57"/>
      <x:c r="S203" s="37"/>
      <x:c r="T203" s="37"/>
      <x:c r="U203" s="37"/>
      <x:c r="V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57"/>
      <x:c r="O204" s="57"/>
      <x:c r="P204" s="57"/>
      <x:c r="Q204" s="57"/>
      <x:c r="R204" s="57"/>
      <x:c r="S204" s="37"/>
      <x:c r="T204" s="37"/>
      <x:c r="U204" s="37"/>
      <x:c r="V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57"/>
      <x:c r="O205" s="57"/>
      <x:c r="P205" s="57"/>
      <x:c r="Q205" s="57"/>
      <x:c r="R205" s="57"/>
      <x:c r="S205" s="37"/>
      <x:c r="T205" s="37"/>
      <x:c r="U205" s="37"/>
      <x:c r="V205" s="37"/>
    </x:row>
  </x:sheetData>
  <x:mergeCells>
    <x:mergeCell ref="A1:V2"/>
    <x:mergeCell ref="A3:V3"/>
  </x:mergeCells>
  <x:dataValidations count="3">
    <x:dataValidation type="list" sqref="F6:F205">
      <x:formula1>"Solar,Solar + BESS,FDRE,Wind,Hybrid,BESS,Pumped Storage,RTC,Other"</x:formula1>
    </x:dataValidation>
    <x:dataValidation type="list" sqref="H6:H205">
      <x:formula1>"Yes,No,Not Specified"</x:formula1>
    </x:dataValidation>
    <x:dataValidation type="list" sqref="Q6:Q205">
      <x:formula1>"New,Open,Extended,Corrigendum,Closed,Cancelled,Awarded"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c482efabb4f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26" hidden="0" customWidth="1"/>
    <x:col min="9" max="9" width="26" hidden="0" customWidth="1"/>
    <x:col min="10" max="10" width="34" hidden="0" customWidth="1"/>
    <x:col min="11" max="11" width="32" hidden="0" customWidth="1"/>
  </x:cols>
  <x:sheetData>
    <x:row r="1">
      <x:c r="A1" s="74" t="str">
        <x:v>Tender Change History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</x:row>
    <x:row r="4">
      <x:c r="A4" s="69" t="str">
        <x:v>History ID</x:v>
      </x:c>
      <x:c r="B4" s="69" t="str">
        <x:v>Timestamp</x:v>
      </x:c>
      <x:c r="C4" s="69" t="str">
        <x:v>Tender ID</x:v>
      </x:c>
      <x:c r="D4" s="69" t="str">
        <x:v>Agency</x:v>
      </x:c>
      <x:c r="E4" s="69" t="str">
        <x:v>Tender Number</x:v>
      </x:c>
      <x:c r="F4" s="69" t="str">
        <x:v>Change Type</x:v>
      </x:c>
      <x:c r="G4" s="69" t="str">
        <x:v>Field Changed</x:v>
      </x:c>
      <x:c r="H4" s="69" t="str">
        <x:v>Old Value</x:v>
      </x:c>
      <x:c r="I4" s="69" t="str">
        <x:v>New Value</x:v>
      </x:c>
      <x:c r="J4" s="69" t="str">
        <x:v>Source URL</x:v>
      </x:c>
      <x:c r="K4" s="69" t="str">
        <x:v>Notes</x:v>
      </x:c>
    </x:row>
    <x:row r="5">
      <x:c r="B5" s="60"/>
    </x:row>
    <x:row r="6">
      <x:c r="B6" s="60"/>
    </x:row>
    <x:row r="7">
      <x:c r="B7" s="60"/>
    </x:row>
    <x:row r="8">
      <x:c r="B8" s="60"/>
    </x:row>
    <x:row r="9">
      <x:c r="B9" s="60"/>
    </x:row>
    <x:row r="10">
      <x:c r="B10" s="60"/>
    </x:row>
    <x:row r="11">
      <x:c r="B11" s="60"/>
    </x:row>
    <x:row r="12">
      <x:c r="B12" s="60"/>
    </x:row>
    <x:row r="13">
      <x:c r="B13" s="60"/>
    </x:row>
    <x:row r="14">
      <x:c r="B14" s="60"/>
    </x:row>
    <x:row r="15">
      <x:c r="B15" s="60"/>
    </x:row>
    <x:row r="16">
      <x:c r="B16" s="60"/>
    </x:row>
    <x:row r="17">
      <x:c r="B17" s="60"/>
    </x:row>
    <x:row r="18">
      <x:c r="B18" s="60"/>
    </x:row>
    <x:row r="19">
      <x:c r="B19" s="60"/>
    </x:row>
    <x:row r="20">
      <x:c r="B20" s="60"/>
    </x:row>
    <x:row r="21">
      <x:c r="B21" s="60"/>
    </x:row>
    <x:row r="22">
      <x:c r="B22" s="60"/>
    </x:row>
    <x:row r="23">
      <x:c r="B23" s="60"/>
    </x:row>
    <x:row r="24">
      <x:c r="B24" s="60"/>
    </x:row>
    <x:row r="25">
      <x:c r="B25" s="60"/>
    </x:row>
    <x:row r="26">
      <x:c r="B26" s="60"/>
    </x:row>
    <x:row r="27">
      <x:c r="B27" s="60"/>
    </x:row>
    <x:row r="28">
      <x:c r="B28" s="60"/>
    </x:row>
    <x:row r="29">
      <x:c r="B29" s="60"/>
    </x:row>
    <x:row r="30">
      <x:c r="B30" s="60"/>
    </x:row>
    <x:row r="31">
      <x:c r="B31" s="60"/>
    </x:row>
    <x:row r="32">
      <x:c r="B32" s="60"/>
    </x:row>
    <x:row r="33">
      <x:c r="B33" s="60"/>
    </x:row>
    <x:row r="34">
      <x:c r="B34" s="60"/>
    </x:row>
    <x:row r="35">
      <x:c r="B35" s="60"/>
    </x:row>
    <x:row r="36">
      <x:c r="B36" s="60"/>
    </x:row>
    <x:row r="37">
      <x:c r="B37" s="60"/>
    </x:row>
    <x:row r="38">
      <x:c r="B38" s="60"/>
    </x:row>
    <x:row r="39">
      <x:c r="B39" s="60"/>
    </x:row>
    <x:row r="40">
      <x:c r="B40" s="60"/>
    </x:row>
    <x:row r="41">
      <x:c r="B41" s="60"/>
    </x:row>
    <x:row r="42">
      <x:c r="B42" s="60"/>
    </x:row>
    <x:row r="43">
      <x:c r="B43" s="60"/>
    </x:row>
    <x:row r="44">
      <x:c r="B44" s="60"/>
    </x:row>
    <x:row r="45">
      <x:c r="B45" s="60"/>
    </x:row>
    <x:row r="46">
      <x:c r="B46" s="60"/>
    </x:row>
    <x:row r="47">
      <x:c r="B47" s="60"/>
    </x:row>
    <x:row r="48">
      <x:c r="B48" s="60"/>
    </x:row>
    <x:row r="49">
      <x:c r="B49" s="60"/>
    </x:row>
    <x:row r="50">
      <x:c r="B50" s="60"/>
    </x:row>
    <x:row r="51">
      <x:c r="B51" s="60"/>
    </x:row>
    <x:row r="52">
      <x:c r="B52" s="60"/>
    </x:row>
    <x:row r="53">
      <x:c r="B53" s="60"/>
    </x:row>
    <x:row r="54">
      <x:c r="B54" s="60"/>
    </x:row>
    <x:row r="55">
      <x:c r="B55" s="60"/>
    </x:row>
    <x:row r="56">
      <x:c r="B56" s="60"/>
    </x:row>
    <x:row r="57">
      <x:c r="B57" s="60"/>
    </x:row>
    <x:row r="58">
      <x:c r="B58" s="60"/>
    </x:row>
    <x:row r="59">
      <x:c r="B59" s="60"/>
    </x:row>
    <x:row r="60">
      <x:c r="B60" s="60"/>
    </x:row>
    <x:row r="61">
      <x:c r="B61" s="60"/>
    </x:row>
    <x:row r="62">
      <x:c r="B62" s="60"/>
    </x:row>
    <x:row r="63">
      <x:c r="B63" s="60"/>
    </x:row>
    <x:row r="64">
      <x:c r="B64" s="60"/>
    </x:row>
    <x:row r="65">
      <x:c r="B65" s="60"/>
    </x:row>
    <x:row r="66">
      <x:c r="B66" s="60"/>
    </x:row>
    <x:row r="67">
      <x:c r="B67" s="60"/>
    </x:row>
    <x:row r="68">
      <x:c r="B68" s="60"/>
    </x:row>
    <x:row r="69">
      <x:c r="B69" s="60"/>
    </x:row>
    <x:row r="70">
      <x:c r="B70" s="60"/>
    </x:row>
    <x:row r="71">
      <x:c r="B71" s="60"/>
    </x:row>
    <x:row r="72">
      <x:c r="B72" s="60"/>
    </x:row>
    <x:row r="73">
      <x:c r="B73" s="60"/>
    </x:row>
    <x:row r="74">
      <x:c r="B74" s="60"/>
    </x:row>
    <x:row r="75">
      <x:c r="B75" s="60"/>
    </x:row>
    <x:row r="76">
      <x:c r="B76" s="60"/>
    </x:row>
    <x:row r="77">
      <x:c r="B77" s="60"/>
    </x:row>
    <x:row r="78">
      <x:c r="B78" s="60"/>
    </x:row>
    <x:row r="79">
      <x:c r="B79" s="60"/>
    </x:row>
    <x:row r="80">
      <x:c r="B80" s="60"/>
    </x:row>
    <x:row r="81">
      <x:c r="B81" s="60"/>
    </x:row>
    <x:row r="82">
      <x:c r="B82" s="60"/>
    </x:row>
    <x:row r="83">
      <x:c r="B83" s="60"/>
    </x:row>
    <x:row r="84">
      <x:c r="B84" s="60"/>
    </x:row>
    <x:row r="85">
      <x:c r="B85" s="60"/>
    </x:row>
    <x:row r="86">
      <x:c r="B86" s="60"/>
    </x:row>
    <x:row r="87">
      <x:c r="B87" s="60"/>
    </x:row>
    <x:row r="88">
      <x:c r="B88" s="60"/>
    </x:row>
    <x:row r="89">
      <x:c r="B89" s="60"/>
    </x:row>
    <x:row r="90">
      <x:c r="B90" s="60"/>
    </x:row>
    <x:row r="91">
      <x:c r="B91" s="60"/>
    </x:row>
    <x:row r="92">
      <x:c r="B92" s="60"/>
    </x:row>
    <x:row r="93">
      <x:c r="B93" s="60"/>
    </x:row>
    <x:row r="94">
      <x:c r="B94" s="60"/>
    </x:row>
    <x:row r="95">
      <x:c r="B95" s="60"/>
    </x:row>
    <x:row r="96">
      <x:c r="B96" s="60"/>
    </x:row>
    <x:row r="97">
      <x:c r="B97" s="60"/>
    </x:row>
    <x:row r="98">
      <x:c r="B98" s="60"/>
    </x:row>
    <x:row r="99">
      <x:c r="B99" s="60"/>
    </x:row>
    <x:row r="100">
      <x:c r="B100" s="60"/>
    </x:row>
    <x:row r="101">
      <x:c r="B101" s="60"/>
    </x:row>
    <x:row r="102">
      <x:c r="B102" s="60"/>
    </x:row>
    <x:row r="103">
      <x:c r="B103" s="60"/>
    </x:row>
    <x:row r="104">
      <x:c r="B104" s="60"/>
    </x:row>
    <x:row r="105">
      <x:c r="B105" s="60"/>
    </x:row>
    <x:row r="106">
      <x:c r="B106" s="60"/>
    </x:row>
    <x:row r="107">
      <x:c r="B107" s="60"/>
    </x:row>
    <x:row r="108">
      <x:c r="B108" s="60"/>
    </x:row>
    <x:row r="109">
      <x:c r="B109" s="60"/>
    </x:row>
    <x:row r="110">
      <x:c r="B110" s="60"/>
    </x:row>
    <x:row r="111">
      <x:c r="B111" s="60"/>
    </x:row>
    <x:row r="112">
      <x:c r="B112" s="60"/>
    </x:row>
    <x:row r="113">
      <x:c r="B113" s="60"/>
    </x:row>
    <x:row r="114">
      <x:c r="B114" s="60"/>
    </x:row>
    <x:row r="115">
      <x:c r="B115" s="60"/>
    </x:row>
    <x:row r="116">
      <x:c r="B116" s="60"/>
    </x:row>
    <x:row r="117">
      <x:c r="B117" s="60"/>
    </x:row>
    <x:row r="118">
      <x:c r="B118" s="60"/>
    </x:row>
    <x:row r="119">
      <x:c r="B119" s="60"/>
    </x:row>
    <x:row r="120">
      <x:c r="B120" s="60"/>
    </x:row>
    <x:row r="121">
      <x:c r="B121" s="60"/>
    </x:row>
    <x:row r="122">
      <x:c r="B122" s="60"/>
    </x:row>
    <x:row r="123">
      <x:c r="B123" s="60"/>
    </x:row>
    <x:row r="124">
      <x:c r="B124" s="60"/>
    </x:row>
    <x:row r="125">
      <x:c r="B125" s="60"/>
    </x:row>
    <x:row r="126">
      <x:c r="B126" s="60"/>
    </x:row>
    <x:row r="127">
      <x:c r="B127" s="60"/>
    </x:row>
    <x:row r="128">
      <x:c r="B128" s="60"/>
    </x:row>
    <x:row r="129">
      <x:c r="B129" s="60"/>
    </x:row>
    <x:row r="130">
      <x:c r="B130" s="60"/>
    </x:row>
    <x:row r="131">
      <x:c r="B131" s="60"/>
    </x:row>
    <x:row r="132">
      <x:c r="B132" s="60"/>
    </x:row>
    <x:row r="133">
      <x:c r="B133" s="60"/>
    </x:row>
    <x:row r="134">
      <x:c r="B134" s="60"/>
    </x:row>
    <x:row r="135">
      <x:c r="B135" s="60"/>
    </x:row>
    <x:row r="136">
      <x:c r="B136" s="60"/>
    </x:row>
    <x:row r="137">
      <x:c r="B137" s="60"/>
    </x:row>
    <x:row r="138">
      <x:c r="B138" s="60"/>
    </x:row>
    <x:row r="139">
      <x:c r="B139" s="60"/>
    </x:row>
    <x:row r="140">
      <x:c r="B140" s="60"/>
    </x:row>
    <x:row r="141">
      <x:c r="B141" s="60"/>
    </x:row>
    <x:row r="142">
      <x:c r="B142" s="60"/>
    </x:row>
    <x:row r="143">
      <x:c r="B143" s="60"/>
    </x:row>
    <x:row r="144">
      <x:c r="B144" s="60"/>
    </x:row>
    <x:row r="145">
      <x:c r="B145" s="60"/>
    </x:row>
    <x:row r="146">
      <x:c r="B146" s="60"/>
    </x:row>
    <x:row r="147">
      <x:c r="B147" s="60"/>
    </x:row>
    <x:row r="148">
      <x:c r="B148" s="60"/>
    </x:row>
    <x:row r="149">
      <x:c r="B149" s="60"/>
    </x:row>
    <x:row r="150">
      <x:c r="B150" s="60"/>
    </x:row>
    <x:row r="151">
      <x:c r="B151" s="60"/>
    </x:row>
    <x:row r="152">
      <x:c r="B152" s="60"/>
    </x:row>
    <x:row r="153">
      <x:c r="B153" s="60"/>
    </x:row>
    <x:row r="154">
      <x:c r="B154" s="60"/>
    </x:row>
    <x:row r="155">
      <x:c r="B155" s="60"/>
    </x:row>
    <x:row r="156">
      <x:c r="B156" s="60"/>
    </x:row>
    <x:row r="157">
      <x:c r="B157" s="60"/>
    </x:row>
    <x:row r="158">
      <x:c r="B158" s="60"/>
    </x:row>
    <x:row r="159">
      <x:c r="B159" s="60"/>
    </x:row>
    <x:row r="160">
      <x:c r="B160" s="60"/>
    </x:row>
    <x:row r="161">
      <x:c r="B161" s="60"/>
    </x:row>
    <x:row r="162">
      <x:c r="B162" s="60"/>
    </x:row>
    <x:row r="163">
      <x:c r="B163" s="60"/>
    </x:row>
    <x:row r="164">
      <x:c r="B164" s="60"/>
    </x:row>
    <x:row r="165">
      <x:c r="B165" s="60"/>
    </x:row>
    <x:row r="166">
      <x:c r="B166" s="60"/>
    </x:row>
    <x:row r="167">
      <x:c r="B167" s="60"/>
    </x:row>
    <x:row r="168">
      <x:c r="B168" s="60"/>
    </x:row>
    <x:row r="169">
      <x:c r="B169" s="60"/>
    </x:row>
    <x:row r="170">
      <x:c r="B170" s="60"/>
    </x:row>
    <x:row r="171">
      <x:c r="B171" s="60"/>
    </x:row>
    <x:row r="172">
      <x:c r="B172" s="60"/>
    </x:row>
    <x:row r="173">
      <x:c r="B173" s="60"/>
    </x:row>
    <x:row r="174">
      <x:c r="B174" s="60"/>
    </x:row>
    <x:row r="175">
      <x:c r="B175" s="60"/>
    </x:row>
    <x:row r="176">
      <x:c r="B176" s="60"/>
    </x:row>
    <x:row r="177">
      <x:c r="B177" s="60"/>
    </x:row>
    <x:row r="178">
      <x:c r="B178" s="60"/>
    </x:row>
    <x:row r="179">
      <x:c r="B179" s="60"/>
    </x:row>
    <x:row r="180">
      <x:c r="B180" s="60"/>
    </x:row>
    <x:row r="181">
      <x:c r="B181" s="60"/>
    </x:row>
    <x:row r="182">
      <x:c r="B182" s="60"/>
    </x:row>
    <x:row r="183">
      <x:c r="B183" s="60"/>
    </x:row>
    <x:row r="184">
      <x:c r="B184" s="60"/>
    </x:row>
    <x:row r="185">
      <x:c r="B185" s="60"/>
    </x:row>
    <x:row r="186">
      <x:c r="B186" s="60"/>
    </x:row>
    <x:row r="187">
      <x:c r="B187" s="60"/>
    </x:row>
    <x:row r="188">
      <x:c r="B188" s="60"/>
    </x:row>
    <x:row r="189">
      <x:c r="B189" s="60"/>
    </x:row>
    <x:row r="190">
      <x:c r="B190" s="60"/>
    </x:row>
    <x:row r="191">
      <x:c r="B191" s="60"/>
    </x:row>
    <x:row r="192">
      <x:c r="B192" s="60"/>
    </x:row>
    <x:row r="193">
      <x:c r="B193" s="60"/>
    </x:row>
    <x:row r="194">
      <x:c r="B194" s="60"/>
    </x:row>
    <x:row r="195">
      <x:c r="B195" s="60"/>
    </x:row>
    <x:row r="196">
      <x:c r="B196" s="60"/>
    </x:row>
    <x:row r="197">
      <x:c r="B197" s="60"/>
    </x:row>
    <x:row r="198">
      <x:c r="B198" s="60"/>
    </x:row>
    <x:row r="199">
      <x:c r="B199" s="60"/>
    </x:row>
    <x:row r="200">
      <x:c r="B200" s="60"/>
    </x:row>
    <x:row r="201">
      <x:c r="B201" s="60"/>
    </x:row>
    <x:row r="202">
      <x:c r="B202" s="60"/>
    </x:row>
    <x:row r="203">
      <x:c r="B203" s="60"/>
    </x:row>
    <x:row r="204">
      <x:c r="B204" s="60"/>
    </x:row>
    <x:row r="205">
      <x:c r="B205" s="60"/>
    </x:row>
    <x:row r="206">
      <x:c r="B206" s="60"/>
    </x:row>
    <x:row r="207">
      <x:c r="B207" s="60"/>
    </x:row>
    <x:row r="208">
      <x:c r="B208" s="60"/>
    </x:row>
    <x:row r="209">
      <x:c r="B209" s="60"/>
    </x:row>
    <x:row r="210">
      <x:c r="B210" s="60"/>
    </x:row>
    <x:row r="211">
      <x:c r="B211" s="60"/>
    </x:row>
    <x:row r="212">
      <x:c r="B212" s="60"/>
    </x:row>
    <x:row r="213">
      <x:c r="B213" s="60"/>
    </x:row>
    <x:row r="214">
      <x:c r="B214" s="60"/>
    </x:row>
    <x:row r="215">
      <x:c r="B215" s="60"/>
    </x:row>
    <x:row r="216">
      <x:c r="B216" s="60"/>
    </x:row>
    <x:row r="217">
      <x:c r="B217" s="60"/>
    </x:row>
    <x:row r="218">
      <x:c r="B218" s="60"/>
    </x:row>
    <x:row r="219">
      <x:c r="B219" s="60"/>
    </x:row>
    <x:row r="220">
      <x:c r="B220" s="60"/>
    </x:row>
    <x:row r="221">
      <x:c r="B221" s="60"/>
    </x:row>
    <x:row r="222">
      <x:c r="B222" s="60"/>
    </x:row>
    <x:row r="223">
      <x:c r="B223" s="60"/>
    </x:row>
    <x:row r="224">
      <x:c r="B224" s="60"/>
    </x:row>
    <x:row r="225">
      <x:c r="B225" s="60"/>
    </x:row>
    <x:row r="226">
      <x:c r="B226" s="60"/>
    </x:row>
    <x:row r="227">
      <x:c r="B227" s="60"/>
    </x:row>
    <x:row r="228">
      <x:c r="B228" s="60"/>
    </x:row>
    <x:row r="229">
      <x:c r="B229" s="60"/>
    </x:row>
    <x:row r="230">
      <x:c r="B230" s="60"/>
    </x:row>
    <x:row r="231">
      <x:c r="B231" s="60"/>
    </x:row>
    <x:row r="232">
      <x:c r="B232" s="60"/>
    </x:row>
    <x:row r="233">
      <x:c r="B233" s="60"/>
    </x:row>
    <x:row r="234">
      <x:c r="B234" s="60"/>
    </x:row>
    <x:row r="235">
      <x:c r="B235" s="60"/>
    </x:row>
    <x:row r="236">
      <x:c r="B236" s="60"/>
    </x:row>
    <x:row r="237">
      <x:c r="B237" s="60"/>
    </x:row>
    <x:row r="238">
      <x:c r="B238" s="60"/>
    </x:row>
    <x:row r="239">
      <x:c r="B239" s="60"/>
    </x:row>
    <x:row r="240">
      <x:c r="B240" s="60"/>
    </x:row>
    <x:row r="241">
      <x:c r="B241" s="60"/>
    </x:row>
    <x:row r="242">
      <x:c r="B242" s="60"/>
    </x:row>
    <x:row r="243">
      <x:c r="B243" s="60"/>
    </x:row>
    <x:row r="244">
      <x:c r="B244" s="60"/>
    </x:row>
    <x:row r="245">
      <x:c r="B245" s="60"/>
    </x:row>
    <x:row r="246">
      <x:c r="B246" s="60"/>
    </x:row>
    <x:row r="247">
      <x:c r="B247" s="60"/>
    </x:row>
    <x:row r="248">
      <x:c r="B248" s="60"/>
    </x:row>
    <x:row r="249">
      <x:c r="B249" s="60"/>
    </x:row>
    <x:row r="250">
      <x:c r="B250" s="60"/>
    </x:row>
    <x:row r="251">
      <x:c r="B251" s="60"/>
    </x:row>
    <x:row r="252">
      <x:c r="B252" s="60"/>
    </x:row>
    <x:row r="253">
      <x:c r="B253" s="60"/>
    </x:row>
    <x:row r="254">
      <x:c r="B254" s="60"/>
    </x:row>
    <x:row r="255">
      <x:c r="B255" s="60"/>
    </x:row>
    <x:row r="256">
      <x:c r="B256" s="60"/>
    </x:row>
    <x:row r="257">
      <x:c r="B257" s="60"/>
    </x:row>
    <x:row r="258">
      <x:c r="B258" s="60"/>
    </x:row>
    <x:row r="259">
      <x:c r="B259" s="60"/>
    </x:row>
    <x:row r="260">
      <x:c r="B260" s="60"/>
    </x:row>
    <x:row r="261">
      <x:c r="B261" s="60"/>
    </x:row>
    <x:row r="262">
      <x:c r="B262" s="60"/>
    </x:row>
    <x:row r="263">
      <x:c r="B263" s="60"/>
    </x:row>
    <x:row r="264">
      <x:c r="B264" s="60"/>
    </x:row>
    <x:row r="265">
      <x:c r="B265" s="60"/>
    </x:row>
    <x:row r="266">
      <x:c r="B266" s="60"/>
    </x:row>
    <x:row r="267">
      <x:c r="B267" s="60"/>
    </x:row>
    <x:row r="268">
      <x:c r="B268" s="60"/>
    </x:row>
    <x:row r="269">
      <x:c r="B269" s="60"/>
    </x:row>
    <x:row r="270">
      <x:c r="B270" s="60"/>
    </x:row>
    <x:row r="271">
      <x:c r="B271" s="60"/>
    </x:row>
    <x:row r="272">
      <x:c r="B272" s="60"/>
    </x:row>
    <x:row r="273">
      <x:c r="B273" s="60"/>
    </x:row>
    <x:row r="274">
      <x:c r="B274" s="60"/>
    </x:row>
    <x:row r="275">
      <x:c r="B275" s="60"/>
    </x:row>
    <x:row r="276">
      <x:c r="B276" s="60"/>
    </x:row>
    <x:row r="277">
      <x:c r="B277" s="60"/>
    </x:row>
    <x:row r="278">
      <x:c r="B278" s="60"/>
    </x:row>
    <x:row r="279">
      <x:c r="B279" s="60"/>
    </x:row>
    <x:row r="280">
      <x:c r="B280" s="60"/>
    </x:row>
    <x:row r="281">
      <x:c r="B281" s="60"/>
    </x:row>
    <x:row r="282">
      <x:c r="B282" s="60"/>
    </x:row>
    <x:row r="283">
      <x:c r="B283" s="60"/>
    </x:row>
    <x:row r="284">
      <x:c r="B284" s="60"/>
    </x:row>
    <x:row r="285">
      <x:c r="B285" s="60"/>
    </x:row>
    <x:row r="286">
      <x:c r="B286" s="60"/>
    </x:row>
    <x:row r="287">
      <x:c r="B287" s="60"/>
    </x:row>
    <x:row r="288">
      <x:c r="B288" s="60"/>
    </x:row>
    <x:row r="289">
      <x:c r="B289" s="60"/>
    </x:row>
    <x:row r="290">
      <x:c r="B290" s="60"/>
    </x:row>
    <x:row r="291">
      <x:c r="B291" s="60"/>
    </x:row>
    <x:row r="292">
      <x:c r="B292" s="60"/>
    </x:row>
    <x:row r="293">
      <x:c r="B293" s="60"/>
    </x:row>
    <x:row r="294">
      <x:c r="B294" s="60"/>
    </x:row>
    <x:row r="295">
      <x:c r="B295" s="60"/>
    </x:row>
    <x:row r="296">
      <x:c r="B296" s="60"/>
    </x:row>
    <x:row r="297">
      <x:c r="B297" s="60"/>
    </x:row>
    <x:row r="298">
      <x:c r="B298" s="60"/>
    </x:row>
    <x:row r="299">
      <x:c r="B299" s="60"/>
    </x:row>
    <x:row r="300">
      <x:c r="B300" s="60"/>
    </x:row>
    <x:row r="301">
      <x:c r="B301" s="60"/>
    </x:row>
    <x:row r="302">
      <x:c r="B302" s="60"/>
    </x:row>
    <x:row r="303">
      <x:c r="B303" s="60"/>
    </x:row>
    <x:row r="304">
      <x:c r="B304" s="60"/>
    </x:row>
    <x:row r="305">
      <x:c r="B305" s="60"/>
    </x:row>
    <x:row r="306">
      <x:c r="B306" s="60"/>
    </x:row>
    <x:row r="307">
      <x:c r="B307" s="60"/>
    </x:row>
    <x:row r="308">
      <x:c r="B308" s="60"/>
    </x:row>
    <x:row r="309">
      <x:c r="B309" s="60"/>
    </x:row>
    <x:row r="310">
      <x:c r="B310" s="60"/>
    </x:row>
    <x:row r="311">
      <x:c r="B311" s="60"/>
    </x:row>
    <x:row r="312">
      <x:c r="B312" s="60"/>
    </x:row>
    <x:row r="313">
      <x:c r="B313" s="60"/>
    </x:row>
    <x:row r="314">
      <x:c r="B314" s="60"/>
    </x:row>
    <x:row r="315">
      <x:c r="B315" s="60"/>
    </x:row>
    <x:row r="316">
      <x:c r="B316" s="60"/>
    </x:row>
    <x:row r="317">
      <x:c r="B317" s="60"/>
    </x:row>
    <x:row r="318">
      <x:c r="B318" s="60"/>
    </x:row>
    <x:row r="319">
      <x:c r="B319" s="60"/>
    </x:row>
    <x:row r="320">
      <x:c r="B320" s="60"/>
    </x:row>
    <x:row r="321">
      <x:c r="B321" s="60"/>
    </x:row>
    <x:row r="322">
      <x:c r="B322" s="60"/>
    </x:row>
    <x:row r="323">
      <x:c r="B323" s="60"/>
    </x:row>
    <x:row r="324">
      <x:c r="B324" s="60"/>
    </x:row>
    <x:row r="325">
      <x:c r="B325" s="60"/>
    </x:row>
    <x:row r="326">
      <x:c r="B326" s="60"/>
    </x:row>
    <x:row r="327">
      <x:c r="B327" s="60"/>
    </x:row>
    <x:row r="328">
      <x:c r="B328" s="60"/>
    </x:row>
    <x:row r="329">
      <x:c r="B329" s="60"/>
    </x:row>
    <x:row r="330">
      <x:c r="B330" s="60"/>
    </x:row>
    <x:row r="331">
      <x:c r="B331" s="60"/>
    </x:row>
    <x:row r="332">
      <x:c r="B332" s="60"/>
    </x:row>
    <x:row r="333">
      <x:c r="B333" s="60"/>
    </x:row>
    <x:row r="334">
      <x:c r="B334" s="60"/>
    </x:row>
    <x:row r="335">
      <x:c r="B335" s="60"/>
    </x:row>
    <x:row r="336">
      <x:c r="B336" s="60"/>
    </x:row>
    <x:row r="337">
      <x:c r="B337" s="60"/>
    </x:row>
    <x:row r="338">
      <x:c r="B338" s="60"/>
    </x:row>
    <x:row r="339">
      <x:c r="B339" s="60"/>
    </x:row>
    <x:row r="340">
      <x:c r="B340" s="60"/>
    </x:row>
    <x:row r="341">
      <x:c r="B341" s="60"/>
    </x:row>
    <x:row r="342">
      <x:c r="B342" s="60"/>
    </x:row>
    <x:row r="343">
      <x:c r="B343" s="60"/>
    </x:row>
    <x:row r="344">
      <x:c r="B344" s="60"/>
    </x:row>
    <x:row r="345">
      <x:c r="B345" s="60"/>
    </x:row>
    <x:row r="346">
      <x:c r="B346" s="60"/>
    </x:row>
    <x:row r="347">
      <x:c r="B347" s="60"/>
    </x:row>
    <x:row r="348">
      <x:c r="B348" s="60"/>
    </x:row>
    <x:row r="349">
      <x:c r="B349" s="60"/>
    </x:row>
    <x:row r="350">
      <x:c r="B350" s="60"/>
    </x:row>
    <x:row r="351">
      <x:c r="B351" s="60"/>
    </x:row>
    <x:row r="352">
      <x:c r="B352" s="60"/>
    </x:row>
    <x:row r="353">
      <x:c r="B353" s="60"/>
    </x:row>
    <x:row r="354">
      <x:c r="B354" s="60"/>
    </x:row>
    <x:row r="355">
      <x:c r="B355" s="60"/>
    </x:row>
    <x:row r="356">
      <x:c r="B356" s="60"/>
    </x:row>
    <x:row r="357">
      <x:c r="B357" s="60"/>
    </x:row>
    <x:row r="358">
      <x:c r="B358" s="60"/>
    </x:row>
    <x:row r="359">
      <x:c r="B359" s="60"/>
    </x:row>
    <x:row r="360">
      <x:c r="B360" s="60"/>
    </x:row>
    <x:row r="361">
      <x:c r="B361" s="60"/>
    </x:row>
    <x:row r="362">
      <x:c r="B362" s="60"/>
    </x:row>
    <x:row r="363">
      <x:c r="B363" s="60"/>
    </x:row>
    <x:row r="364">
      <x:c r="B364" s="60"/>
    </x:row>
    <x:row r="365">
      <x:c r="B365" s="60"/>
    </x:row>
    <x:row r="366">
      <x:c r="B366" s="60"/>
    </x:row>
    <x:row r="367">
      <x:c r="B367" s="60"/>
    </x:row>
    <x:row r="368">
      <x:c r="B368" s="60"/>
    </x:row>
    <x:row r="369">
      <x:c r="B369" s="60"/>
    </x:row>
    <x:row r="370">
      <x:c r="B370" s="60"/>
    </x:row>
    <x:row r="371">
      <x:c r="B371" s="60"/>
    </x:row>
    <x:row r="372">
      <x:c r="B372" s="60"/>
    </x:row>
    <x:row r="373">
      <x:c r="B373" s="60"/>
    </x:row>
    <x:row r="374">
      <x:c r="B374" s="60"/>
    </x:row>
    <x:row r="375">
      <x:c r="B375" s="60"/>
    </x:row>
    <x:row r="376">
      <x:c r="B376" s="60"/>
    </x:row>
    <x:row r="377">
      <x:c r="B377" s="60"/>
    </x:row>
    <x:row r="378">
      <x:c r="B378" s="60"/>
    </x:row>
    <x:row r="379">
      <x:c r="B379" s="60"/>
    </x:row>
    <x:row r="380">
      <x:c r="B380" s="60"/>
    </x:row>
    <x:row r="381">
      <x:c r="B381" s="60"/>
    </x:row>
    <x:row r="382">
      <x:c r="B382" s="60"/>
    </x:row>
    <x:row r="383">
      <x:c r="B383" s="60"/>
    </x:row>
    <x:row r="384">
      <x:c r="B384" s="60"/>
    </x:row>
    <x:row r="385">
      <x:c r="B385" s="60"/>
    </x:row>
    <x:row r="386">
      <x:c r="B386" s="60"/>
    </x:row>
    <x:row r="387">
      <x:c r="B387" s="60"/>
    </x:row>
    <x:row r="388">
      <x:c r="B388" s="60"/>
    </x:row>
    <x:row r="389">
      <x:c r="B389" s="60"/>
    </x:row>
    <x:row r="390">
      <x:c r="B390" s="60"/>
    </x:row>
    <x:row r="391">
      <x:c r="B391" s="60"/>
    </x:row>
    <x:row r="392">
      <x:c r="B392" s="60"/>
    </x:row>
    <x:row r="393">
      <x:c r="B393" s="60"/>
    </x:row>
    <x:row r="394">
      <x:c r="B394" s="60"/>
    </x:row>
    <x:row r="395">
      <x:c r="B395" s="60"/>
    </x:row>
    <x:row r="396">
      <x:c r="B396" s="60"/>
    </x:row>
    <x:row r="397">
      <x:c r="B397" s="60"/>
    </x:row>
    <x:row r="398">
      <x:c r="B398" s="60"/>
    </x:row>
    <x:row r="399">
      <x:c r="B399" s="60"/>
    </x:row>
    <x:row r="400">
      <x:c r="B400" s="60"/>
    </x:row>
    <x:row r="401">
      <x:c r="B401" s="60"/>
    </x:row>
    <x:row r="402">
      <x:c r="B402" s="60"/>
    </x:row>
    <x:row r="403">
      <x:c r="B403" s="60"/>
    </x:row>
    <x:row r="404">
      <x:c r="B404" s="60"/>
    </x:row>
    <x:row r="405">
      <x:c r="B405" s="60"/>
    </x:row>
    <x:row r="406">
      <x:c r="B406" s="60"/>
    </x:row>
    <x:row r="407">
      <x:c r="B407" s="60"/>
    </x:row>
    <x:row r="408">
      <x:c r="B408" s="60"/>
    </x:row>
    <x:row r="409">
      <x:c r="B409" s="60"/>
    </x:row>
    <x:row r="410">
      <x:c r="B410" s="60"/>
    </x:row>
    <x:row r="411">
      <x:c r="B411" s="60"/>
    </x:row>
    <x:row r="412">
      <x:c r="B412" s="60"/>
    </x:row>
    <x:row r="413">
      <x:c r="B413" s="60"/>
    </x:row>
    <x:row r="414">
      <x:c r="B414" s="60"/>
    </x:row>
    <x:row r="415">
      <x:c r="B415" s="60"/>
    </x:row>
    <x:row r="416">
      <x:c r="B416" s="60"/>
    </x:row>
    <x:row r="417">
      <x:c r="B417" s="60"/>
    </x:row>
    <x:row r="418">
      <x:c r="B418" s="60"/>
    </x:row>
    <x:row r="419">
      <x:c r="B419" s="60"/>
    </x:row>
    <x:row r="420">
      <x:c r="B420" s="60"/>
    </x:row>
    <x:row r="421">
      <x:c r="B421" s="60"/>
    </x:row>
    <x:row r="422">
      <x:c r="B422" s="60"/>
    </x:row>
    <x:row r="423">
      <x:c r="B423" s="60"/>
    </x:row>
    <x:row r="424">
      <x:c r="B424" s="60"/>
    </x:row>
    <x:row r="425">
      <x:c r="B425" s="60"/>
    </x:row>
    <x:row r="426">
      <x:c r="B426" s="60"/>
    </x:row>
    <x:row r="427">
      <x:c r="B427" s="60"/>
    </x:row>
    <x:row r="428">
      <x:c r="B428" s="60"/>
    </x:row>
    <x:row r="429">
      <x:c r="B429" s="60"/>
    </x:row>
    <x:row r="430">
      <x:c r="B430" s="60"/>
    </x:row>
    <x:row r="431">
      <x:c r="B431" s="60"/>
    </x:row>
    <x:row r="432">
      <x:c r="B432" s="60"/>
    </x:row>
    <x:row r="433">
      <x:c r="B433" s="60"/>
    </x:row>
    <x:row r="434">
      <x:c r="B434" s="60"/>
    </x:row>
    <x:row r="435">
      <x:c r="B435" s="60"/>
    </x:row>
    <x:row r="436">
      <x:c r="B436" s="60"/>
    </x:row>
    <x:row r="437">
      <x:c r="B437" s="60"/>
    </x:row>
    <x:row r="438">
      <x:c r="B438" s="60"/>
    </x:row>
    <x:row r="439">
      <x:c r="B439" s="60"/>
    </x:row>
    <x:row r="440">
      <x:c r="B440" s="60"/>
    </x:row>
    <x:row r="441">
      <x:c r="B441" s="60"/>
    </x:row>
    <x:row r="442">
      <x:c r="B442" s="60"/>
    </x:row>
    <x:row r="443">
      <x:c r="B443" s="60"/>
    </x:row>
    <x:row r="444">
      <x:c r="B444" s="60"/>
    </x:row>
    <x:row r="445">
      <x:c r="B445" s="60"/>
    </x:row>
    <x:row r="446">
      <x:c r="B446" s="60"/>
    </x:row>
    <x:row r="447">
      <x:c r="B447" s="60"/>
    </x:row>
    <x:row r="448">
      <x:c r="B448" s="60"/>
    </x:row>
    <x:row r="449">
      <x:c r="B449" s="60"/>
    </x:row>
    <x:row r="450">
      <x:c r="B450" s="60"/>
    </x:row>
    <x:row r="451">
      <x:c r="B451" s="60"/>
    </x:row>
    <x:row r="452">
      <x:c r="B452" s="60"/>
    </x:row>
    <x:row r="453">
      <x:c r="B453" s="60"/>
    </x:row>
    <x:row r="454">
      <x:c r="B454" s="60"/>
    </x:row>
    <x:row r="455">
      <x:c r="B455" s="60"/>
    </x:row>
    <x:row r="456">
      <x:c r="B456" s="60"/>
    </x:row>
    <x:row r="457">
      <x:c r="B457" s="60"/>
    </x:row>
    <x:row r="458">
      <x:c r="B458" s="60"/>
    </x:row>
    <x:row r="459">
      <x:c r="B459" s="60"/>
    </x:row>
    <x:row r="460">
      <x:c r="B460" s="60"/>
    </x:row>
    <x:row r="461">
      <x:c r="B461" s="60"/>
    </x:row>
    <x:row r="462">
      <x:c r="B462" s="60"/>
    </x:row>
    <x:row r="463">
      <x:c r="B463" s="60"/>
    </x:row>
    <x:row r="464">
      <x:c r="B464" s="60"/>
    </x:row>
    <x:row r="465">
      <x:c r="B465" s="60"/>
    </x:row>
    <x:row r="466">
      <x:c r="B466" s="60"/>
    </x:row>
    <x:row r="467">
      <x:c r="B467" s="60"/>
    </x:row>
    <x:row r="468">
      <x:c r="B468" s="60"/>
    </x:row>
    <x:row r="469">
      <x:c r="B469" s="60"/>
    </x:row>
    <x:row r="470">
      <x:c r="B470" s="60"/>
    </x:row>
    <x:row r="471">
      <x:c r="B471" s="60"/>
    </x:row>
    <x:row r="472">
      <x:c r="B472" s="60"/>
    </x:row>
    <x:row r="473">
      <x:c r="B473" s="60"/>
    </x:row>
    <x:row r="474">
      <x:c r="B474" s="60"/>
    </x:row>
    <x:row r="475">
      <x:c r="B475" s="60"/>
    </x:row>
    <x:row r="476">
      <x:c r="B476" s="60"/>
    </x:row>
    <x:row r="477">
      <x:c r="B477" s="60"/>
    </x:row>
    <x:row r="478">
      <x:c r="B478" s="60"/>
    </x:row>
    <x:row r="479">
      <x:c r="B479" s="60"/>
    </x:row>
    <x:row r="480">
      <x:c r="B480" s="60"/>
    </x:row>
    <x:row r="481">
      <x:c r="B481" s="60"/>
    </x:row>
    <x:row r="482">
      <x:c r="B482" s="60"/>
    </x:row>
    <x:row r="483">
      <x:c r="B483" s="60"/>
    </x:row>
    <x:row r="484">
      <x:c r="B484" s="60"/>
    </x:row>
    <x:row r="485">
      <x:c r="B485" s="60"/>
    </x:row>
    <x:row r="486">
      <x:c r="B486" s="60"/>
    </x:row>
    <x:row r="487">
      <x:c r="B487" s="60"/>
    </x:row>
    <x:row r="488">
      <x:c r="B488" s="60"/>
    </x:row>
    <x:row r="489">
      <x:c r="B489" s="60"/>
    </x:row>
    <x:row r="490">
      <x:c r="B490" s="60"/>
    </x:row>
    <x:row r="491">
      <x:c r="B491" s="60"/>
    </x:row>
    <x:row r="492">
      <x:c r="B492" s="60"/>
    </x:row>
    <x:row r="493">
      <x:c r="B493" s="60"/>
    </x:row>
    <x:row r="494">
      <x:c r="B494" s="60"/>
    </x:row>
    <x:row r="495">
      <x:c r="B495" s="60"/>
    </x:row>
    <x:row r="496">
      <x:c r="B496" s="60"/>
    </x:row>
    <x:row r="497">
      <x:c r="B497" s="60"/>
    </x:row>
    <x:row r="498">
      <x:c r="B498" s="60"/>
    </x:row>
    <x:row r="499">
      <x:c r="B499" s="60"/>
    </x:row>
    <x:row r="500">
      <x:c r="B500" s="60"/>
    </x:row>
    <x:row r="501">
      <x:c r="B501" s="60"/>
    </x:row>
    <x:row r="502">
      <x:c r="B502" s="60"/>
    </x:row>
    <x:row r="503">
      <x:c r="B503" s="60"/>
    </x:row>
    <x:row r="504">
      <x:c r="B504" s="60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eea051a5450746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16" hidden="0" customWidth="1"/>
    <x:col min="6" max="6" width="12" hidden="0" customWidth="1"/>
    <x:col min="7" max="7" width="14" hidden="0" customWidth="1"/>
    <x:col min="8" max="8" width="36" hidden="0" customWidth="1"/>
  </x:cols>
  <x:sheetData>
    <x:row r="1">
      <x:c r="A1" s="74" t="str">
        <x:v>Upcoming Bid Submission Deadlines</x:v>
      </x:c>
      <x:c r="B1" s="74"/>
      <x:c r="C1" s="74"/>
      <x:c r="D1" s="74"/>
      <x:c r="E1" s="74"/>
      <x:c r="F1" s="74"/>
      <x:c r="G1" s="74"/>
      <x:c r="H1" s="74"/>
    </x:row>
    <x:row r="2">
      <x:c r="A2" s="74"/>
      <x:c r="B2" s="74"/>
      <x:c r="C2" s="74"/>
      <x:c r="D2" s="74"/>
      <x:c r="E2" s="74"/>
      <x:c r="F2" s="74"/>
      <x:c r="G2" s="74"/>
      <x:c r="H2" s="74"/>
    </x:row>
    <x:row r="4">
      <x:c r="A4" s="69" t="str">
        <x:v>Tender ID</x:v>
      </x:c>
      <x:c r="B4" s="69" t="str">
        <x:v>Agency</x:v>
      </x:c>
      <x:c r="C4" s="69" t="str">
        <x:v>Tender Number</x:v>
      </x:c>
      <x:c r="D4" s="69" t="str">
        <x:v>Technology</x:v>
      </x:c>
      <x:c r="E4" s="69" t="str">
        <x:v>Submission Date</x:v>
      </x:c>
      <x:c r="F4" s="69" t="str">
        <x:v>Days Left</x:v>
      </x:c>
      <x:c r="G4" s="69" t="str">
        <x:v>Status</x:v>
      </x:c>
      <x:c r="H4" s="69" t="str">
        <x:v>Tender URL</x:v>
      </x:c>
    </x:row>
    <x:row r="5">
      <x:c r="A5" t="str" cm="1">
        <x: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x:f>
        <x:v>SECI000249</x:v>
      </x:c>
      <x:c r="E5" s="52"/>
    </x:row>
    <x:row r="6">
      <x:c r="A6" t="str">
        <x:v>SECI000258</x:v>
      </x:c>
      <x:c r="E6" s="52"/>
    </x:row>
    <x:row r="7">
      <x:c r="A7" t="str">
        <x:v>SJVN-BESS2</x:v>
      </x:c>
      <x:c r="E7" s="52"/>
    </x:row>
    <x:row r="8">
      <x:c r="A8" t="str">
        <x:v>SJVN-BESS2</x:v>
      </x:c>
      <x:c r="E8" s="52"/>
    </x:row>
    <x:row r="9">
      <x:c r="A9" t="str">
        <x:v>SJVN-GEM7789243</x:v>
      </x:c>
      <x:c r="E9" s="52"/>
    </x:row>
    <x:row r="10">
      <x:c r="A10" t="str">
        <x:v>SECI000249</x:v>
      </x:c>
      <x:c r="E10" s="52"/>
    </x:row>
    <x:row r="11">
      <x:c r="A11" t="str">
        <x:v>NTPC29985</x:v>
      </x:c>
      <x:c r="E11" s="52"/>
    </x:row>
    <x:row r="12">
      <x:c r="A12" t="str">
        <x:v>SJVN-BESS2</x:v>
      </x:c>
      <x:c r="E12" s="52"/>
    </x:row>
    <x:row r="13">
      <x:c r="A13" t="str">
        <x:v>SJVN-GEM7789243</x:v>
      </x:c>
      <x:c r="E13" s="52"/>
    </x:row>
    <x:row r="14">
      <x:c r="E14" s="52"/>
    </x:row>
    <x:row r="15">
      <x:c r="E15" s="52"/>
    </x:row>
    <x:row r="16">
      <x:c r="E16" s="52"/>
    </x:row>
    <x:row r="17">
      <x:c r="E17" s="52"/>
    </x:row>
    <x:row r="18">
      <x:c r="E18" s="52"/>
    </x:row>
    <x:row r="19">
      <x:c r="E19" s="52"/>
    </x:row>
    <x:row r="20">
      <x:c r="E20" s="52"/>
    </x:row>
    <x:row r="21">
      <x:c r="E21" s="52"/>
    </x:row>
    <x:row r="22">
      <x:c r="E22" s="52"/>
    </x:row>
    <x:row r="23">
      <x:c r="E23" s="52"/>
    </x:row>
    <x:row r="24">
      <x:c r="E24" s="52"/>
    </x:row>
    <x:row r="25">
      <x:c r="E25" s="52"/>
    </x:row>
    <x:row r="26">
      <x:c r="E26" s="52"/>
    </x:row>
    <x:row r="27">
      <x:c r="E27" s="52"/>
    </x:row>
    <x:row r="28">
      <x:c r="E28" s="52"/>
    </x:row>
    <x:row r="29">
      <x:c r="E29" s="52"/>
    </x:row>
    <x:row r="30">
      <x:c r="E30" s="52"/>
    </x:row>
    <x:row r="31">
      <x:c r="E31" s="52"/>
    </x:row>
    <x:row r="32">
      <x:c r="E32" s="52"/>
    </x:row>
    <x:row r="33">
      <x:c r="E33" s="52"/>
    </x:row>
    <x:row r="34">
      <x:c r="E34" s="52"/>
    </x:row>
    <x:row r="35">
      <x:c r="E35" s="52"/>
    </x:row>
    <x:row r="36">
      <x:c r="E36" s="52"/>
    </x:row>
    <x:row r="37">
      <x:c r="E37" s="52"/>
    </x:row>
    <x:row r="38">
      <x:c r="E38" s="52"/>
    </x:row>
    <x:row r="39">
      <x:c r="E39" s="52"/>
    </x:row>
    <x:row r="40">
      <x:c r="E40" s="52"/>
    </x:row>
    <x:row r="41">
      <x:c r="E41" s="52"/>
    </x:row>
    <x:row r="42">
      <x:c r="E42" s="52"/>
    </x:row>
    <x:row r="43">
      <x:c r="E43" s="52"/>
    </x:row>
    <x:row r="44">
      <x:c r="E44" s="52"/>
    </x:row>
    <x:row r="45">
      <x:c r="E45" s="52"/>
    </x:row>
    <x:row r="46">
      <x:c r="E46" s="52"/>
    </x:row>
    <x:row r="47">
      <x:c r="E47" s="52"/>
    </x:row>
    <x:row r="48">
      <x:c r="E48" s="52"/>
    </x:row>
    <x:row r="49">
      <x:c r="E49" s="52"/>
    </x:row>
    <x:row r="50">
      <x:c r="E50" s="52"/>
    </x:row>
    <x:row r="51">
      <x:c r="E51" s="52"/>
    </x:row>
    <x:row r="52">
      <x:c r="E52" s="52"/>
    </x:row>
    <x:row r="53">
      <x:c r="E53" s="52"/>
    </x:row>
    <x:row r="54">
      <x:c r="E54" s="52"/>
    </x:row>
    <x:row r="55">
      <x:c r="E55" s="52"/>
    </x:row>
    <x:row r="56">
      <x:c r="E56" s="52"/>
    </x:row>
    <x:row r="57">
      <x:c r="E57" s="52"/>
    </x:row>
    <x:row r="58">
      <x:c r="E58" s="52"/>
    </x:row>
    <x:row r="59">
      <x:c r="E59" s="52"/>
    </x:row>
    <x:row r="60">
      <x:c r="E60" s="52"/>
    </x:row>
    <x:row r="61">
      <x:c r="E61" s="52"/>
    </x:row>
    <x:row r="62">
      <x:c r="E62" s="52"/>
    </x:row>
    <x:row r="63">
      <x:c r="E63" s="52"/>
    </x:row>
    <x:row r="64">
      <x:c r="E64" s="52"/>
    </x:row>
    <x:row r="65">
      <x:c r="E65" s="52"/>
    </x:row>
    <x:row r="66">
      <x:c r="E66" s="52"/>
    </x:row>
    <x:row r="67">
      <x:c r="E67" s="52"/>
    </x:row>
    <x:row r="68">
      <x:c r="E68" s="52"/>
    </x:row>
    <x:row r="69">
      <x:c r="E69" s="52"/>
    </x:row>
    <x:row r="70">
      <x:c r="E70" s="52"/>
    </x:row>
    <x:row r="71">
      <x:c r="E71" s="52"/>
    </x:row>
    <x:row r="72">
      <x:c r="E72" s="52"/>
    </x:row>
    <x:row r="73">
      <x:c r="E73" s="52"/>
    </x:row>
    <x:row r="74">
      <x:c r="E74" s="52"/>
    </x:row>
    <x:row r="75">
      <x:c r="E75" s="52"/>
    </x:row>
    <x:row r="76">
      <x:c r="E76" s="52"/>
    </x:row>
    <x:row r="77">
      <x:c r="E77" s="52"/>
    </x:row>
    <x:row r="78">
      <x:c r="E78" s="52"/>
    </x:row>
    <x:row r="79">
      <x:c r="E79" s="52"/>
    </x:row>
    <x:row r="80">
      <x:c r="E80" s="52"/>
    </x:row>
    <x:row r="81">
      <x:c r="E81" s="52"/>
    </x:row>
    <x:row r="82">
      <x:c r="E82" s="52"/>
    </x:row>
    <x:row r="83">
      <x:c r="E83" s="52"/>
    </x:row>
    <x:row r="84">
      <x:c r="E84" s="52"/>
    </x:row>
    <x:row r="85">
      <x:c r="E85" s="52"/>
    </x:row>
    <x:row r="86">
      <x:c r="E86" s="52"/>
    </x:row>
    <x:row r="87">
      <x:c r="E87" s="52"/>
    </x:row>
    <x:row r="88">
      <x:c r="E88" s="52"/>
    </x:row>
    <x:row r="89">
      <x:c r="E89" s="52"/>
    </x:row>
    <x:row r="90">
      <x:c r="E90" s="52"/>
    </x:row>
    <x:row r="91">
      <x:c r="E91" s="52"/>
    </x:row>
    <x:row r="92">
      <x:c r="E92" s="52"/>
    </x:row>
    <x:row r="93">
      <x:c r="E93" s="52"/>
    </x:row>
    <x:row r="94">
      <x:c r="E94" s="52"/>
    </x:row>
    <x:row r="95">
      <x:c r="E95" s="52"/>
    </x:row>
    <x:row r="96">
      <x:c r="E96" s="52"/>
    </x:row>
    <x:row r="97">
      <x:c r="E97" s="52"/>
    </x:row>
    <x:row r="98">
      <x:c r="E98" s="52"/>
    </x:row>
    <x:row r="99">
      <x:c r="E99" s="52"/>
    </x:row>
    <x:row r="100">
      <x:c r="E100" s="52"/>
    </x:row>
    <x:row r="101">
      <x:c r="E101" s="52"/>
    </x:row>
    <x:row r="102">
      <x:c r="E102" s="52"/>
    </x:row>
    <x:row r="103">
      <x:c r="E103" s="52"/>
    </x:row>
    <x:row r="104">
      <x:c r="E104" s="52"/>
    </x:row>
    <x:row r="105">
      <x:c r="E105" s="52"/>
    </x:row>
    <x:row r="106">
      <x:c r="E106" s="52"/>
    </x:row>
    <x:row r="107">
      <x:c r="E107" s="52"/>
    </x:row>
    <x:row r="108">
      <x:c r="E108" s="52"/>
    </x:row>
    <x:row r="109">
      <x:c r="E109" s="52"/>
    </x:row>
    <x:row r="110">
      <x:c r="E110" s="52"/>
    </x:row>
    <x:row r="111">
      <x:c r="E111" s="52"/>
    </x:row>
    <x:row r="112">
      <x:c r="E112" s="52"/>
    </x:row>
    <x:row r="113">
      <x:c r="E113" s="52"/>
    </x:row>
    <x:row r="114">
      <x:c r="E114" s="52"/>
    </x:row>
    <x:row r="115">
      <x:c r="E115" s="52"/>
    </x:row>
    <x:row r="116">
      <x:c r="E116" s="52"/>
    </x:row>
    <x:row r="117">
      <x:c r="E117" s="52"/>
    </x:row>
    <x:row r="118">
      <x:c r="E118" s="52"/>
    </x:row>
    <x:row r="119">
      <x:c r="E119" s="52"/>
    </x:row>
    <x:row r="120">
      <x:c r="E120" s="52"/>
    </x:row>
    <x:row r="121">
      <x:c r="E121" s="52"/>
    </x:row>
    <x:row r="122">
      <x:c r="E122" s="52"/>
    </x:row>
    <x:row r="123">
      <x:c r="E123" s="52"/>
    </x:row>
    <x:row r="124">
      <x:c r="E124" s="52"/>
    </x:row>
    <x:row r="125">
      <x:c r="E125" s="52"/>
    </x:row>
    <x:row r="126">
      <x:c r="E126" s="52"/>
    </x:row>
    <x:row r="127">
      <x:c r="E127" s="52"/>
    </x:row>
    <x:row r="128">
      <x:c r="E128" s="52"/>
    </x:row>
    <x:row r="129">
      <x:c r="E129" s="52"/>
    </x:row>
    <x:row r="130">
      <x:c r="E130" s="52"/>
    </x:row>
    <x:row r="131">
      <x:c r="E131" s="52"/>
    </x:row>
    <x:row r="132">
      <x:c r="E132" s="52"/>
    </x:row>
    <x:row r="133">
      <x:c r="E133" s="52"/>
    </x:row>
    <x:row r="134">
      <x:c r="E134" s="52"/>
    </x:row>
    <x:row r="135">
      <x:c r="E135" s="52"/>
    </x:row>
    <x:row r="136">
      <x:c r="E136" s="52"/>
    </x:row>
    <x:row r="137">
      <x:c r="E137" s="52"/>
    </x:row>
    <x:row r="138">
      <x:c r="E138" s="52"/>
    </x:row>
    <x:row r="139">
      <x:c r="E139" s="52"/>
    </x:row>
    <x:row r="140">
      <x:c r="E140" s="52"/>
    </x:row>
    <x:row r="141">
      <x:c r="E141" s="52"/>
    </x:row>
    <x:row r="142">
      <x:c r="E142" s="52"/>
    </x:row>
    <x:row r="143">
      <x:c r="E143" s="52"/>
    </x:row>
    <x:row r="144">
      <x:c r="E144" s="52"/>
    </x:row>
    <x:row r="145">
      <x:c r="E145" s="52"/>
    </x:row>
    <x:row r="146">
      <x:c r="E146" s="52"/>
    </x:row>
    <x:row r="147">
      <x:c r="E147" s="52"/>
    </x:row>
    <x:row r="148">
      <x:c r="E148" s="52"/>
    </x:row>
    <x:row r="149">
      <x:c r="E149" s="52"/>
    </x:row>
    <x:row r="150">
      <x:c r="E150" s="52"/>
    </x:row>
    <x:row r="151">
      <x:c r="E151" s="52"/>
    </x:row>
    <x:row r="152">
      <x:c r="E152" s="52"/>
    </x:row>
    <x:row r="153">
      <x:c r="E153" s="52"/>
    </x:row>
    <x:row r="154">
      <x:c r="E154" s="52"/>
    </x:row>
    <x:row r="155">
      <x:c r="E155" s="52"/>
    </x:row>
    <x:row r="156">
      <x:c r="E156" s="52"/>
    </x:row>
    <x:row r="157">
      <x:c r="E157" s="52"/>
    </x:row>
    <x:row r="158">
      <x:c r="E158" s="52"/>
    </x:row>
    <x:row r="159">
      <x:c r="E159" s="52"/>
    </x:row>
    <x:row r="160">
      <x:c r="E160" s="52"/>
    </x:row>
    <x:row r="161">
      <x:c r="E161" s="52"/>
    </x:row>
    <x:row r="162">
      <x:c r="E162" s="52"/>
    </x:row>
    <x:row r="163">
      <x:c r="E163" s="52"/>
    </x:row>
    <x:row r="164">
      <x:c r="E164" s="52"/>
    </x:row>
    <x:row r="165">
      <x:c r="E165" s="52"/>
    </x:row>
    <x:row r="166">
      <x:c r="E166" s="52"/>
    </x:row>
    <x:row r="167">
      <x:c r="E167" s="52"/>
    </x:row>
    <x:row r="168">
      <x:c r="E168" s="52"/>
    </x:row>
    <x:row r="169">
      <x:c r="E169" s="52"/>
    </x:row>
    <x:row r="170">
      <x:c r="E170" s="52"/>
    </x:row>
    <x:row r="171">
      <x:c r="E171" s="52"/>
    </x:row>
    <x:row r="172">
      <x:c r="E172" s="52"/>
    </x:row>
    <x:row r="173">
      <x:c r="E173" s="52"/>
    </x:row>
    <x:row r="174">
      <x:c r="E174" s="52"/>
    </x:row>
    <x:row r="175">
      <x:c r="E175" s="52"/>
    </x:row>
    <x:row r="176">
      <x:c r="E176" s="52"/>
    </x:row>
    <x:row r="177">
      <x:c r="E177" s="52"/>
    </x:row>
    <x:row r="178">
      <x:c r="E178" s="52"/>
    </x:row>
    <x:row r="179">
      <x:c r="E179" s="52"/>
    </x:row>
    <x:row r="180">
      <x:c r="E180" s="52"/>
    </x:row>
    <x:row r="181">
      <x:c r="E181" s="52"/>
    </x:row>
    <x:row r="182">
      <x:c r="E182" s="52"/>
    </x:row>
    <x:row r="183">
      <x:c r="E183" s="52"/>
    </x:row>
    <x:row r="184">
      <x:c r="E184" s="52"/>
    </x:row>
    <x:row r="185">
      <x:c r="E185" s="52"/>
    </x:row>
    <x:row r="186">
      <x:c r="E186" s="52"/>
    </x:row>
    <x:row r="187">
      <x:c r="E187" s="52"/>
    </x:row>
    <x:row r="188">
      <x:c r="E188" s="52"/>
    </x:row>
    <x:row r="189">
      <x:c r="E189" s="52"/>
    </x:row>
    <x:row r="190">
      <x:c r="E190" s="52"/>
    </x:row>
    <x:row r="191">
      <x:c r="E191" s="52"/>
    </x:row>
    <x:row r="192">
      <x:c r="E192" s="52"/>
    </x:row>
    <x:row r="193">
      <x:c r="E193" s="52"/>
    </x:row>
    <x:row r="194">
      <x:c r="E194" s="52"/>
    </x:row>
    <x:row r="195">
      <x:c r="E195" s="52"/>
    </x:row>
    <x:row r="196">
      <x:c r="E196" s="52"/>
    </x:row>
    <x:row r="197">
      <x:c r="E197" s="52"/>
    </x:row>
    <x:row r="198">
      <x:c r="E198" s="52"/>
    </x:row>
    <x:row r="199">
      <x:c r="E199" s="52"/>
    </x:row>
    <x:row r="200">
      <x:c r="E200" s="52"/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18" hidden="0" customWidth="1"/>
    <x:col min="5" max="5" width="16" hidden="0" customWidth="1"/>
    <x:col min="6" max="6" width="22" hidden="0" customWidth="1"/>
    <x:col min="7" max="7" width="14" hidden="0" customWidth="1"/>
    <x:col min="8" max="8" width="16" hidden="0" customWidth="1"/>
    <x:col min="9" max="9" width="34" hidden="0" customWidth="1"/>
    <x:col min="10" max="10" width="34" hidden="0" customWidth="1"/>
  </x:cols>
  <x:sheetData>
    <x:row r="1">
      <x:c r="A1" s="97" t="str">
        <x:v>Agency Source Registry &amp; Connector Readiness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>
      <x:c r="A2" s="97"/>
      <x:c r="B2" s="97"/>
      <x:c r="C2" s="97"/>
      <x:c r="D2" s="97"/>
      <x:c r="E2" s="97"/>
      <x:c r="F2" s="97"/>
      <x:c r="G2" s="97"/>
      <x:c r="H2" s="97"/>
      <x:c r="I2" s="97"/>
      <x:c r="J2" s="97"/>
    </x:row>
    <x:row r="3">
      <x:c r="A3" s="99" t="str">
        <x:v>Official source URLs are configuration inputs. Connector status indicates whether V3 contains a dedicated parser or only a generic framework.</x:v>
      </x:c>
      <x:c r="B3" s="99"/>
      <x:c r="C3" s="99"/>
      <x:c r="D3" s="99"/>
      <x:c r="E3" s="99"/>
      <x:c r="F3" s="99"/>
      <x:c r="G3" s="99"/>
      <x:c r="H3" s="99"/>
      <x:c r="I3" s="99"/>
      <x:c r="J3" s="99"/>
    </x:row>
    <x:row r="5">
      <x:c r="A5" s="104" t="str">
        <x:v>Category</x:v>
      </x:c>
      <x:c r="B5" s="104" t="str">
        <x:v>Agency</x:v>
      </x:c>
      <x:c r="C5" s="104" t="str">
        <x:v>Official Source URL</x:v>
      </x:c>
      <x:c r="D5" s="104" t="str">
        <x:v>Source Type</x:v>
      </x:c>
      <x:c r="E5" s="104" t="str">
        <x:v>Dedicated Connector</x:v>
      </x:c>
      <x:c r="F5" s="104" t="str">
        <x:v>Connector Status</x:v>
      </x:c>
      <x:c r="G5" s="104" t="str">
        <x:v>Last Test Date</x:v>
      </x:c>
      <x:c r="H5" s="104" t="str">
        <x:v>Authentication</x:v>
      </x:c>
      <x:c r="I5" s="104" t="str">
        <x:v>Expected Fields</x:v>
      </x:c>
      <x:c r="J5" s="104" t="str">
        <x:v>Notes</x:v>
      </x:c>
    </x:row>
    <x:row r="6">
      <x:c r="A6" s="37" t="str">
        <x:v>Central</x:v>
      </x:c>
      <x:c r="B6" s="37" t="str">
        <x:v>SECI</x:v>
      </x:c>
      <x:c r="C6" s="37" t="str">
        <x:v>https://seci.co.in/tenders/</x:v>
      </x:c>
      <x:c r="D6" s="37" t="str">
        <x:v>HTML table/details</x:v>
      </x:c>
      <x:c r="E6" s="37" t="str">
        <x:v>Yes</x:v>
      </x:c>
      <x:c r="F6" s="37" t="str">
        <x:v>V3 parser included</x:v>
      </x:c>
      <x:c r="G6" s="57" t="n">
        <x:v>46236</x:v>
      </x:c>
      <x:c r="H6" s="37" t="str">
        <x:v>None</x:v>
      </x:c>
      <x:c r="I6" s="37" t="str">
        <x:v>ID, reference, title, publication date, submission date, detail link</x:v>
      </x:c>
      <x:c r="J6" s="37" t="str">
        <x:v>Official tender listing</x:v>
      </x:c>
    </x:row>
    <x:row r="7">
      <x:c r="A7" s="37" t="str">
        <x:v>Central</x:v>
      </x:c>
      <x:c r="B7" s="37" t="str">
        <x:v>NTPC REL</x:v>
      </x:c>
      <x:c r="C7" s="37" t="str">
        <x:v>https://ntpctender.ntpc.co.in/Index/Search?Region=10&amp;Type=Reg</x:v>
      </x:c>
      <x:c r="D7" s="37" t="str">
        <x:v>HTML search/details</x:v>
      </x:c>
      <x:c r="E7" s="37" t="str">
        <x:v>Yes</x:v>
      </x:c>
      <x:c r="F7" s="37" t="str">
        <x:v>V3 parser included</x:v>
      </x:c>
      <x:c r="G7" s="57" t="n">
        <x:v>46236</x:v>
      </x:c>
      <x:c r="H7" s="37" t="str">
        <x:v>None</x:v>
      </x:c>
      <x:c r="I7" s="37" t="str">
        <x:v>NIT no., title, closing/submission/opening dates, EMD, corrigendum</x:v>
      </x:c>
      <x:c r="J7" s="37" t="str">
        <x:v>Renewable Energy region search</x:v>
      </x:c>
    </x:row>
    <x:row r="8">
      <x:c r="A8" s="37" t="str">
        <x:v>Central</x:v>
      </x:c>
      <x:c r="B8" s="37" t="str">
        <x:v>NHPC</x:v>
      </x:c>
      <x:c r="C8" s="37" t="str">
        <x:v>https://www.nhpcindia.com/</x:v>
      </x:c>
      <x:c r="D8" s="37" t="str">
        <x:v>HTML/PDF</x:v>
      </x:c>
      <x:c r="E8" s="37" t="str">
        <x:v>Yes</x:v>
      </x:c>
      <x:c r="F8" s="37" t="str">
        <x:v>V4 parser included</x:v>
      </x:c>
      <x:c r="G8" s="57" t="n">
        <x:v>46236</x:v>
      </x:c>
      <x:c r="H8" s="37" t="str">
        <x:v>None</x:v>
      </x:c>
      <x:c r="I8" s="37" t="str">
        <x:v>Title, notice date, deadline, link</x:v>
      </x:c>
      <x:c r="J8" s="37" t="str">
        <x:v>Dedicated parser planned</x:v>
      </x:c>
    </x:row>
    <x:row r="9">
      <x:c r="A9" s="37" t="str">
        <x:v>Central</x:v>
      </x:c>
      <x:c r="B9" s="37" t="str">
        <x:v>SJVN</x:v>
      </x:c>
      <x:c r="C9" s="37" t="str">
        <x:v>https://sjvn.nic.in/en/tender</x:v>
      </x:c>
      <x:c r="D9" s="37" t="str">
        <x:v>HTML details</x:v>
      </x:c>
      <x:c r="E9" s="37" t="str">
        <x:v>Yes</x:v>
      </x:c>
      <x:c r="F9" s="37" t="str">
        <x:v>V4 parser included</x:v>
      </x:c>
      <x:c r="G9" s="57" t="n">
        <x:v>46236</x:v>
      </x:c>
      <x:c r="H9" s="37" t="str">
        <x:v>None</x:v>
      </x:c>
      <x:c r="I9" s="37" t="str">
        <x:v>Tender ref., title, NIT date, submission date, detail link</x:v>
      </x:c>
      <x:c r="J9" s="37" t="str">
        <x:v>Dedicated parser planned</x:v>
      </x:c>
    </x:row>
    <x:row r="10">
      <x:c r="A10" s="37" t="str">
        <x:v>Central</x:v>
      </x:c>
      <x:c r="B10" s="37" t="str">
        <x:v>NLCIL</x:v>
      </x:c>
      <x:c r="C10" s="37" t="str">
        <x:v>https://www.nlcindia.in/</x:v>
      </x:c>
      <x:c r="D10" s="37" t="str">
        <x:v>HTML/PDF</x:v>
      </x:c>
      <x:c r="E10" s="37" t="str">
        <x:v>No</x:v>
      </x:c>
      <x:c r="F10" s="37" t="str">
        <x:v>Generic connector only</x:v>
      </x:c>
      <x:c r="G10" s="57" t="str"/>
      <x:c r="H10" s="37" t="str">
        <x:v>None</x:v>
      </x:c>
      <x:c r="I10" s="37" t="str">
        <x:v>Title, date, deadline, link</x:v>
      </x:c>
      <x:c r="J10" s="37" t="str">
        <x:v>Dedicated parser planned</x:v>
      </x:c>
    </x:row>
    <x:row r="11">
      <x:c r="A11" s="37" t="str">
        <x:v>Central</x:v>
      </x:c>
      <x:c r="B11" s="37" t="str">
        <x:v>REMCL</x:v>
      </x:c>
      <x:c r="C11" s="37" t="str">
        <x:v>https://www.remcl.in/</x:v>
      </x:c>
      <x:c r="D11" s="37" t="str">
        <x:v>HTML/PDF</x:v>
      </x:c>
      <x:c r="E11" s="37" t="str">
        <x:v>No</x:v>
      </x:c>
      <x:c r="F11" s="37" t="str">
        <x:v>Generic connector only</x:v>
      </x:c>
      <x:c r="G11" s="57" t="str"/>
      <x:c r="H11" s="37" t="str">
        <x:v>None</x:v>
      </x:c>
      <x:c r="I11" s="37" t="str">
        <x:v>Title, date, deadline, link</x:v>
      </x:c>
      <x:c r="J11" s="37" t="str">
        <x:v>Dedicated parser planned</x:v>
      </x:c>
    </x:row>
    <x:row r="12">
      <x:c r="A12" s="37" t="str">
        <x:v>Central</x:v>
      </x:c>
      <x:c r="B12" s="37" t="str">
        <x:v>GUVNL (ISTS)</x:v>
      </x:c>
      <x:c r="C12" s="37" t="str">
        <x:v>https://www.guvnl.com/</x:v>
      </x:c>
      <x:c r="D12" s="37" t="str">
        <x:v>HTML/PDF</x:v>
      </x:c>
      <x:c r="E12" s="37" t="str">
        <x:v>No</x:v>
      </x:c>
      <x:c r="F12" s="37" t="str">
        <x:v>Generic connector only</x:v>
      </x:c>
      <x:c r="G12" s="57" t="str"/>
      <x:c r="H12" s="37" t="str">
        <x:v>None</x:v>
      </x:c>
      <x:c r="I12" s="37" t="str">
        <x:v>Title, date, deadline, link</x:v>
      </x:c>
      <x:c r="J12" s="37" t="str">
        <x:v>Dedicated parser planned</x:v>
      </x:c>
    </x:row>
    <x:row r="13">
      <x:c r="A13" s="37" t="str">
        <x:v>Others</x:v>
      </x:c>
      <x:c r="B13" s="37" t="str">
        <x:v>Central Public Procurement Portal</x:v>
      </x:c>
      <x:c r="C13" s="37" t="str">
        <x:v>https://eprocure.gov.in/eprocure/app</x:v>
      </x:c>
      <x:c r="D13" s="37" t="str">
        <x:v>Portal</x:v>
      </x:c>
      <x:c r="E13" s="37" t="str">
        <x:v>No</x:v>
      </x:c>
      <x:c r="F13" s="37" t="str">
        <x:v>Manual/export integration</x:v>
      </x:c>
      <x:c r="G13" s="57" t="str"/>
      <x:c r="H13" s="37" t="str">
        <x:v>Portal controls</x:v>
      </x:c>
      <x:c r="I13" s="37" t="str">
        <x:v>Tender no., title, dates, organisation, document links</x:v>
      </x:c>
      <x:c r="J13" s="37" t="str">
        <x:v>Portal restrictions may apply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6fe285b11cb1403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2" hidden="0" customWidth="1"/>
    <x:col min="4" max="4" width="10" hidden="0" customWidth="1"/>
    <x:col min="5" max="5" width="38" hidden="0" customWidth="1"/>
    <x:col min="6" max="6" width="12" hidden="0" customWidth="1"/>
    <x:col min="7" max="7" width="32" hidden="0" customWidth="1"/>
  </x:cols>
  <x:sheetData>
    <x:row r="1">
      <x:c r="A1" s="97" t="str">
        <x:v>Rule-Based Tender Field Extraction</x:v>
      </x:c>
      <x:c r="B1" s="97"/>
      <x:c r="C1" s="97"/>
      <x:c r="D1" s="97"/>
      <x:c r="E1" s="97"/>
      <x:c r="F1" s="97"/>
      <x:c r="G1" s="97"/>
    </x:row>
    <x:row r="2">
      <x:c r="A2" s="97"/>
      <x:c r="B2" s="97"/>
      <x:c r="C2" s="97"/>
      <x:c r="D2" s="97"/>
      <x:c r="E2" s="97"/>
      <x:c r="F2" s="97"/>
      <x:c r="G2" s="97"/>
    </x:row>
    <x:row r="4">
      <x:c r="A4" s="104" t="str">
        <x:v>Field</x:v>
      </x:c>
      <x:c r="B4" s="104" t="str">
        <x:v>Pattern / Keyword</x:v>
      </x:c>
      <x:c r="C4" s="104" t="str">
        <x:v>Output</x:v>
      </x:c>
      <x:c r="D4" s="104" t="str">
        <x:v>Priority</x:v>
      </x:c>
      <x:c r="E4" s="104" t="str">
        <x:v>Example Match</x:v>
      </x:c>
      <x:c r="F4" s="104" t="str">
        <x:v>Enabled</x:v>
      </x:c>
      <x:c r="G4" s="104" t="str">
        <x:v>Notes</x:v>
      </x:c>
    </x:row>
    <x:row r="5">
      <x:c r="A5" s="37" t="str">
        <x:v>Technology</x:v>
      </x:c>
      <x:c r="B5" s="37" t="str">
        <x:v>solar + bess|solar.*battery</x:v>
      </x:c>
      <x:c r="C5" s="37" t="str">
        <x:v>Solar + BESS</x:v>
      </x:c>
      <x:c r="D5" s="37" t="n">
        <x:v>1</x:v>
      </x:c>
      <x:c r="E5" s="37" t="str">
        <x:v>70 MW solar paired with 25 MW / 50 MWh BESS</x:v>
      </x:c>
      <x:c r="F5" s="37" t="str">
        <x:v>Yes</x:v>
      </x:c>
      <x:c r="G5" s="37" t="str"/>
    </x:row>
    <x:row r="6">
      <x:c r="A6" s="37" t="str">
        <x:v>Technology</x:v>
      </x:c>
      <x:c r="B6" s="37" t="str">
        <x:v>firm and dispatchable|fdre</x:v>
      </x:c>
      <x:c r="C6" s="37" t="str">
        <x:v>FDRE</x:v>
      </x:c>
      <x:c r="D6" s="37" t="n">
        <x:v>1</x:v>
      </x:c>
      <x:c r="E6" s="37" t="str">
        <x:v>Firm and Dispatchable Renewable Energy</x:v>
      </x:c>
      <x:c r="F6" s="37" t="str">
        <x:v>Yes</x:v>
      </x:c>
      <x:c r="G6" s="37" t="str"/>
    </x:row>
    <x:row r="7">
      <x:c r="A7" s="37" t="str">
        <x:v>Technology</x:v>
      </x:c>
      <x:c r="B7" s="37" t="str">
        <x:v>wind solar hybrid|hybrid renewable</x:v>
      </x:c>
      <x:c r="C7" s="37" t="str">
        <x:v>Hybrid</x:v>
      </x:c>
      <x:c r="D7" s="37" t="n">
        <x:v>2</x:v>
      </x:c>
      <x:c r="E7" s="37" t="str">
        <x:v>Wind-Solar Hybrid</x:v>
      </x:c>
      <x:c r="F7" s="37" t="str">
        <x:v>Yes</x:v>
      </x:c>
      <x:c r="G7" s="37" t="str"/>
    </x:row>
    <x:row r="8">
      <x:c r="A8" s="37" t="str">
        <x:v>Technology</x:v>
      </x:c>
      <x:c r="B8" s="37" t="str">
        <x:v>battery energy storage|\bbess\b</x:v>
      </x:c>
      <x:c r="C8" s="37" t="str">
        <x:v>BESS</x:v>
      </x:c>
      <x:c r="D8" s="37" t="n">
        <x:v>2</x:v>
      </x:c>
      <x:c r="E8" s="37" t="str">
        <x:v>240 MW / 960 MWh BESS</x:v>
      </x:c>
      <x:c r="F8" s="37" t="str">
        <x:v>Yes</x:v>
      </x:c>
      <x:c r="G8" s="37" t="str"/>
    </x:row>
    <x:row r="9">
      <x:c r="A9" s="37" t="str">
        <x:v>Technology</x:v>
      </x:c>
      <x:c r="B9" s="37" t="str">
        <x:v>pumped storage|\bpsp\b</x:v>
      </x:c>
      <x:c r="C9" s="37" t="str">
        <x:v>Pumped Storage</x:v>
      </x:c>
      <x:c r="D9" s="37" t="n">
        <x:v>1</x:v>
      </x:c>
      <x:c r="E9" s="37" t="str">
        <x:v>1500 MW / 12000 MWh Pumped Storage</x:v>
      </x:c>
      <x:c r="F9" s="37" t="str">
        <x:v>Yes</x:v>
      </x:c>
      <x:c r="G9" s="37" t="str"/>
    </x:row>
    <x:row r="10">
      <x:c r="A10" s="37" t="str">
        <x:v>Technology</x:v>
      </x:c>
      <x:c r="B10" s="37" t="str">
        <x:v>\bwind\b</x:v>
      </x:c>
      <x:c r="C10" s="37" t="str">
        <x:v>Wind</x:v>
      </x:c>
      <x:c r="D10" s="37" t="n">
        <x:v>3</x:v>
      </x:c>
      <x:c r="E10" s="37" t="str">
        <x:v>45.6 MW Wind Power Project</x:v>
      </x:c>
      <x:c r="F10" s="37" t="str">
        <x:v>Yes</x:v>
      </x:c>
      <x:c r="G10" s="37" t="str"/>
    </x:row>
    <x:row r="11">
      <x:c r="A11" s="37" t="str">
        <x:v>Technology</x:v>
      </x:c>
      <x:c r="B11" s="37" t="str">
        <x:v>\bsolar\b|solar pv</x:v>
      </x:c>
      <x:c r="C11" s="37" t="str">
        <x:v>Solar</x:v>
      </x:c>
      <x:c r="D11" s="37" t="n">
        <x:v>4</x:v>
      </x:c>
      <x:c r="E11" s="37" t="str">
        <x:v>Grid Connected Solar PV</x:v>
      </x:c>
      <x:c r="F11" s="37" t="str">
        <x:v>Yes</x:v>
      </x:c>
      <x:c r="G11" s="37" t="str"/>
    </x:row>
    <x:row r="12">
      <x:c r="A12" s="37" t="str">
        <x:v>Storage Hours</x:v>
      </x:c>
      <x:c r="B12" s="37" t="str">
        <x:v>(\d+(?:\.\d+)?)\s*(?:hour|hr|hrs)</x:v>
      </x:c>
      <x:c r="C12" s="37" t="str">
        <x:v>Captured hours</x:v>
      </x:c>
      <x:c r="D12" s="37" t="n">
        <x:v>1</x:v>
      </x:c>
      <x:c r="E12" s="37" t="str">
        <x:v>500 MW x 2 Hrs.</x:v>
      </x:c>
      <x:c r="F12" s="37" t="str">
        <x:v>Yes</x:v>
      </x:c>
      <x:c r="G12" s="37" t="str">
        <x:v>Direct text pattern</x:v>
      </x:c>
    </x:row>
    <x:row r="13">
      <x:c r="A13" s="37" t="str">
        <x:v>Storage Hours</x:v>
      </x:c>
      <x:c r="B13" s="37" t="str">
        <x:v>(\d+(?:\.\d+)?)\s*mw\s*/\s*(\d+(?:\.\d+)?)\s*mwh</x:v>
      </x:c>
      <x:c r="C13" s="37" t="str">
        <x:v>MWh / MW</x:v>
      </x:c>
      <x:c r="D13" s="37" t="n">
        <x:v>2</x:v>
      </x:c>
      <x:c r="E13" s="37" t="str">
        <x:v>240 MW / 960 MWh</x:v>
      </x:c>
      <x:c r="F13" s="37" t="str">
        <x:v>Yes</x:v>
      </x:c>
      <x:c r="G13" s="37" t="str">
        <x:v>Calculated duration</x:v>
      </x:c>
    </x:row>
    <x:row r="14">
      <x:c r="A14" s="37" t="str">
        <x:v>Capacity MW</x:v>
      </x:c>
      <x:c r="B14" s="37" t="str">
        <x:v>(\d+(?:\.\d+)?)\s*mw</x:v>
      </x:c>
      <x:c r="C14" s="37" t="str">
        <x:v>Captured MW</x:v>
      </x:c>
      <x:c r="D14" s="37" t="n">
        <x:v>1</x:v>
      </x:c>
      <x:c r="E14" s="37" t="str">
        <x:v>500 MW</x:v>
      </x:c>
      <x:c r="F14" s="37" t="str">
        <x:v>Yes</x:v>
      </x:c>
      <x:c r="G14" s="37" t="str">
        <x:v>Use context to avoid transformer ratings</x:v>
      </x:c>
    </x:row>
    <x:row r="15">
      <x:c r="A15" s="37" t="str">
        <x:v>Energy MWh</x:v>
      </x:c>
      <x:c r="B15" s="37" t="str">
        <x:v>(\d+(?:\.\d+)?)\s*mwh</x:v>
      </x:c>
      <x:c r="C15" s="37" t="str">
        <x:v>Captured MWh</x:v>
      </x:c>
      <x:c r="D15" s="37" t="n">
        <x:v>1</x:v>
      </x:c>
      <x:c r="E15" s="37" t="str">
        <x:v>6000 MWh</x:v>
      </x:c>
      <x:c r="F15" s="37" t="str">
        <x:v>Yes</x:v>
      </x:c>
      <x:c r="G15" s="37" t="str"/>
    </x:row>
    <x:row r="16">
      <x:c r="A16" s="37" t="str">
        <x:v>Status</x:v>
      </x:c>
      <x:c r="B16" s="37" t="str">
        <x:v>corrigendum|amendment</x:v>
      </x:c>
      <x:c r="C16" s="37" t="str">
        <x:v>Corrigendum</x:v>
      </x:c>
      <x:c r="D16" s="37" t="n">
        <x:v>1</x:v>
      </x:c>
      <x:c r="E16" s="37" t="str">
        <x:v>Corrigendum Available</x:v>
      </x:c>
      <x:c r="F16" s="37" t="str">
        <x:v>Yes</x:v>
      </x:c>
      <x:c r="G16" s="37" t="str"/>
    </x:row>
    <x:row r="17">
      <x:c r="A17" s="37" t="str">
        <x:v>Status</x:v>
      </x:c>
      <x:c r="B17" s="37" t="str">
        <x:v>extension|extended|revised.*date</x:v>
      </x:c>
      <x:c r="C17" s="37" t="str">
        <x:v>Extended</x:v>
      </x:c>
      <x:c r="D17" s="37" t="n">
        <x:v>2</x:v>
      </x:c>
      <x:c r="E17" s="37" t="str">
        <x:v>Revised Bid Open Date</x:v>
      </x:c>
      <x:c r="F17" s="37" t="str">
        <x:v>Yes</x:v>
      </x:c>
      <x:c r="G17" s="37" t="str"/>
    </x:row>
    <x:row r="18">
      <x:c r="A18" s="37" t="str">
        <x:v>Status</x:v>
      </x:c>
      <x:c r="B18" s="37" t="str">
        <x:v>cancelled|canceled</x:v>
      </x:c>
      <x:c r="C18" s="37" t="str">
        <x:v>Cancelled</x:v>
      </x:c>
      <x:c r="D18" s="37" t="n">
        <x:v>1</x:v>
      </x:c>
      <x:c r="E18" s="37" t="str">
        <x:v>Tender Cancelled</x:v>
      </x:c>
      <x:c r="F18" s="37" t="str">
        <x:v>Yes</x:v>
      </x:c>
      <x:c r="G18" s="37" t="str"/>
    </x:row>
    <x:row r="19">
      <x:c r="A19" s="37" t="str">
        <x:v>Dispatch</x:v>
      </x:c>
      <x:c r="B19" s="37" t="str">
        <x:v>peak supply|peak hours</x:v>
      </x:c>
      <x:c r="C19" s="37" t="str">
        <x:v>Peak</x:v>
      </x:c>
      <x:c r="D19" s="37" t="n">
        <x:v>1</x:v>
      </x:c>
      <x:c r="E19" s="37" t="str">
        <x:v>Assured Peak Supply</x:v>
      </x:c>
      <x:c r="F19" s="37" t="str">
        <x:v>Yes</x:v>
      </x:c>
      <x:c r="G19" s="37" t="str"/>
    </x:row>
    <x:row r="20">
      <x:c r="A20" s="37" t="str">
        <x:v>Dispatch</x:v>
      </x:c>
      <x:c r="B20" s="37" t="str">
        <x:v>round[- ]the[- ]clock|\brtc\b</x:v>
      </x:c>
      <x:c r="C20" s="37" t="str">
        <x:v>RTC</x:v>
      </x:c>
      <x:c r="D20" s="37" t="n">
        <x:v>1</x:v>
      </x:c>
      <x:c r="E20" s="37" t="str">
        <x:v>FDRE-RTC</x:v>
      </x:c>
      <x:c r="F20" s="37" t="str">
        <x:v>Yes</x:v>
      </x:c>
      <x:c r="G20" s="37" t="str"/>
    </x:row>
    <x:row r="21">
      <x:c r="A21" s="37" t="str">
        <x:v>Minimum PLF</x:v>
      </x:c>
      <x:c r="B21" s="37" t="str">
        <x:v>minimum.*plf.*?(\d+(?:\.\d+)?)%</x:v>
      </x:c>
      <x:c r="C21" s="37" t="str">
        <x:v>Captured %</x:v>
      </x:c>
      <x:c r="D21" s="37" t="n">
        <x:v>1</x:v>
      </x:c>
      <x:c r="E21" s="37" t="str">
        <x:v>minimum PLF 80%</x:v>
      </x:c>
      <x:c r="F21" s="37" t="str">
        <x:v>Yes</x:v>
      </x:c>
      <x:c r="G21" s="37" t="str">
        <x:v>Usually from RfS/PDF</x:v>
      </x:c>
    </x:row>
    <x:row r="22">
      <x:c r="A22" s="37" t="str">
        <x:v>EMD</x:v>
      </x:c>
      <x:c r="B22" s="37" t="str">
        <x:v>emd(?: cost| amount)?\s*[:\-]?\s*(?:rs\.?|₹)?\s*([\d,]+(?:\.\d+)?)</x:v>
      </x:c>
      <x:c r="C22" s="37" t="str">
        <x:v>Captured amount</x:v>
      </x:c>
      <x:c r="D22" s="37" t="n">
        <x:v>1</x:v>
      </x:c>
      <x:c r="E22" s="37" t="str">
        <x:v>EMD Cost: 2000000</x:v>
      </x:c>
      <x:c r="F22" s="37" t="str">
        <x:v>Yes</x:v>
      </x:c>
      <x:c r="G22" s="37" t="str"/>
    </x:row>
  </x:sheetData>
  <x:mergeCells>
    <x:mergeCell ref="A1:G2"/>
  </x:mergeCells>
  <x:dataValidations count="1">
    <x:dataValidation type="list" sqref="F5:F2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47a3f3f466436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28" hidden="0" customWidth="1"/>
  </x:cols>
  <x:sheetData>
    <x:row r="1">
      <x:c r="A1" s="97" t="str">
        <x:v>Connector Run Log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>
      <x:c r="A2" s="97"/>
      <x:c r="B2" s="97"/>
      <x:c r="C2" s="97"/>
      <x:c r="D2" s="97"/>
      <x:c r="E2" s="97"/>
      <x:c r="F2" s="97"/>
      <x:c r="G2" s="97"/>
      <x:c r="H2" s="97"/>
      <x:c r="I2" s="97"/>
      <x:c r="J2" s="97"/>
    </x:row>
    <x:row r="4">
      <x:c r="A4" s="104" t="str">
        <x:v>Run ID</x:v>
      </x:c>
      <x:c r="B4" s="104" t="str">
        <x:v>Started</x:v>
      </x:c>
      <x:c r="C4" s="104" t="str">
        <x:v>Finished</x:v>
      </x:c>
      <x:c r="D4" s="104" t="str">
        <x:v>Agency</x:v>
      </x:c>
      <x:c r="E4" s="104" t="str">
        <x:v>Source URL</x:v>
      </x:c>
      <x:c r="F4" s="104" t="str">
        <x:v>Records Found</x:v>
      </x:c>
      <x:c r="G4" s="104" t="str">
        <x:v>New</x:v>
      </x:c>
      <x:c r="H4" s="104" t="str">
        <x:v>Updated</x:v>
      </x:c>
      <x:c r="I4" s="104" t="str">
        <x:v>Errors</x:v>
      </x:c>
      <x:c r="J4" s="104" t="str">
        <x:v>Result</x:v>
      </x:c>
    </x:row>
    <x:row r="5">
      <x:c r="B5" s="60"/>
      <x:c r="C5" s="60"/>
    </x:row>
    <x:row r="6">
      <x:c r="B6" s="60"/>
      <x:c r="C6" s="60"/>
    </x:row>
    <x:row r="7">
      <x:c r="B7" s="60"/>
      <x:c r="C7" s="60"/>
    </x:row>
    <x:row r="8">
      <x:c r="B8" s="60"/>
      <x:c r="C8" s="60"/>
    </x:row>
    <x:row r="9">
      <x:c r="B9" s="60"/>
      <x:c r="C9" s="60"/>
    </x:row>
    <x:row r="10">
      <x:c r="B10" s="60"/>
      <x:c r="C10" s="60"/>
    </x:row>
    <x:row r="11">
      <x:c r="B11" s="60"/>
      <x:c r="C11" s="60"/>
    </x:row>
    <x:row r="12">
      <x:c r="B12" s="60"/>
      <x:c r="C12" s="60"/>
    </x:row>
    <x:row r="13">
      <x:c r="B13" s="60"/>
      <x:c r="C13" s="60"/>
    </x:row>
    <x:row r="14">
      <x:c r="B14" s="60"/>
      <x:c r="C14" s="60"/>
    </x:row>
    <x:row r="15">
      <x:c r="B15" s="60"/>
      <x:c r="C15" s="60"/>
    </x:row>
    <x:row r="16">
      <x:c r="B16" s="60"/>
      <x:c r="C16" s="60"/>
    </x:row>
    <x:row r="17">
      <x:c r="B17" s="60"/>
      <x:c r="C17" s="60"/>
    </x:row>
    <x:row r="18">
      <x:c r="B18" s="60"/>
      <x:c r="C18" s="60"/>
    </x:row>
    <x:row r="19">
      <x:c r="B19" s="60"/>
      <x:c r="C19" s="60"/>
    </x:row>
    <x:row r="20">
      <x:c r="B20" s="60"/>
      <x:c r="C20" s="60"/>
    </x:row>
    <x:row r="21">
      <x:c r="B21" s="60"/>
      <x:c r="C21" s="60"/>
    </x:row>
    <x:row r="22">
      <x:c r="B22" s="60"/>
      <x:c r="C22" s="60"/>
    </x:row>
    <x:row r="23">
      <x:c r="B23" s="60"/>
      <x:c r="C23" s="60"/>
    </x:row>
    <x:row r="24">
      <x:c r="B24" s="60"/>
      <x:c r="C24" s="60"/>
    </x:row>
    <x:row r="25">
      <x:c r="B25" s="60"/>
      <x:c r="C25" s="60"/>
    </x:row>
    <x:row r="26">
      <x:c r="B26" s="60"/>
      <x:c r="C26" s="60"/>
    </x:row>
    <x:row r="27">
      <x:c r="B27" s="60"/>
      <x:c r="C27" s="60"/>
    </x:row>
    <x:row r="28">
      <x:c r="B28" s="60"/>
      <x:c r="C28" s="60"/>
    </x:row>
    <x:row r="29">
      <x:c r="B29" s="60"/>
      <x:c r="C29" s="60"/>
    </x:row>
    <x:row r="30">
      <x:c r="B30" s="60"/>
      <x:c r="C30" s="60"/>
    </x:row>
    <x:row r="31">
      <x:c r="B31" s="60"/>
      <x:c r="C31" s="60"/>
    </x:row>
    <x:row r="32">
      <x:c r="B32" s="60"/>
      <x:c r="C32" s="60"/>
    </x:row>
    <x:row r="33">
      <x:c r="B33" s="60"/>
      <x:c r="C33" s="60"/>
    </x:row>
    <x:row r="34">
      <x:c r="B34" s="60"/>
      <x:c r="C34" s="60"/>
    </x:row>
    <x:row r="35">
      <x:c r="B35" s="60"/>
      <x:c r="C35" s="60"/>
    </x:row>
    <x:row r="36">
      <x:c r="B36" s="60"/>
      <x:c r="C36" s="60"/>
    </x:row>
    <x:row r="37">
      <x:c r="B37" s="60"/>
      <x:c r="C37" s="60"/>
    </x:row>
    <x:row r="38">
      <x:c r="B38" s="60"/>
      <x:c r="C38" s="60"/>
    </x:row>
    <x:row r="39">
      <x:c r="B39" s="60"/>
      <x:c r="C39" s="60"/>
    </x:row>
    <x:row r="40">
      <x:c r="B40" s="60"/>
      <x:c r="C40" s="60"/>
    </x:row>
    <x:row r="41">
      <x:c r="B41" s="60"/>
      <x:c r="C41" s="60"/>
    </x:row>
    <x:row r="42">
      <x:c r="B42" s="60"/>
      <x:c r="C42" s="60"/>
    </x:row>
    <x:row r="43">
      <x:c r="B43" s="60"/>
      <x:c r="C43" s="60"/>
    </x:row>
    <x:row r="44">
      <x:c r="B44" s="60"/>
      <x:c r="C44" s="60"/>
    </x:row>
    <x:row r="45">
      <x:c r="B45" s="60"/>
      <x:c r="C45" s="60"/>
    </x:row>
    <x:row r="46">
      <x:c r="B46" s="60"/>
      <x:c r="C46" s="60"/>
    </x:row>
    <x:row r="47">
      <x:c r="B47" s="60"/>
      <x:c r="C47" s="60"/>
    </x:row>
    <x:row r="48">
      <x:c r="B48" s="60"/>
      <x:c r="C48" s="60"/>
    </x:row>
    <x:row r="49">
      <x:c r="B49" s="60"/>
      <x:c r="C49" s="60"/>
    </x:row>
    <x:row r="50">
      <x:c r="B50" s="60"/>
      <x:c r="C50" s="60"/>
    </x:row>
    <x:row r="51">
      <x:c r="B51" s="60"/>
      <x:c r="C51" s="60"/>
    </x:row>
    <x:row r="52">
      <x:c r="B52" s="60"/>
      <x:c r="C52" s="60"/>
    </x:row>
    <x:row r="53">
      <x:c r="B53" s="60"/>
      <x:c r="C53" s="60"/>
    </x:row>
    <x:row r="54">
      <x:c r="B54" s="60"/>
      <x:c r="C54" s="60"/>
    </x:row>
    <x:row r="55">
      <x:c r="B55" s="60"/>
      <x:c r="C55" s="60"/>
    </x:row>
    <x:row r="56">
      <x:c r="B56" s="60"/>
      <x:c r="C56" s="60"/>
    </x:row>
    <x:row r="57">
      <x:c r="B57" s="60"/>
      <x:c r="C57" s="60"/>
    </x:row>
    <x:row r="58">
      <x:c r="B58" s="60"/>
      <x:c r="C58" s="60"/>
    </x:row>
    <x:row r="59">
      <x:c r="B59" s="60"/>
      <x:c r="C59" s="60"/>
    </x:row>
    <x:row r="60">
      <x:c r="B60" s="60"/>
      <x:c r="C60" s="60"/>
    </x:row>
    <x:row r="61">
      <x:c r="B61" s="60"/>
      <x:c r="C61" s="60"/>
    </x:row>
    <x:row r="62">
      <x:c r="B62" s="60"/>
      <x:c r="C62" s="60"/>
    </x:row>
    <x:row r="63">
      <x:c r="B63" s="60"/>
      <x:c r="C63" s="60"/>
    </x:row>
    <x:row r="64">
      <x:c r="B64" s="60"/>
      <x:c r="C64" s="60"/>
    </x:row>
    <x:row r="65">
      <x:c r="B65" s="60"/>
      <x:c r="C65" s="60"/>
    </x:row>
    <x:row r="66">
      <x:c r="B66" s="60"/>
      <x:c r="C66" s="60"/>
    </x:row>
    <x:row r="67">
      <x:c r="B67" s="60"/>
      <x:c r="C67" s="60"/>
    </x:row>
    <x:row r="68">
      <x:c r="B68" s="60"/>
      <x:c r="C68" s="60"/>
    </x:row>
    <x:row r="69">
      <x:c r="B69" s="60"/>
      <x:c r="C69" s="60"/>
    </x:row>
    <x:row r="70">
      <x:c r="B70" s="60"/>
      <x:c r="C70" s="60"/>
    </x:row>
    <x:row r="71">
      <x:c r="B71" s="60"/>
      <x:c r="C71" s="60"/>
    </x:row>
    <x:row r="72">
      <x:c r="B72" s="60"/>
      <x:c r="C72" s="60"/>
    </x:row>
    <x:row r="73">
      <x:c r="B73" s="60"/>
      <x:c r="C73" s="60"/>
    </x:row>
    <x:row r="74">
      <x:c r="B74" s="60"/>
      <x:c r="C74" s="60"/>
    </x:row>
    <x:row r="75">
      <x:c r="B75" s="60"/>
      <x:c r="C75" s="60"/>
    </x:row>
    <x:row r="76">
      <x:c r="B76" s="60"/>
      <x:c r="C76" s="60"/>
    </x:row>
    <x:row r="77">
      <x:c r="B77" s="60"/>
      <x:c r="C77" s="60"/>
    </x:row>
    <x:row r="78">
      <x:c r="B78" s="60"/>
      <x:c r="C78" s="60"/>
    </x:row>
    <x:row r="79">
      <x:c r="B79" s="60"/>
      <x:c r="C79" s="60"/>
    </x:row>
    <x:row r="80">
      <x:c r="B80" s="60"/>
      <x:c r="C80" s="60"/>
    </x:row>
    <x:row r="81">
      <x:c r="B81" s="60"/>
      <x:c r="C81" s="60"/>
    </x:row>
    <x:row r="82">
      <x:c r="B82" s="60"/>
      <x:c r="C82" s="60"/>
    </x:row>
    <x:row r="83">
      <x:c r="B83" s="60"/>
      <x:c r="C83" s="60"/>
    </x:row>
    <x:row r="84">
      <x:c r="B84" s="60"/>
      <x:c r="C84" s="60"/>
    </x:row>
    <x:row r="85">
      <x:c r="B85" s="60"/>
      <x:c r="C85" s="60"/>
    </x:row>
    <x:row r="86">
      <x:c r="B86" s="60"/>
      <x:c r="C86" s="60"/>
    </x:row>
    <x:row r="87">
      <x:c r="B87" s="60"/>
      <x:c r="C87" s="60"/>
    </x:row>
    <x:row r="88">
      <x:c r="B88" s="60"/>
      <x:c r="C88" s="60"/>
    </x:row>
    <x:row r="89">
      <x:c r="B89" s="60"/>
      <x:c r="C89" s="60"/>
    </x:row>
    <x:row r="90">
      <x:c r="B90" s="60"/>
      <x:c r="C90" s="60"/>
    </x:row>
    <x:row r="91">
      <x:c r="B91" s="60"/>
      <x:c r="C91" s="60"/>
    </x:row>
    <x:row r="92">
      <x:c r="B92" s="60"/>
      <x:c r="C92" s="60"/>
    </x:row>
    <x:row r="93">
      <x:c r="B93" s="60"/>
      <x:c r="C93" s="60"/>
    </x:row>
    <x:row r="94">
      <x:c r="B94" s="60"/>
      <x:c r="C94" s="60"/>
    </x:row>
    <x:row r="95">
      <x:c r="B95" s="60"/>
      <x:c r="C95" s="60"/>
    </x:row>
    <x:row r="96">
      <x:c r="B96" s="60"/>
      <x:c r="C96" s="60"/>
    </x:row>
    <x:row r="97">
      <x:c r="B97" s="60"/>
      <x:c r="C97" s="60"/>
    </x:row>
    <x:row r="98">
      <x:c r="B98" s="60"/>
      <x:c r="C98" s="60"/>
    </x:row>
    <x:row r="99">
      <x:c r="B99" s="60"/>
      <x:c r="C99" s="60"/>
    </x:row>
    <x:row r="100">
      <x:c r="B100" s="60"/>
      <x:c r="C100" s="60"/>
    </x:row>
    <x:row r="101">
      <x:c r="B101" s="60"/>
      <x:c r="C101" s="60"/>
    </x:row>
    <x:row r="102">
      <x:c r="B102" s="60"/>
      <x:c r="C102" s="60"/>
    </x:row>
    <x:row r="103">
      <x:c r="B103" s="60"/>
      <x:c r="C103" s="60"/>
    </x:row>
    <x:row r="104">
      <x:c r="B104" s="60"/>
      <x:c r="C104" s="60"/>
    </x:row>
    <x:row r="105">
      <x:c r="B105" s="60"/>
      <x:c r="C105" s="60"/>
    </x:row>
    <x:row r="106">
      <x:c r="B106" s="60"/>
      <x:c r="C106" s="60"/>
    </x:row>
    <x:row r="107">
      <x:c r="B107" s="60"/>
      <x:c r="C107" s="60"/>
    </x:row>
    <x:row r="108">
      <x:c r="B108" s="60"/>
      <x:c r="C108" s="60"/>
    </x:row>
    <x:row r="109">
      <x:c r="B109" s="60"/>
      <x:c r="C109" s="60"/>
    </x:row>
    <x:row r="110">
      <x:c r="B110" s="60"/>
      <x:c r="C110" s="60"/>
    </x:row>
    <x:row r="111">
      <x:c r="B111" s="60"/>
      <x:c r="C111" s="60"/>
    </x:row>
    <x:row r="112">
      <x:c r="B112" s="60"/>
      <x:c r="C112" s="60"/>
    </x:row>
    <x:row r="113">
      <x:c r="B113" s="60"/>
      <x:c r="C113" s="60"/>
    </x:row>
    <x:row r="114">
      <x:c r="B114" s="60"/>
      <x:c r="C114" s="60"/>
    </x:row>
    <x:row r="115">
      <x:c r="B115" s="60"/>
      <x:c r="C115" s="60"/>
    </x:row>
    <x:row r="116">
      <x:c r="B116" s="60"/>
      <x:c r="C116" s="60"/>
    </x:row>
    <x:row r="117">
      <x:c r="B117" s="60"/>
      <x:c r="C117" s="60"/>
    </x:row>
    <x:row r="118">
      <x:c r="B118" s="60"/>
      <x:c r="C118" s="60"/>
    </x:row>
    <x:row r="119">
      <x:c r="B119" s="60"/>
      <x:c r="C119" s="60"/>
    </x:row>
    <x:row r="120">
      <x:c r="B120" s="60"/>
      <x:c r="C120" s="60"/>
    </x:row>
    <x:row r="121">
      <x:c r="B121" s="60"/>
      <x:c r="C121" s="60"/>
    </x:row>
    <x:row r="122">
      <x:c r="B122" s="60"/>
      <x:c r="C122" s="60"/>
    </x:row>
    <x:row r="123">
      <x:c r="B123" s="60"/>
      <x:c r="C123" s="60"/>
    </x:row>
    <x:row r="124">
      <x:c r="B124" s="60"/>
      <x:c r="C124" s="60"/>
    </x:row>
    <x:row r="125">
      <x:c r="B125" s="60"/>
      <x:c r="C125" s="60"/>
    </x:row>
    <x:row r="126">
      <x:c r="B126" s="60"/>
      <x:c r="C126" s="60"/>
    </x:row>
    <x:row r="127">
      <x:c r="B127" s="60"/>
      <x:c r="C127" s="60"/>
    </x:row>
    <x:row r="128">
      <x:c r="B128" s="60"/>
      <x:c r="C128" s="60"/>
    </x:row>
    <x:row r="129">
      <x:c r="B129" s="60"/>
      <x:c r="C129" s="60"/>
    </x:row>
    <x:row r="130">
      <x:c r="B130" s="60"/>
      <x:c r="C130" s="60"/>
    </x:row>
    <x:row r="131">
      <x:c r="B131" s="60"/>
      <x:c r="C131" s="60"/>
    </x:row>
    <x:row r="132">
      <x:c r="B132" s="60"/>
      <x:c r="C132" s="60"/>
    </x:row>
    <x:row r="133">
      <x:c r="B133" s="60"/>
      <x:c r="C133" s="60"/>
    </x:row>
    <x:row r="134">
      <x:c r="B134" s="60"/>
      <x:c r="C134" s="60"/>
    </x:row>
    <x:row r="135">
      <x:c r="B135" s="60"/>
      <x:c r="C135" s="60"/>
    </x:row>
    <x:row r="136">
      <x:c r="B136" s="60"/>
      <x:c r="C136" s="60"/>
    </x:row>
    <x:row r="137">
      <x:c r="B137" s="60"/>
      <x:c r="C137" s="60"/>
    </x:row>
    <x:row r="138">
      <x:c r="B138" s="60"/>
      <x:c r="C138" s="60"/>
    </x:row>
    <x:row r="139">
      <x:c r="B139" s="60"/>
      <x:c r="C139" s="60"/>
    </x:row>
    <x:row r="140">
      <x:c r="B140" s="60"/>
      <x:c r="C140" s="60"/>
    </x:row>
    <x:row r="141">
      <x:c r="B141" s="60"/>
      <x:c r="C141" s="60"/>
    </x:row>
    <x:row r="142">
      <x:c r="B142" s="60"/>
      <x:c r="C142" s="60"/>
    </x:row>
    <x:row r="143">
      <x:c r="B143" s="60"/>
      <x:c r="C143" s="60"/>
    </x:row>
    <x:row r="144">
      <x:c r="B144" s="60"/>
      <x:c r="C144" s="60"/>
    </x:row>
    <x:row r="145">
      <x:c r="B145" s="60"/>
      <x:c r="C145" s="60"/>
    </x:row>
    <x:row r="146">
      <x:c r="B146" s="60"/>
      <x:c r="C146" s="60"/>
    </x:row>
    <x:row r="147">
      <x:c r="B147" s="60"/>
      <x:c r="C147" s="60"/>
    </x:row>
    <x:row r="148">
      <x:c r="B148" s="60"/>
      <x:c r="C148" s="60"/>
    </x:row>
    <x:row r="149">
      <x:c r="B149" s="60"/>
      <x:c r="C149" s="60"/>
    </x:row>
    <x:row r="150">
      <x:c r="B150" s="60"/>
      <x:c r="C150" s="60"/>
    </x:row>
    <x:row r="151">
      <x:c r="B151" s="60"/>
      <x:c r="C151" s="60"/>
    </x:row>
    <x:row r="152">
      <x:c r="B152" s="60"/>
      <x:c r="C152" s="60"/>
    </x:row>
    <x:row r="153">
      <x:c r="B153" s="60"/>
      <x:c r="C153" s="60"/>
    </x:row>
    <x:row r="154">
      <x:c r="B154" s="60"/>
      <x:c r="C154" s="60"/>
    </x:row>
    <x:row r="155">
      <x:c r="B155" s="60"/>
      <x:c r="C155" s="60"/>
    </x:row>
    <x:row r="156">
      <x:c r="B156" s="60"/>
      <x:c r="C156" s="60"/>
    </x:row>
    <x:row r="157">
      <x:c r="B157" s="60"/>
      <x:c r="C157" s="60"/>
    </x:row>
    <x:row r="158">
      <x:c r="B158" s="60"/>
      <x:c r="C158" s="60"/>
    </x:row>
    <x:row r="159">
      <x:c r="B159" s="60"/>
      <x:c r="C159" s="60"/>
    </x:row>
    <x:row r="160">
      <x:c r="B160" s="60"/>
      <x:c r="C160" s="60"/>
    </x:row>
    <x:row r="161">
      <x:c r="B161" s="60"/>
      <x:c r="C161" s="60"/>
    </x:row>
    <x:row r="162">
      <x:c r="B162" s="60"/>
      <x:c r="C162" s="60"/>
    </x:row>
    <x:row r="163">
      <x:c r="B163" s="60"/>
      <x:c r="C163" s="60"/>
    </x:row>
    <x:row r="164">
      <x:c r="B164" s="60"/>
      <x:c r="C164" s="60"/>
    </x:row>
    <x:row r="165">
      <x:c r="B165" s="60"/>
      <x:c r="C165" s="60"/>
    </x:row>
    <x:row r="166">
      <x:c r="B166" s="60"/>
      <x:c r="C166" s="60"/>
    </x:row>
    <x:row r="167">
      <x:c r="B167" s="60"/>
      <x:c r="C167" s="60"/>
    </x:row>
    <x:row r="168">
      <x:c r="B168" s="60"/>
      <x:c r="C168" s="60"/>
    </x:row>
    <x:row r="169">
      <x:c r="B169" s="60"/>
      <x:c r="C169" s="60"/>
    </x:row>
    <x:row r="170">
      <x:c r="B170" s="60"/>
      <x:c r="C170" s="60"/>
    </x:row>
    <x:row r="171">
      <x:c r="B171" s="60"/>
      <x:c r="C171" s="60"/>
    </x:row>
    <x:row r="172">
      <x:c r="B172" s="60"/>
      <x:c r="C172" s="60"/>
    </x:row>
    <x:row r="173">
      <x:c r="B173" s="60"/>
      <x:c r="C173" s="60"/>
    </x:row>
    <x:row r="174">
      <x:c r="B174" s="60"/>
      <x:c r="C174" s="60"/>
    </x:row>
    <x:row r="175">
      <x:c r="B175" s="60"/>
      <x:c r="C175" s="60"/>
    </x:row>
    <x:row r="176">
      <x:c r="B176" s="60"/>
      <x:c r="C176" s="60"/>
    </x:row>
    <x:row r="177">
      <x:c r="B177" s="60"/>
      <x:c r="C177" s="60"/>
    </x:row>
    <x:row r="178">
      <x:c r="B178" s="60"/>
      <x:c r="C178" s="60"/>
    </x:row>
    <x:row r="179">
      <x:c r="B179" s="60"/>
      <x:c r="C179" s="60"/>
    </x:row>
    <x:row r="180">
      <x:c r="B180" s="60"/>
      <x:c r="C180" s="60"/>
    </x:row>
    <x:row r="181">
      <x:c r="B181" s="60"/>
      <x:c r="C181" s="60"/>
    </x:row>
    <x:row r="182">
      <x:c r="B182" s="60"/>
      <x:c r="C182" s="60"/>
    </x:row>
    <x:row r="183">
      <x:c r="B183" s="60"/>
      <x:c r="C183" s="60"/>
    </x:row>
    <x:row r="184">
      <x:c r="B184" s="60"/>
      <x:c r="C184" s="60"/>
    </x:row>
    <x:row r="185">
      <x:c r="B185" s="60"/>
      <x:c r="C185" s="60"/>
    </x:row>
    <x:row r="186">
      <x:c r="B186" s="60"/>
      <x:c r="C186" s="60"/>
    </x:row>
    <x:row r="187">
      <x:c r="B187" s="60"/>
      <x:c r="C187" s="60"/>
    </x:row>
    <x:row r="188">
      <x:c r="B188" s="60"/>
      <x:c r="C188" s="60"/>
    </x:row>
    <x:row r="189">
      <x:c r="B189" s="60"/>
      <x:c r="C189" s="60"/>
    </x:row>
    <x:row r="190">
      <x:c r="B190" s="60"/>
      <x:c r="C190" s="60"/>
    </x:row>
    <x:row r="191">
      <x:c r="B191" s="60"/>
      <x:c r="C191" s="60"/>
    </x:row>
    <x:row r="192">
      <x:c r="B192" s="60"/>
      <x:c r="C192" s="60"/>
    </x:row>
    <x:row r="193">
      <x:c r="B193" s="60"/>
      <x:c r="C193" s="60"/>
    </x:row>
    <x:row r="194">
      <x:c r="B194" s="60"/>
      <x:c r="C194" s="60"/>
    </x:row>
    <x:row r="195">
      <x:c r="B195" s="60"/>
      <x:c r="C195" s="60"/>
    </x:row>
    <x:row r="196">
      <x:c r="B196" s="60"/>
      <x:c r="C196" s="60"/>
    </x:row>
    <x:row r="197">
      <x:c r="B197" s="60"/>
      <x:c r="C197" s="60"/>
    </x:row>
    <x:row r="198">
      <x:c r="B198" s="60"/>
      <x:c r="C198" s="60"/>
    </x:row>
    <x:row r="199">
      <x:c r="B199" s="60"/>
      <x:c r="C199" s="60"/>
    </x:row>
    <x:row r="200">
      <x:c r="B200" s="60"/>
      <x:c r="C200" s="60"/>
    </x:row>
    <x:row r="201">
      <x:c r="B201" s="60"/>
      <x:c r="C201" s="60"/>
    </x:row>
    <x:row r="202">
      <x:c r="B202" s="60"/>
      <x:c r="C202" s="60"/>
    </x:row>
    <x:row r="203">
      <x:c r="B203" s="60"/>
      <x:c r="C203" s="60"/>
    </x:row>
    <x:row r="204">
      <x:c r="B204" s="60"/>
      <x:c r="C204" s="60"/>
    </x:row>
    <x:row r="205">
      <x:c r="B205" s="60"/>
      <x:c r="C205" s="60"/>
    </x:row>
    <x:row r="206">
      <x:c r="B206" s="60"/>
      <x:c r="C206" s="60"/>
    </x:row>
    <x:row r="207">
      <x:c r="B207" s="60"/>
      <x:c r="C207" s="60"/>
    </x:row>
    <x:row r="208">
      <x:c r="B208" s="60"/>
      <x:c r="C208" s="60"/>
    </x:row>
    <x:row r="209">
      <x:c r="B209" s="60"/>
      <x:c r="C209" s="60"/>
    </x:row>
    <x:row r="210">
      <x:c r="B210" s="60"/>
      <x:c r="C210" s="60"/>
    </x:row>
    <x:row r="211">
      <x:c r="B211" s="60"/>
      <x:c r="C211" s="60"/>
    </x:row>
    <x:row r="212">
      <x:c r="B212" s="60"/>
      <x:c r="C212" s="60"/>
    </x:row>
    <x:row r="213">
      <x:c r="B213" s="60"/>
      <x:c r="C213" s="60"/>
    </x:row>
    <x:row r="214">
      <x:c r="B214" s="60"/>
      <x:c r="C214" s="60"/>
    </x:row>
    <x:row r="215">
      <x:c r="B215" s="60"/>
      <x:c r="C215" s="60"/>
    </x:row>
    <x:row r="216">
      <x:c r="B216" s="60"/>
      <x:c r="C216" s="60"/>
    </x:row>
    <x:row r="217">
      <x:c r="B217" s="60"/>
      <x:c r="C217" s="60"/>
    </x:row>
    <x:row r="218">
      <x:c r="B218" s="60"/>
      <x:c r="C218" s="60"/>
    </x:row>
    <x:row r="219">
      <x:c r="B219" s="60"/>
      <x:c r="C219" s="60"/>
    </x:row>
    <x:row r="220">
      <x:c r="B220" s="60"/>
      <x:c r="C220" s="60"/>
    </x:row>
    <x:row r="221">
      <x:c r="B221" s="60"/>
      <x:c r="C221" s="60"/>
    </x:row>
    <x:row r="222">
      <x:c r="B222" s="60"/>
      <x:c r="C222" s="60"/>
    </x:row>
    <x:row r="223">
      <x:c r="B223" s="60"/>
      <x:c r="C223" s="60"/>
    </x:row>
    <x:row r="224">
      <x:c r="B224" s="60"/>
      <x:c r="C224" s="60"/>
    </x:row>
    <x:row r="225">
      <x:c r="B225" s="60"/>
      <x:c r="C225" s="60"/>
    </x:row>
    <x:row r="226">
      <x:c r="B226" s="60"/>
      <x:c r="C226" s="60"/>
    </x:row>
    <x:row r="227">
      <x:c r="B227" s="60"/>
      <x:c r="C227" s="60"/>
    </x:row>
    <x:row r="228">
      <x:c r="B228" s="60"/>
      <x:c r="C228" s="60"/>
    </x:row>
    <x:row r="229">
      <x:c r="B229" s="60"/>
      <x:c r="C229" s="60"/>
    </x:row>
    <x:row r="230">
      <x:c r="B230" s="60"/>
      <x:c r="C230" s="60"/>
    </x:row>
    <x:row r="231">
      <x:c r="B231" s="60"/>
      <x:c r="C231" s="60"/>
    </x:row>
    <x:row r="232">
      <x:c r="B232" s="60"/>
      <x:c r="C232" s="60"/>
    </x:row>
    <x:row r="233">
      <x:c r="B233" s="60"/>
      <x:c r="C233" s="60"/>
    </x:row>
    <x:row r="234">
      <x:c r="B234" s="60"/>
      <x:c r="C234" s="60"/>
    </x:row>
    <x:row r="235">
      <x:c r="B235" s="60"/>
      <x:c r="C235" s="60"/>
    </x:row>
    <x:row r="236">
      <x:c r="B236" s="60"/>
      <x:c r="C236" s="60"/>
    </x:row>
    <x:row r="237">
      <x:c r="B237" s="60"/>
      <x:c r="C237" s="60"/>
    </x:row>
    <x:row r="238">
      <x:c r="B238" s="60"/>
      <x:c r="C238" s="60"/>
    </x:row>
    <x:row r="239">
      <x:c r="B239" s="60"/>
      <x:c r="C239" s="60"/>
    </x:row>
    <x:row r="240">
      <x:c r="B240" s="60"/>
      <x:c r="C240" s="60"/>
    </x:row>
    <x:row r="241">
      <x:c r="B241" s="60"/>
      <x:c r="C241" s="60"/>
    </x:row>
    <x:row r="242">
      <x:c r="B242" s="60"/>
      <x:c r="C242" s="60"/>
    </x:row>
    <x:row r="243">
      <x:c r="B243" s="60"/>
      <x:c r="C243" s="60"/>
    </x:row>
    <x:row r="244">
      <x:c r="B244" s="60"/>
      <x:c r="C244" s="60"/>
    </x:row>
    <x:row r="245">
      <x:c r="B245" s="60"/>
      <x:c r="C245" s="60"/>
    </x:row>
    <x:row r="246">
      <x:c r="B246" s="60"/>
      <x:c r="C246" s="60"/>
    </x:row>
    <x:row r="247">
      <x:c r="B247" s="60"/>
      <x:c r="C247" s="60"/>
    </x:row>
    <x:row r="248">
      <x:c r="B248" s="60"/>
      <x:c r="C248" s="60"/>
    </x:row>
    <x:row r="249">
      <x:c r="B249" s="60"/>
      <x:c r="C249" s="60"/>
    </x:row>
    <x:row r="250">
      <x:c r="B250" s="60"/>
      <x:c r="C250" s="60"/>
    </x:row>
    <x:row r="251">
      <x:c r="B251" s="60"/>
      <x:c r="C251" s="60"/>
    </x:row>
    <x:row r="252">
      <x:c r="B252" s="60"/>
      <x:c r="C252" s="60"/>
    </x:row>
    <x:row r="253">
      <x:c r="B253" s="60"/>
      <x:c r="C253" s="60"/>
    </x:row>
    <x:row r="254">
      <x:c r="B254" s="60"/>
      <x:c r="C254" s="60"/>
    </x:row>
    <x:row r="255">
      <x:c r="B255" s="60"/>
      <x:c r="C255" s="60"/>
    </x:row>
    <x:row r="256">
      <x:c r="B256" s="60"/>
      <x:c r="C256" s="60"/>
    </x:row>
    <x:row r="257">
      <x:c r="B257" s="60"/>
      <x:c r="C257" s="60"/>
    </x:row>
    <x:row r="258">
      <x:c r="B258" s="60"/>
      <x:c r="C258" s="60"/>
    </x:row>
    <x:row r="259">
      <x:c r="B259" s="60"/>
      <x:c r="C259" s="60"/>
    </x:row>
    <x:row r="260">
      <x:c r="B260" s="60"/>
      <x:c r="C260" s="60"/>
    </x:row>
    <x:row r="261">
      <x:c r="B261" s="60"/>
      <x:c r="C261" s="60"/>
    </x:row>
    <x:row r="262">
      <x:c r="B262" s="60"/>
      <x:c r="C262" s="60"/>
    </x:row>
    <x:row r="263">
      <x:c r="B263" s="60"/>
      <x:c r="C263" s="60"/>
    </x:row>
    <x:row r="264">
      <x:c r="B264" s="60"/>
      <x:c r="C264" s="60"/>
    </x:row>
    <x:row r="265">
      <x:c r="B265" s="60"/>
      <x:c r="C265" s="60"/>
    </x:row>
    <x:row r="266">
      <x:c r="B266" s="60"/>
      <x:c r="C266" s="60"/>
    </x:row>
    <x:row r="267">
      <x:c r="B267" s="60"/>
      <x:c r="C267" s="60"/>
    </x:row>
    <x:row r="268">
      <x:c r="B268" s="60"/>
      <x:c r="C268" s="60"/>
    </x:row>
    <x:row r="269">
      <x:c r="B269" s="60"/>
      <x:c r="C269" s="60"/>
    </x:row>
    <x:row r="270">
      <x:c r="B270" s="60"/>
      <x:c r="C270" s="60"/>
    </x:row>
    <x:row r="271">
      <x:c r="B271" s="60"/>
      <x:c r="C271" s="60"/>
    </x:row>
    <x:row r="272">
      <x:c r="B272" s="60"/>
      <x:c r="C272" s="60"/>
    </x:row>
    <x:row r="273">
      <x:c r="B273" s="60"/>
      <x:c r="C273" s="60"/>
    </x:row>
    <x:row r="274">
      <x:c r="B274" s="60"/>
      <x:c r="C274" s="60"/>
    </x:row>
    <x:row r="275">
      <x:c r="B275" s="60"/>
      <x:c r="C275" s="60"/>
    </x:row>
    <x:row r="276">
      <x:c r="B276" s="60"/>
      <x:c r="C276" s="60"/>
    </x:row>
    <x:row r="277">
      <x:c r="B277" s="60"/>
      <x:c r="C277" s="60"/>
    </x:row>
    <x:row r="278">
      <x:c r="B278" s="60"/>
      <x:c r="C278" s="60"/>
    </x:row>
    <x:row r="279">
      <x:c r="B279" s="60"/>
      <x:c r="C279" s="60"/>
    </x:row>
    <x:row r="280">
      <x:c r="B280" s="60"/>
      <x:c r="C280" s="60"/>
    </x:row>
    <x:row r="281">
      <x:c r="B281" s="60"/>
      <x:c r="C281" s="60"/>
    </x:row>
    <x:row r="282">
      <x:c r="B282" s="60"/>
      <x:c r="C282" s="60"/>
    </x:row>
    <x:row r="283">
      <x:c r="B283" s="60"/>
      <x:c r="C283" s="60"/>
    </x:row>
    <x:row r="284">
      <x:c r="B284" s="60"/>
      <x:c r="C284" s="60"/>
    </x:row>
    <x:row r="285">
      <x:c r="B285" s="60"/>
      <x:c r="C285" s="60"/>
    </x:row>
    <x:row r="286">
      <x:c r="B286" s="60"/>
      <x:c r="C286" s="60"/>
    </x:row>
    <x:row r="287">
      <x:c r="B287" s="60"/>
      <x:c r="C287" s="60"/>
    </x:row>
    <x:row r="288">
      <x:c r="B288" s="60"/>
      <x:c r="C288" s="60"/>
    </x:row>
    <x:row r="289">
      <x:c r="B289" s="60"/>
      <x:c r="C289" s="60"/>
    </x:row>
    <x:row r="290">
      <x:c r="B290" s="60"/>
      <x:c r="C290" s="60"/>
    </x:row>
    <x:row r="291">
      <x:c r="B291" s="60"/>
      <x:c r="C291" s="60"/>
    </x:row>
    <x:row r="292">
      <x:c r="B292" s="60"/>
      <x:c r="C292" s="60"/>
    </x:row>
    <x:row r="293">
      <x:c r="B293" s="60"/>
      <x:c r="C293" s="60"/>
    </x:row>
    <x:row r="294">
      <x:c r="B294" s="60"/>
      <x:c r="C294" s="60"/>
    </x:row>
    <x:row r="295">
      <x:c r="B295" s="60"/>
      <x:c r="C295" s="60"/>
    </x:row>
    <x:row r="296">
      <x:c r="B296" s="60"/>
      <x:c r="C296" s="60"/>
    </x:row>
    <x:row r="297">
      <x:c r="B297" s="60"/>
      <x:c r="C297" s="60"/>
    </x:row>
    <x:row r="298">
      <x:c r="B298" s="60"/>
      <x:c r="C298" s="60"/>
    </x:row>
    <x:row r="299">
      <x:c r="B299" s="60"/>
      <x:c r="C299" s="60"/>
    </x:row>
    <x:row r="300">
      <x:c r="B300" s="60"/>
      <x:c r="C300" s="60"/>
    </x:row>
    <x:row r="301">
      <x:c r="B301" s="60"/>
      <x:c r="C301" s="60"/>
    </x:row>
    <x:row r="302">
      <x:c r="B302" s="60"/>
      <x:c r="C302" s="60"/>
    </x:row>
    <x:row r="303">
      <x:c r="B303" s="60"/>
      <x:c r="C303" s="60"/>
    </x:row>
    <x:row r="304">
      <x:c r="B304" s="60"/>
      <x:c r="C304" s="60"/>
    </x:row>
    <x:row r="305">
      <x:c r="B305" s="60"/>
      <x:c r="C305" s="60"/>
    </x:row>
    <x:row r="306">
      <x:c r="B306" s="60"/>
      <x:c r="C306" s="60"/>
    </x:row>
    <x:row r="307">
      <x:c r="B307" s="60"/>
      <x:c r="C307" s="60"/>
    </x:row>
    <x:row r="308">
      <x:c r="B308" s="60"/>
      <x:c r="C308" s="60"/>
    </x:row>
    <x:row r="309">
      <x:c r="B309" s="60"/>
      <x:c r="C309" s="60"/>
    </x:row>
    <x:row r="310">
      <x:c r="B310" s="60"/>
      <x:c r="C310" s="60"/>
    </x:row>
    <x:row r="311">
      <x:c r="B311" s="60"/>
      <x:c r="C311" s="60"/>
    </x:row>
    <x:row r="312">
      <x:c r="B312" s="60"/>
      <x:c r="C312" s="60"/>
    </x:row>
    <x:row r="313">
      <x:c r="B313" s="60"/>
      <x:c r="C313" s="60"/>
    </x:row>
    <x:row r="314">
      <x:c r="B314" s="60"/>
      <x:c r="C314" s="60"/>
    </x:row>
    <x:row r="315">
      <x:c r="B315" s="60"/>
      <x:c r="C315" s="60"/>
    </x:row>
    <x:row r="316">
      <x:c r="B316" s="60"/>
      <x:c r="C316" s="60"/>
    </x:row>
    <x:row r="317">
      <x:c r="B317" s="60"/>
      <x:c r="C317" s="60"/>
    </x:row>
    <x:row r="318">
      <x:c r="B318" s="60"/>
      <x:c r="C318" s="60"/>
    </x:row>
    <x:row r="319">
      <x:c r="B319" s="60"/>
      <x:c r="C319" s="60"/>
    </x:row>
    <x:row r="320">
      <x:c r="B320" s="60"/>
      <x:c r="C320" s="60"/>
    </x:row>
    <x:row r="321">
      <x:c r="B321" s="60"/>
      <x:c r="C321" s="60"/>
    </x:row>
    <x:row r="322">
      <x:c r="B322" s="60"/>
      <x:c r="C322" s="60"/>
    </x:row>
    <x:row r="323">
      <x:c r="B323" s="60"/>
      <x:c r="C323" s="60"/>
    </x:row>
    <x:row r="324">
      <x:c r="B324" s="60"/>
      <x:c r="C324" s="60"/>
    </x:row>
    <x:row r="325">
      <x:c r="B325" s="60"/>
      <x:c r="C325" s="60"/>
    </x:row>
    <x:row r="326">
      <x:c r="B326" s="60"/>
      <x:c r="C326" s="60"/>
    </x:row>
    <x:row r="327">
      <x:c r="B327" s="60"/>
      <x:c r="C327" s="60"/>
    </x:row>
    <x:row r="328">
      <x:c r="B328" s="60"/>
      <x:c r="C328" s="60"/>
    </x:row>
    <x:row r="329">
      <x:c r="B329" s="60"/>
      <x:c r="C329" s="60"/>
    </x:row>
    <x:row r="330">
      <x:c r="B330" s="60"/>
      <x:c r="C330" s="60"/>
    </x:row>
    <x:row r="331">
      <x:c r="B331" s="60"/>
      <x:c r="C331" s="60"/>
    </x:row>
    <x:row r="332">
      <x:c r="B332" s="60"/>
      <x:c r="C332" s="60"/>
    </x:row>
    <x:row r="333">
      <x:c r="B333" s="60"/>
      <x:c r="C333" s="60"/>
    </x:row>
    <x:row r="334">
      <x:c r="B334" s="60"/>
      <x:c r="C334" s="60"/>
    </x:row>
    <x:row r="335">
      <x:c r="B335" s="60"/>
      <x:c r="C335" s="60"/>
    </x:row>
    <x:row r="336">
      <x:c r="B336" s="60"/>
      <x:c r="C336" s="60"/>
    </x:row>
    <x:row r="337">
      <x:c r="B337" s="60"/>
      <x:c r="C337" s="60"/>
    </x:row>
    <x:row r="338">
      <x:c r="B338" s="60"/>
      <x:c r="C338" s="60"/>
    </x:row>
    <x:row r="339">
      <x:c r="B339" s="60"/>
      <x:c r="C339" s="60"/>
    </x:row>
    <x:row r="340">
      <x:c r="B340" s="60"/>
      <x:c r="C340" s="60"/>
    </x:row>
    <x:row r="341">
      <x:c r="B341" s="60"/>
      <x:c r="C341" s="60"/>
    </x:row>
    <x:row r="342">
      <x:c r="B342" s="60"/>
      <x:c r="C342" s="60"/>
    </x:row>
    <x:row r="343">
      <x:c r="B343" s="60"/>
      <x:c r="C343" s="60"/>
    </x:row>
    <x:row r="344">
      <x:c r="B344" s="60"/>
      <x:c r="C344" s="60"/>
    </x:row>
    <x:row r="345">
      <x:c r="B345" s="60"/>
      <x:c r="C345" s="60"/>
    </x:row>
    <x:row r="346">
      <x:c r="B346" s="60"/>
      <x:c r="C346" s="60"/>
    </x:row>
    <x:row r="347">
      <x:c r="B347" s="60"/>
      <x:c r="C347" s="60"/>
    </x:row>
    <x:row r="348">
      <x:c r="B348" s="60"/>
      <x:c r="C348" s="60"/>
    </x:row>
    <x:row r="349">
      <x:c r="B349" s="60"/>
      <x:c r="C349" s="60"/>
    </x:row>
    <x:row r="350">
      <x:c r="B350" s="60"/>
      <x:c r="C350" s="60"/>
    </x:row>
    <x:row r="351">
      <x:c r="B351" s="60"/>
      <x:c r="C351" s="60"/>
    </x:row>
    <x:row r="352">
      <x:c r="B352" s="60"/>
      <x:c r="C352" s="60"/>
    </x:row>
    <x:row r="353">
      <x:c r="B353" s="60"/>
      <x:c r="C353" s="60"/>
    </x:row>
    <x:row r="354">
      <x:c r="B354" s="60"/>
      <x:c r="C354" s="60"/>
    </x:row>
    <x:row r="355">
      <x:c r="B355" s="60"/>
      <x:c r="C355" s="60"/>
    </x:row>
    <x:row r="356">
      <x:c r="B356" s="60"/>
      <x:c r="C356" s="60"/>
    </x:row>
    <x:row r="357">
      <x:c r="B357" s="60"/>
      <x:c r="C357" s="60"/>
    </x:row>
    <x:row r="358">
      <x:c r="B358" s="60"/>
      <x:c r="C358" s="60"/>
    </x:row>
    <x:row r="359">
      <x:c r="B359" s="60"/>
      <x:c r="C359" s="60"/>
    </x:row>
    <x:row r="360">
      <x:c r="B360" s="60"/>
      <x:c r="C360" s="60"/>
    </x:row>
    <x:row r="361">
      <x:c r="B361" s="60"/>
      <x:c r="C361" s="60"/>
    </x:row>
    <x:row r="362">
      <x:c r="B362" s="60"/>
      <x:c r="C362" s="60"/>
    </x:row>
    <x:row r="363">
      <x:c r="B363" s="60"/>
      <x:c r="C363" s="60"/>
    </x:row>
    <x:row r="364">
      <x:c r="B364" s="60"/>
      <x:c r="C364" s="60"/>
    </x:row>
    <x:row r="365">
      <x:c r="B365" s="60"/>
      <x:c r="C365" s="60"/>
    </x:row>
    <x:row r="366">
      <x:c r="B366" s="60"/>
      <x:c r="C366" s="60"/>
    </x:row>
    <x:row r="367">
      <x:c r="B367" s="60"/>
      <x:c r="C367" s="60"/>
    </x:row>
    <x:row r="368">
      <x:c r="B368" s="60"/>
      <x:c r="C368" s="60"/>
    </x:row>
    <x:row r="369">
      <x:c r="B369" s="60"/>
      <x:c r="C369" s="60"/>
    </x:row>
    <x:row r="370">
      <x:c r="B370" s="60"/>
      <x:c r="C370" s="60"/>
    </x:row>
    <x:row r="371">
      <x:c r="B371" s="60"/>
      <x:c r="C371" s="60"/>
    </x:row>
    <x:row r="372">
      <x:c r="B372" s="60"/>
      <x:c r="C372" s="60"/>
    </x:row>
    <x:row r="373">
      <x:c r="B373" s="60"/>
      <x:c r="C373" s="60"/>
    </x:row>
    <x:row r="374">
      <x:c r="B374" s="60"/>
      <x:c r="C374" s="60"/>
    </x:row>
    <x:row r="375">
      <x:c r="B375" s="60"/>
      <x:c r="C375" s="60"/>
    </x:row>
    <x:row r="376">
      <x:c r="B376" s="60"/>
      <x:c r="C376" s="60"/>
    </x:row>
    <x:row r="377">
      <x:c r="B377" s="60"/>
      <x:c r="C377" s="60"/>
    </x:row>
    <x:row r="378">
      <x:c r="B378" s="60"/>
      <x:c r="C378" s="60"/>
    </x:row>
    <x:row r="379">
      <x:c r="B379" s="60"/>
      <x:c r="C379" s="60"/>
    </x:row>
    <x:row r="380">
      <x:c r="B380" s="60"/>
      <x:c r="C380" s="60"/>
    </x:row>
    <x:row r="381">
      <x:c r="B381" s="60"/>
      <x:c r="C381" s="60"/>
    </x:row>
    <x:row r="382">
      <x:c r="B382" s="60"/>
      <x:c r="C382" s="60"/>
    </x:row>
    <x:row r="383">
      <x:c r="B383" s="60"/>
      <x:c r="C383" s="60"/>
    </x:row>
    <x:row r="384">
      <x:c r="B384" s="60"/>
      <x:c r="C384" s="60"/>
    </x:row>
    <x:row r="385">
      <x:c r="B385" s="60"/>
      <x:c r="C385" s="60"/>
    </x:row>
    <x:row r="386">
      <x:c r="B386" s="60"/>
      <x:c r="C386" s="60"/>
    </x:row>
    <x:row r="387">
      <x:c r="B387" s="60"/>
      <x:c r="C387" s="60"/>
    </x:row>
    <x:row r="388">
      <x:c r="B388" s="60"/>
      <x:c r="C388" s="60"/>
    </x:row>
    <x:row r="389">
      <x:c r="B389" s="60"/>
      <x:c r="C389" s="60"/>
    </x:row>
    <x:row r="390">
      <x:c r="B390" s="60"/>
      <x:c r="C390" s="60"/>
    </x:row>
    <x:row r="391">
      <x:c r="B391" s="60"/>
      <x:c r="C391" s="60"/>
    </x:row>
    <x:row r="392">
      <x:c r="B392" s="60"/>
      <x:c r="C392" s="60"/>
    </x:row>
    <x:row r="393">
      <x:c r="B393" s="60"/>
      <x:c r="C393" s="60"/>
    </x:row>
    <x:row r="394">
      <x:c r="B394" s="60"/>
      <x:c r="C394" s="60"/>
    </x:row>
    <x:row r="395">
      <x:c r="B395" s="60"/>
      <x:c r="C395" s="60"/>
    </x:row>
    <x:row r="396">
      <x:c r="B396" s="60"/>
      <x:c r="C396" s="60"/>
    </x:row>
    <x:row r="397">
      <x:c r="B397" s="60"/>
      <x:c r="C397" s="60"/>
    </x:row>
    <x:row r="398">
      <x:c r="B398" s="60"/>
      <x:c r="C398" s="60"/>
    </x:row>
    <x:row r="399">
      <x:c r="B399" s="60"/>
      <x:c r="C399" s="60"/>
    </x:row>
    <x:row r="400">
      <x:c r="B400" s="60"/>
      <x:c r="C400" s="60"/>
    </x:row>
    <x:row r="401">
      <x:c r="B401" s="60"/>
      <x:c r="C401" s="60"/>
    </x:row>
    <x:row r="402">
      <x:c r="B402" s="60"/>
      <x:c r="C402" s="60"/>
    </x:row>
    <x:row r="403">
      <x:c r="B403" s="60"/>
      <x:c r="C403" s="60"/>
    </x:row>
    <x:row r="404">
      <x:c r="B404" s="60"/>
      <x:c r="C404" s="60"/>
    </x:row>
    <x:row r="405">
      <x:c r="B405" s="60"/>
      <x:c r="C405" s="60"/>
    </x:row>
    <x:row r="406">
      <x:c r="B406" s="60"/>
      <x:c r="C406" s="60"/>
    </x:row>
    <x:row r="407">
      <x:c r="B407" s="60"/>
      <x:c r="C407" s="60"/>
    </x:row>
    <x:row r="408">
      <x:c r="B408" s="60"/>
      <x:c r="C408" s="60"/>
    </x:row>
    <x:row r="409">
      <x:c r="B409" s="60"/>
      <x:c r="C409" s="60"/>
    </x:row>
    <x:row r="410">
      <x:c r="B410" s="60"/>
      <x:c r="C410" s="60"/>
    </x:row>
    <x:row r="411">
      <x:c r="B411" s="60"/>
      <x:c r="C411" s="60"/>
    </x:row>
    <x:row r="412">
      <x:c r="B412" s="60"/>
      <x:c r="C412" s="60"/>
    </x:row>
    <x:row r="413">
      <x:c r="B413" s="60"/>
      <x:c r="C413" s="60"/>
    </x:row>
    <x:row r="414">
      <x:c r="B414" s="60"/>
      <x:c r="C414" s="60"/>
    </x:row>
    <x:row r="415">
      <x:c r="B415" s="60"/>
      <x:c r="C415" s="60"/>
    </x:row>
    <x:row r="416">
      <x:c r="B416" s="60"/>
      <x:c r="C416" s="60"/>
    </x:row>
    <x:row r="417">
      <x:c r="B417" s="60"/>
      <x:c r="C417" s="60"/>
    </x:row>
    <x:row r="418">
      <x:c r="B418" s="60"/>
      <x:c r="C418" s="60"/>
    </x:row>
    <x:row r="419">
      <x:c r="B419" s="60"/>
      <x:c r="C419" s="60"/>
    </x:row>
    <x:row r="420">
      <x:c r="B420" s="60"/>
      <x:c r="C420" s="60"/>
    </x:row>
    <x:row r="421">
      <x:c r="B421" s="60"/>
      <x:c r="C421" s="60"/>
    </x:row>
    <x:row r="422">
      <x:c r="B422" s="60"/>
      <x:c r="C422" s="60"/>
    </x:row>
    <x:row r="423">
      <x:c r="B423" s="60"/>
      <x:c r="C423" s="60"/>
    </x:row>
    <x:row r="424">
      <x:c r="B424" s="60"/>
      <x:c r="C424" s="60"/>
    </x:row>
    <x:row r="425">
      <x:c r="B425" s="60"/>
      <x:c r="C425" s="60"/>
    </x:row>
    <x:row r="426">
      <x:c r="B426" s="60"/>
      <x:c r="C426" s="60"/>
    </x:row>
    <x:row r="427">
      <x:c r="B427" s="60"/>
      <x:c r="C427" s="60"/>
    </x:row>
    <x:row r="428">
      <x:c r="B428" s="60"/>
      <x:c r="C428" s="60"/>
    </x:row>
    <x:row r="429">
      <x:c r="B429" s="60"/>
      <x:c r="C429" s="60"/>
    </x:row>
    <x:row r="430">
      <x:c r="B430" s="60"/>
      <x:c r="C430" s="60"/>
    </x:row>
    <x:row r="431">
      <x:c r="B431" s="60"/>
      <x:c r="C431" s="60"/>
    </x:row>
    <x:row r="432">
      <x:c r="B432" s="60"/>
      <x:c r="C432" s="60"/>
    </x:row>
    <x:row r="433">
      <x:c r="B433" s="60"/>
      <x:c r="C433" s="60"/>
    </x:row>
    <x:row r="434">
      <x:c r="B434" s="60"/>
      <x:c r="C434" s="60"/>
    </x:row>
    <x:row r="435">
      <x:c r="B435" s="60"/>
      <x:c r="C435" s="60"/>
    </x:row>
    <x:row r="436">
      <x:c r="B436" s="60"/>
      <x:c r="C436" s="60"/>
    </x:row>
    <x:row r="437">
      <x:c r="B437" s="60"/>
      <x:c r="C437" s="60"/>
    </x:row>
    <x:row r="438">
      <x:c r="B438" s="60"/>
      <x:c r="C438" s="60"/>
    </x:row>
    <x:row r="439">
      <x:c r="B439" s="60"/>
      <x:c r="C439" s="60"/>
    </x:row>
    <x:row r="440">
      <x:c r="B440" s="60"/>
      <x:c r="C440" s="60"/>
    </x:row>
    <x:row r="441">
      <x:c r="B441" s="60"/>
      <x:c r="C441" s="60"/>
    </x:row>
    <x:row r="442">
      <x:c r="B442" s="60"/>
      <x:c r="C442" s="60"/>
    </x:row>
    <x:row r="443">
      <x:c r="B443" s="60"/>
      <x:c r="C443" s="60"/>
    </x:row>
    <x:row r="444">
      <x:c r="B444" s="60"/>
      <x:c r="C444" s="60"/>
    </x:row>
    <x:row r="445">
      <x:c r="B445" s="60"/>
      <x:c r="C445" s="60"/>
    </x:row>
    <x:row r="446">
      <x:c r="B446" s="60"/>
      <x:c r="C446" s="60"/>
    </x:row>
    <x:row r="447">
      <x:c r="B447" s="60"/>
      <x:c r="C447" s="60"/>
    </x:row>
    <x:row r="448">
      <x:c r="B448" s="60"/>
      <x:c r="C448" s="60"/>
    </x:row>
    <x:row r="449">
      <x:c r="B449" s="60"/>
      <x:c r="C449" s="60"/>
    </x:row>
    <x:row r="450">
      <x:c r="B450" s="60"/>
      <x:c r="C450" s="60"/>
    </x:row>
    <x:row r="451">
      <x:c r="B451" s="60"/>
      <x:c r="C451" s="60"/>
    </x:row>
    <x:row r="452">
      <x:c r="B452" s="60"/>
      <x:c r="C452" s="60"/>
    </x:row>
    <x:row r="453">
      <x:c r="B453" s="60"/>
      <x:c r="C453" s="60"/>
    </x:row>
    <x:row r="454">
      <x:c r="B454" s="60"/>
      <x:c r="C454" s="60"/>
    </x:row>
    <x:row r="455">
      <x:c r="B455" s="60"/>
      <x:c r="C455" s="60"/>
    </x:row>
    <x:row r="456">
      <x:c r="B456" s="60"/>
      <x:c r="C456" s="60"/>
    </x:row>
    <x:row r="457">
      <x:c r="B457" s="60"/>
      <x:c r="C457" s="60"/>
    </x:row>
    <x:row r="458">
      <x:c r="B458" s="60"/>
      <x:c r="C458" s="60"/>
    </x:row>
    <x:row r="459">
      <x:c r="B459" s="60"/>
      <x:c r="C459" s="60"/>
    </x:row>
    <x:row r="460">
      <x:c r="B460" s="60"/>
      <x:c r="C460" s="60"/>
    </x:row>
    <x:row r="461">
      <x:c r="B461" s="60"/>
      <x:c r="C461" s="60"/>
    </x:row>
    <x:row r="462">
      <x:c r="B462" s="60"/>
      <x:c r="C462" s="60"/>
    </x:row>
    <x:row r="463">
      <x:c r="B463" s="60"/>
      <x:c r="C463" s="60"/>
    </x:row>
    <x:row r="464">
      <x:c r="B464" s="60"/>
      <x:c r="C464" s="60"/>
    </x:row>
    <x:row r="465">
      <x:c r="B465" s="60"/>
      <x:c r="C465" s="60"/>
    </x:row>
    <x:row r="466">
      <x:c r="B466" s="60"/>
      <x:c r="C466" s="60"/>
    </x:row>
    <x:row r="467">
      <x:c r="B467" s="60"/>
      <x:c r="C467" s="60"/>
    </x:row>
    <x:row r="468">
      <x:c r="B468" s="60"/>
      <x:c r="C468" s="60"/>
    </x:row>
    <x:row r="469">
      <x:c r="B469" s="60"/>
      <x:c r="C469" s="60"/>
    </x:row>
    <x:row r="470">
      <x:c r="B470" s="60"/>
      <x:c r="C470" s="60"/>
    </x:row>
    <x:row r="471">
      <x:c r="B471" s="60"/>
      <x:c r="C471" s="60"/>
    </x:row>
    <x:row r="472">
      <x:c r="B472" s="60"/>
      <x:c r="C472" s="60"/>
    </x:row>
    <x:row r="473">
      <x:c r="B473" s="60"/>
      <x:c r="C473" s="60"/>
    </x:row>
    <x:row r="474">
      <x:c r="B474" s="60"/>
      <x:c r="C474" s="60"/>
    </x:row>
    <x:row r="475">
      <x:c r="B475" s="60"/>
      <x:c r="C475" s="60"/>
    </x:row>
    <x:row r="476">
      <x:c r="B476" s="60"/>
      <x:c r="C476" s="60"/>
    </x:row>
    <x:row r="477">
      <x:c r="B477" s="60"/>
      <x:c r="C477" s="60"/>
    </x:row>
    <x:row r="478">
      <x:c r="B478" s="60"/>
      <x:c r="C478" s="60"/>
    </x:row>
    <x:row r="479">
      <x:c r="B479" s="60"/>
      <x:c r="C479" s="60"/>
    </x:row>
    <x:row r="480">
      <x:c r="B480" s="60"/>
      <x:c r="C480" s="60"/>
    </x:row>
    <x:row r="481">
      <x:c r="B481" s="60"/>
      <x:c r="C481" s="60"/>
    </x:row>
    <x:row r="482">
      <x:c r="B482" s="60"/>
      <x:c r="C482" s="60"/>
    </x:row>
    <x:row r="483">
      <x:c r="B483" s="60"/>
      <x:c r="C483" s="60"/>
    </x:row>
    <x:row r="484">
      <x:c r="B484" s="60"/>
      <x:c r="C484" s="60"/>
    </x:row>
    <x:row r="485">
      <x:c r="B485" s="60"/>
      <x:c r="C485" s="60"/>
    </x:row>
    <x:row r="486">
      <x:c r="B486" s="60"/>
      <x:c r="C486" s="60"/>
    </x:row>
    <x:row r="487">
      <x:c r="B487" s="60"/>
      <x:c r="C487" s="60"/>
    </x:row>
    <x:row r="488">
      <x:c r="B488" s="60"/>
      <x:c r="C488" s="60"/>
    </x:row>
    <x:row r="489">
      <x:c r="B489" s="60"/>
      <x:c r="C489" s="60"/>
    </x:row>
    <x:row r="490">
      <x:c r="B490" s="60"/>
      <x:c r="C490" s="60"/>
    </x:row>
    <x:row r="491">
      <x:c r="B491" s="60"/>
      <x:c r="C491" s="60"/>
    </x:row>
    <x:row r="492">
      <x:c r="B492" s="60"/>
      <x:c r="C492" s="60"/>
    </x:row>
    <x:row r="493">
      <x:c r="B493" s="60"/>
      <x:c r="C493" s="60"/>
    </x:row>
    <x:row r="494">
      <x:c r="B494" s="60"/>
      <x:c r="C494" s="60"/>
    </x:row>
    <x:row r="495">
      <x:c r="B495" s="60"/>
      <x:c r="C495" s="60"/>
    </x:row>
    <x:row r="496">
      <x:c r="B496" s="60"/>
      <x:c r="C496" s="60"/>
    </x:row>
    <x:row r="497">
      <x:c r="B497" s="60"/>
      <x:c r="C497" s="60"/>
    </x:row>
    <x:row r="498">
      <x:c r="B498" s="60"/>
      <x:c r="C498" s="60"/>
    </x:row>
    <x:row r="499">
      <x:c r="B499" s="60"/>
      <x:c r="C499" s="60"/>
    </x:row>
    <x:row r="500">
      <x:c r="B500" s="60"/>
      <x:c r="C500" s="60"/>
    </x:row>
    <x:row r="501">
      <x:c r="B501" s="60"/>
      <x:c r="C501" s="60"/>
    </x:row>
    <x:row r="502">
      <x:c r="B502" s="60"/>
      <x:c r="C502" s="60"/>
    </x:row>
    <x:row r="503">
      <x:c r="B503" s="60"/>
      <x:c r="C503" s="60"/>
    </x:row>
    <x:row r="504">
      <x:c r="B504" s="60"/>
      <x:c r="C504" s="60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af6f051e7d6f4d4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2" hidden="0" customWidth="1"/>
    <x:col min="7" max="7" width="34" hidden="0" customWidth="1"/>
    <x:col min="8" max="8" width="16" hidden="0" customWidth="1"/>
    <x:col min="9" max="9" width="18" hidden="0" customWidth="1"/>
    <x:col min="10" max="10" width="10" hidden="0" customWidth="1"/>
    <x:col min="11" max="11" width="15" hidden="0" customWidth="1"/>
    <x:col min="12" max="12" width="36" hidden="0" customWidth="1"/>
    <x:col min="13" max="13" width="18" hidden="0" customWidth="1"/>
    <x:col min="14" max="14" width="34" hidden="0" customWidth="1"/>
  </x:cols>
  <x:sheetData>
    <x:row r="1">
      <x:c r="A1" s="115" t="str">
        <x:v>Tender Document Download &amp; Extraction Queue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3">
      <x:c r="A3" s="117" t="str">
        <x:v>Add tender/RfS/corrigendum PDF URLs here. The V4 Python engine downloads documents, extracts text, and produces review-ready field suggestions.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</x:row>
    <x:row r="5">
      <x:c r="A5" s="122" t="str">
        <x:v>Queue ID</x:v>
      </x:c>
      <x:c r="B5" s="122" t="str">
        <x:v>Tender ID</x:v>
      </x:c>
      <x:c r="C5" s="122" t="str">
        <x:v>Agency</x:v>
      </x:c>
      <x:c r="D5" s="122" t="str">
        <x:v>Tender Number</x:v>
      </x:c>
      <x:c r="E5" s="122" t="str">
        <x:v>Document Type</x:v>
      </x:c>
      <x:c r="F5" s="122" t="str">
        <x:v>Document URL</x:v>
      </x:c>
      <x:c r="G5" s="122" t="str">
        <x:v>Local File</x:v>
      </x:c>
      <x:c r="H5" s="122" t="str">
        <x:v>Download Status</x:v>
      </x:c>
      <x:c r="I5" s="122" t="str">
        <x:v>Extraction Status</x:v>
      </x:c>
      <x:c r="J5" s="122" t="str">
        <x:v>Pages</x:v>
      </x:c>
      <x:c r="K5" s="122" t="str">
        <x:v>Text Characters</x:v>
      </x:c>
      <x:c r="L5" s="122" t="str">
        <x:v>Document Hash</x:v>
      </x:c>
      <x:c r="M5" s="122" t="str">
        <x:v>Last Attempt</x:v>
      </x:c>
      <x:c r="N5" s="122" t="str">
        <x:v>Error / Notes</x:v>
      </x:c>
    </x:row>
    <x:row r="6">
      <x:c r="M6" s="60"/>
    </x:row>
    <x:row r="7">
      <x:c r="M7" s="60"/>
    </x:row>
    <x:row r="8">
      <x:c r="M8" s="60"/>
    </x:row>
    <x:row r="9">
      <x:c r="M9" s="60"/>
    </x:row>
    <x:row r="10">
      <x:c r="M10" s="60"/>
    </x:row>
    <x:row r="11">
      <x:c r="M11" s="60"/>
    </x:row>
    <x:row r="12">
      <x:c r="M12" s="60"/>
    </x:row>
    <x:row r="13">
      <x:c r="M13" s="60"/>
    </x:row>
    <x:row r="14">
      <x:c r="M14" s="60"/>
    </x:row>
    <x:row r="15">
      <x:c r="M15" s="60"/>
    </x:row>
    <x:row r="16">
      <x:c r="M16" s="60"/>
    </x:row>
    <x:row r="17">
      <x:c r="M17" s="60"/>
    </x:row>
    <x:row r="18">
      <x:c r="M18" s="60"/>
    </x:row>
    <x:row r="19">
      <x:c r="M19" s="60"/>
    </x:row>
    <x:row r="20">
      <x:c r="M20" s="60"/>
    </x:row>
    <x:row r="21">
      <x:c r="M21" s="60"/>
    </x:row>
    <x:row r="22">
      <x:c r="M22" s="60"/>
    </x:row>
    <x:row r="23">
      <x:c r="M23" s="60"/>
    </x:row>
    <x:row r="24">
      <x:c r="M24" s="60"/>
    </x:row>
    <x:row r="25">
      <x:c r="M25" s="60"/>
    </x:row>
    <x:row r="26">
      <x:c r="M26" s="60"/>
    </x:row>
    <x:row r="27">
      <x:c r="M27" s="60"/>
    </x:row>
    <x:row r="28">
      <x:c r="M28" s="60"/>
    </x:row>
    <x:row r="29">
      <x:c r="M29" s="60"/>
    </x:row>
    <x:row r="30">
      <x:c r="M30" s="60"/>
    </x:row>
    <x:row r="31">
      <x:c r="M31" s="60"/>
    </x:row>
    <x:row r="32">
      <x:c r="M32" s="60"/>
    </x:row>
    <x:row r="33">
      <x:c r="M33" s="60"/>
    </x:row>
    <x:row r="34">
      <x:c r="M34" s="60"/>
    </x:row>
    <x:row r="35">
      <x:c r="M35" s="60"/>
    </x:row>
    <x:row r="36">
      <x:c r="M36" s="60"/>
    </x:row>
    <x:row r="37">
      <x:c r="M37" s="60"/>
    </x:row>
    <x:row r="38">
      <x:c r="M38" s="60"/>
    </x:row>
    <x:row r="39">
      <x:c r="M39" s="60"/>
    </x:row>
    <x:row r="40">
      <x:c r="M40" s="60"/>
    </x:row>
    <x:row r="41">
      <x:c r="M41" s="60"/>
    </x:row>
    <x:row r="42">
      <x:c r="M42" s="60"/>
    </x:row>
    <x:row r="43">
      <x:c r="M43" s="60"/>
    </x:row>
    <x:row r="44">
      <x:c r="M44" s="60"/>
    </x:row>
    <x:row r="45">
      <x:c r="M45" s="60"/>
    </x:row>
    <x:row r="46">
      <x:c r="M46" s="60"/>
    </x:row>
    <x:row r="47">
      <x:c r="M47" s="60"/>
    </x:row>
    <x:row r="48">
      <x:c r="M48" s="60"/>
    </x:row>
    <x:row r="49">
      <x:c r="M49" s="60"/>
    </x:row>
    <x:row r="50">
      <x:c r="M50" s="60"/>
    </x:row>
    <x:row r="51">
      <x:c r="M51" s="60"/>
    </x:row>
    <x:row r="52">
      <x:c r="M52" s="60"/>
    </x:row>
    <x:row r="53">
      <x:c r="M53" s="60"/>
    </x:row>
    <x:row r="54">
      <x:c r="M54" s="60"/>
    </x:row>
    <x:row r="55">
      <x:c r="M55" s="60"/>
    </x:row>
    <x:row r="56">
      <x:c r="M56" s="60"/>
    </x:row>
    <x:row r="57">
      <x:c r="M57" s="60"/>
    </x:row>
    <x:row r="58">
      <x:c r="M58" s="60"/>
    </x:row>
    <x:row r="59">
      <x:c r="M59" s="60"/>
    </x:row>
    <x:row r="60">
      <x:c r="M60" s="60"/>
    </x:row>
    <x:row r="61">
      <x:c r="M61" s="60"/>
    </x:row>
    <x:row r="62">
      <x:c r="M62" s="60"/>
    </x:row>
    <x:row r="63">
      <x:c r="M63" s="60"/>
    </x:row>
    <x:row r="64">
      <x:c r="M64" s="60"/>
    </x:row>
    <x:row r="65">
      <x:c r="M65" s="60"/>
    </x:row>
    <x:row r="66">
      <x:c r="M66" s="60"/>
    </x:row>
    <x:row r="67">
      <x:c r="M67" s="60"/>
    </x:row>
    <x:row r="68">
      <x:c r="M68" s="60"/>
    </x:row>
    <x:row r="69">
      <x:c r="M69" s="60"/>
    </x:row>
    <x:row r="70">
      <x:c r="M70" s="60"/>
    </x:row>
    <x:row r="71">
      <x:c r="M71" s="60"/>
    </x:row>
    <x:row r="72">
      <x:c r="M72" s="60"/>
    </x:row>
    <x:row r="73">
      <x:c r="M73" s="60"/>
    </x:row>
    <x:row r="74">
      <x:c r="M74" s="60"/>
    </x:row>
    <x:row r="75">
      <x:c r="M75" s="60"/>
    </x:row>
    <x:row r="76">
      <x:c r="M76" s="60"/>
    </x:row>
    <x:row r="77">
      <x:c r="M77" s="60"/>
    </x:row>
    <x:row r="78">
      <x:c r="M78" s="60"/>
    </x:row>
    <x:row r="79">
      <x:c r="M79" s="60"/>
    </x:row>
    <x:row r="80">
      <x:c r="M80" s="60"/>
    </x:row>
    <x:row r="81">
      <x:c r="M81" s="60"/>
    </x:row>
    <x:row r="82">
      <x:c r="M82" s="60"/>
    </x:row>
    <x:row r="83">
      <x:c r="M83" s="60"/>
    </x:row>
    <x:row r="84">
      <x:c r="M84" s="60"/>
    </x:row>
    <x:row r="85">
      <x:c r="M85" s="60"/>
    </x:row>
    <x:row r="86">
      <x:c r="M86" s="60"/>
    </x:row>
    <x:row r="87">
      <x:c r="M87" s="60"/>
    </x:row>
    <x:row r="88">
      <x:c r="M88" s="60"/>
    </x:row>
    <x:row r="89">
      <x:c r="M89" s="60"/>
    </x:row>
    <x:row r="90">
      <x:c r="M90" s="60"/>
    </x:row>
    <x:row r="91">
      <x:c r="M91" s="60"/>
    </x:row>
    <x:row r="92">
      <x:c r="M92" s="60"/>
    </x:row>
    <x:row r="93">
      <x:c r="M93" s="60"/>
    </x:row>
    <x:row r="94">
      <x:c r="M94" s="60"/>
    </x:row>
    <x:row r="95">
      <x:c r="M95" s="60"/>
    </x:row>
    <x:row r="96">
      <x:c r="M96" s="60"/>
    </x:row>
    <x:row r="97">
      <x:c r="M97" s="60"/>
    </x:row>
    <x:row r="98">
      <x:c r="M98" s="60"/>
    </x:row>
    <x:row r="99">
      <x:c r="M99" s="60"/>
    </x:row>
    <x:row r="100">
      <x:c r="M100" s="60"/>
    </x:row>
    <x:row r="101">
      <x:c r="M101" s="60"/>
    </x:row>
    <x:row r="102">
      <x:c r="M102" s="60"/>
    </x:row>
    <x:row r="103">
      <x:c r="M103" s="60"/>
    </x:row>
    <x:row r="104">
      <x:c r="M104" s="60"/>
    </x:row>
    <x:row r="105">
      <x:c r="M105" s="60"/>
    </x:row>
    <x:row r="106">
      <x:c r="M106" s="60"/>
    </x:row>
    <x:row r="107">
      <x:c r="M107" s="60"/>
    </x:row>
    <x:row r="108">
      <x:c r="M108" s="60"/>
    </x:row>
    <x:row r="109">
      <x:c r="M109" s="60"/>
    </x:row>
    <x:row r="110">
      <x:c r="M110" s="60"/>
    </x:row>
    <x:row r="111">
      <x:c r="M111" s="60"/>
    </x:row>
    <x:row r="112">
      <x:c r="M112" s="60"/>
    </x:row>
    <x:row r="113">
      <x:c r="M113" s="60"/>
    </x:row>
    <x:row r="114">
      <x:c r="M114" s="60"/>
    </x:row>
    <x:row r="115">
      <x:c r="M115" s="60"/>
    </x:row>
    <x:row r="116">
      <x:c r="M116" s="60"/>
    </x:row>
    <x:row r="117">
      <x:c r="M117" s="60"/>
    </x:row>
    <x:row r="118">
      <x:c r="M118" s="60"/>
    </x:row>
    <x:row r="119">
      <x:c r="M119" s="60"/>
    </x:row>
    <x:row r="120">
      <x:c r="M120" s="60"/>
    </x:row>
    <x:row r="121">
      <x:c r="M121" s="60"/>
    </x:row>
    <x:row r="122">
      <x:c r="M122" s="60"/>
    </x:row>
    <x:row r="123">
      <x:c r="M123" s="60"/>
    </x:row>
    <x:row r="124">
      <x:c r="M124" s="60"/>
    </x:row>
    <x:row r="125">
      <x:c r="M125" s="60"/>
    </x:row>
    <x:row r="126">
      <x:c r="M126" s="60"/>
    </x:row>
    <x:row r="127">
      <x:c r="M127" s="60"/>
    </x:row>
    <x:row r="128">
      <x:c r="M128" s="60"/>
    </x:row>
    <x:row r="129">
      <x:c r="M129" s="60"/>
    </x:row>
    <x:row r="130">
      <x:c r="M130" s="60"/>
    </x:row>
    <x:row r="131">
      <x:c r="M131" s="60"/>
    </x:row>
    <x:row r="132">
      <x:c r="M132" s="60"/>
    </x:row>
    <x:row r="133">
      <x:c r="M133" s="60"/>
    </x:row>
    <x:row r="134">
      <x:c r="M134" s="60"/>
    </x:row>
    <x:row r="135">
      <x:c r="M135" s="60"/>
    </x:row>
    <x:row r="136">
      <x:c r="M136" s="60"/>
    </x:row>
    <x:row r="137">
      <x:c r="M137" s="60"/>
    </x:row>
    <x:row r="138">
      <x:c r="M138" s="60"/>
    </x:row>
    <x:row r="139">
      <x:c r="M139" s="60"/>
    </x:row>
    <x:row r="140">
      <x:c r="M140" s="60"/>
    </x:row>
    <x:row r="141">
      <x:c r="M141" s="60"/>
    </x:row>
    <x:row r="142">
      <x:c r="M142" s="60"/>
    </x:row>
    <x:row r="143">
      <x:c r="M143" s="60"/>
    </x:row>
    <x:row r="144">
      <x:c r="M144" s="60"/>
    </x:row>
    <x:row r="145">
      <x:c r="M145" s="60"/>
    </x:row>
    <x:row r="146">
      <x:c r="M146" s="60"/>
    </x:row>
    <x:row r="147">
      <x:c r="M147" s="60"/>
    </x:row>
    <x:row r="148">
      <x:c r="M148" s="60"/>
    </x:row>
    <x:row r="149">
      <x:c r="M149" s="60"/>
    </x:row>
    <x:row r="150">
      <x:c r="M150" s="60"/>
    </x:row>
    <x:row r="151">
      <x:c r="M151" s="60"/>
    </x:row>
    <x:row r="152">
      <x:c r="M152" s="60"/>
    </x:row>
    <x:row r="153">
      <x:c r="M153" s="60"/>
    </x:row>
    <x:row r="154">
      <x:c r="M154" s="60"/>
    </x:row>
    <x:row r="155">
      <x:c r="M155" s="60"/>
    </x:row>
    <x:row r="156">
      <x:c r="M156" s="60"/>
    </x:row>
    <x:row r="157">
      <x:c r="M157" s="60"/>
    </x:row>
    <x:row r="158">
      <x:c r="M158" s="60"/>
    </x:row>
    <x:row r="159">
      <x:c r="M159" s="60"/>
    </x:row>
    <x:row r="160">
      <x:c r="M160" s="60"/>
    </x:row>
    <x:row r="161">
      <x:c r="M161" s="60"/>
    </x:row>
    <x:row r="162">
      <x:c r="M162" s="60"/>
    </x:row>
    <x:row r="163">
      <x:c r="M163" s="60"/>
    </x:row>
    <x:row r="164">
      <x:c r="M164" s="60"/>
    </x:row>
    <x:row r="165">
      <x:c r="M165" s="60"/>
    </x:row>
    <x:row r="166">
      <x:c r="M166" s="60"/>
    </x:row>
    <x:row r="167">
      <x:c r="M167" s="60"/>
    </x:row>
    <x:row r="168">
      <x:c r="M168" s="60"/>
    </x:row>
    <x:row r="169">
      <x:c r="M169" s="60"/>
    </x:row>
    <x:row r="170">
      <x:c r="M170" s="60"/>
    </x:row>
    <x:row r="171">
      <x:c r="M171" s="60"/>
    </x:row>
    <x:row r="172">
      <x:c r="M172" s="60"/>
    </x:row>
    <x:row r="173">
      <x:c r="M173" s="60"/>
    </x:row>
    <x:row r="174">
      <x:c r="M174" s="60"/>
    </x:row>
    <x:row r="175">
      <x:c r="M175" s="60"/>
    </x:row>
    <x:row r="176">
      <x:c r="M176" s="60"/>
    </x:row>
    <x:row r="177">
      <x:c r="M177" s="60"/>
    </x:row>
    <x:row r="178">
      <x:c r="M178" s="60"/>
    </x:row>
    <x:row r="179">
      <x:c r="M179" s="60"/>
    </x:row>
    <x:row r="180">
      <x:c r="M180" s="60"/>
    </x:row>
    <x:row r="181">
      <x:c r="M181" s="60"/>
    </x:row>
    <x:row r="182">
      <x:c r="M182" s="60"/>
    </x:row>
    <x:row r="183">
      <x:c r="M183" s="60"/>
    </x:row>
    <x:row r="184">
      <x:c r="M184" s="60"/>
    </x:row>
    <x:row r="185">
      <x:c r="M185" s="60"/>
    </x:row>
    <x:row r="186">
      <x:c r="M186" s="60"/>
    </x:row>
    <x:row r="187">
      <x:c r="M187" s="60"/>
    </x:row>
    <x:row r="188">
      <x:c r="M188" s="60"/>
    </x:row>
    <x:row r="189">
      <x:c r="M189" s="60"/>
    </x:row>
    <x:row r="190">
      <x:c r="M190" s="60"/>
    </x:row>
    <x:row r="191">
      <x:c r="M191" s="60"/>
    </x:row>
    <x:row r="192">
      <x:c r="M192" s="60"/>
    </x:row>
    <x:row r="193">
      <x:c r="M193" s="60"/>
    </x:row>
    <x:row r="194">
      <x:c r="M194" s="60"/>
    </x:row>
    <x:row r="195">
      <x:c r="M195" s="60"/>
    </x:row>
    <x:row r="196">
      <x:c r="M196" s="60"/>
    </x:row>
    <x:row r="197">
      <x:c r="M197" s="60"/>
    </x:row>
    <x:row r="198">
      <x:c r="M198" s="60"/>
    </x:row>
    <x:row r="199">
      <x:c r="M199" s="60"/>
    </x:row>
    <x:row r="200">
      <x:c r="M200" s="60"/>
    </x:row>
    <x:row r="201">
      <x:c r="M201" s="60"/>
    </x:row>
    <x:row r="202">
      <x:c r="M202" s="60"/>
    </x:row>
    <x:row r="203">
      <x:c r="M203" s="60"/>
    </x:row>
    <x:row r="204">
      <x:c r="M204" s="60"/>
    </x:row>
    <x:row r="205">
      <x:c r="M205" s="60"/>
    </x:row>
    <x:row r="206">
      <x:c r="M206" s="60"/>
    </x:row>
    <x:row r="207">
      <x:c r="M207" s="60"/>
    </x:row>
    <x:row r="208">
      <x:c r="M208" s="60"/>
    </x:row>
    <x:row r="209">
      <x:c r="M209" s="60"/>
    </x:row>
    <x:row r="210">
      <x:c r="M210" s="60"/>
    </x:row>
    <x:row r="211">
      <x:c r="M211" s="60"/>
    </x:row>
    <x:row r="212">
      <x:c r="M212" s="60"/>
    </x:row>
    <x:row r="213">
      <x:c r="M213" s="60"/>
    </x:row>
    <x:row r="214">
      <x:c r="M214" s="60"/>
    </x:row>
    <x:row r="215">
      <x:c r="M215" s="60"/>
    </x:row>
    <x:row r="216">
      <x:c r="M216" s="60"/>
    </x:row>
    <x:row r="217">
      <x:c r="M217" s="60"/>
    </x:row>
    <x:row r="218">
      <x:c r="M218" s="60"/>
    </x:row>
    <x:row r="219">
      <x:c r="M219" s="60"/>
    </x:row>
    <x:row r="220">
      <x:c r="M220" s="60"/>
    </x:row>
    <x:row r="221">
      <x:c r="M221" s="60"/>
    </x:row>
    <x:row r="222">
      <x:c r="M222" s="60"/>
    </x:row>
    <x:row r="223">
      <x:c r="M223" s="60"/>
    </x:row>
    <x:row r="224">
      <x:c r="M224" s="60"/>
    </x:row>
    <x:row r="225">
      <x:c r="M225" s="60"/>
    </x:row>
    <x:row r="226">
      <x:c r="M226" s="60"/>
    </x:row>
    <x:row r="227">
      <x:c r="M227" s="60"/>
    </x:row>
    <x:row r="228">
      <x:c r="M228" s="60"/>
    </x:row>
    <x:row r="229">
      <x:c r="M229" s="60"/>
    </x:row>
    <x:row r="230">
      <x:c r="M230" s="60"/>
    </x:row>
    <x:row r="231">
      <x:c r="M231" s="60"/>
    </x:row>
    <x:row r="232">
      <x:c r="M232" s="60"/>
    </x:row>
    <x:row r="233">
      <x:c r="M233" s="60"/>
    </x:row>
    <x:row r="234">
      <x:c r="M234" s="60"/>
    </x:row>
    <x:row r="235">
      <x:c r="M235" s="60"/>
    </x:row>
    <x:row r="236">
      <x:c r="M236" s="60"/>
    </x:row>
    <x:row r="237">
      <x:c r="M237" s="60"/>
    </x:row>
    <x:row r="238">
      <x:c r="M238" s="60"/>
    </x:row>
    <x:row r="239">
      <x:c r="M239" s="60"/>
    </x:row>
    <x:row r="240">
      <x:c r="M240" s="60"/>
    </x:row>
    <x:row r="241">
      <x:c r="M241" s="60"/>
    </x:row>
    <x:row r="242">
      <x:c r="M242" s="60"/>
    </x:row>
    <x:row r="243">
      <x:c r="M243" s="60"/>
    </x:row>
    <x:row r="244">
      <x:c r="M244" s="60"/>
    </x:row>
    <x:row r="245">
      <x:c r="M245" s="60"/>
    </x:row>
    <x:row r="246">
      <x:c r="M246" s="60"/>
    </x:row>
    <x:row r="247">
      <x:c r="M247" s="60"/>
    </x:row>
    <x:row r="248">
      <x:c r="M248" s="60"/>
    </x:row>
    <x:row r="249">
      <x:c r="M249" s="60"/>
    </x:row>
    <x:row r="250">
      <x:c r="M250" s="60"/>
    </x:row>
    <x:row r="251">
      <x:c r="M251" s="60"/>
    </x:row>
    <x:row r="252">
      <x:c r="M252" s="60"/>
    </x:row>
    <x:row r="253">
      <x:c r="M253" s="60"/>
    </x:row>
    <x:row r="254">
      <x:c r="M254" s="60"/>
    </x:row>
    <x:row r="255">
      <x:c r="M255" s="60"/>
    </x:row>
    <x:row r="256">
      <x:c r="M256" s="60"/>
    </x:row>
    <x:row r="257">
      <x:c r="M257" s="60"/>
    </x:row>
    <x:row r="258">
      <x:c r="M258" s="60"/>
    </x:row>
    <x:row r="259">
      <x:c r="M259" s="60"/>
    </x:row>
    <x:row r="260">
      <x:c r="M260" s="60"/>
    </x:row>
    <x:row r="261">
      <x:c r="M261" s="60"/>
    </x:row>
    <x:row r="262">
      <x:c r="M262" s="60"/>
    </x:row>
    <x:row r="263">
      <x:c r="M263" s="60"/>
    </x:row>
    <x:row r="264">
      <x:c r="M264" s="60"/>
    </x:row>
    <x:row r="265">
      <x:c r="M265" s="60"/>
    </x:row>
    <x:row r="266">
      <x:c r="M266" s="60"/>
    </x:row>
    <x:row r="267">
      <x:c r="M267" s="60"/>
    </x:row>
    <x:row r="268">
      <x:c r="M268" s="60"/>
    </x:row>
    <x:row r="269">
      <x:c r="M269" s="60"/>
    </x:row>
    <x:row r="270">
      <x:c r="M270" s="60"/>
    </x:row>
    <x:row r="271">
      <x:c r="M271" s="60"/>
    </x:row>
    <x:row r="272">
      <x:c r="M272" s="60"/>
    </x:row>
    <x:row r="273">
      <x:c r="M273" s="60"/>
    </x:row>
    <x:row r="274">
      <x:c r="M274" s="60"/>
    </x:row>
    <x:row r="275">
      <x:c r="M275" s="60"/>
    </x:row>
    <x:row r="276">
      <x:c r="M276" s="60"/>
    </x:row>
    <x:row r="277">
      <x:c r="M277" s="60"/>
    </x:row>
    <x:row r="278">
      <x:c r="M278" s="60"/>
    </x:row>
    <x:row r="279">
      <x:c r="M279" s="60"/>
    </x:row>
    <x:row r="280">
      <x:c r="M280" s="60"/>
    </x:row>
    <x:row r="281">
      <x:c r="M281" s="60"/>
    </x:row>
    <x:row r="282">
      <x:c r="M282" s="60"/>
    </x:row>
    <x:row r="283">
      <x:c r="M283" s="60"/>
    </x:row>
    <x:row r="284">
      <x:c r="M284" s="60"/>
    </x:row>
    <x:row r="285">
      <x:c r="M285" s="60"/>
    </x:row>
    <x:row r="286">
      <x:c r="M286" s="60"/>
    </x:row>
    <x:row r="287">
      <x:c r="M287" s="60"/>
    </x:row>
    <x:row r="288">
      <x:c r="M288" s="60"/>
    </x:row>
    <x:row r="289">
      <x:c r="M289" s="60"/>
    </x:row>
    <x:row r="290">
      <x:c r="M290" s="60"/>
    </x:row>
    <x:row r="291">
      <x:c r="M291" s="60"/>
    </x:row>
    <x:row r="292">
      <x:c r="M292" s="60"/>
    </x:row>
    <x:row r="293">
      <x:c r="M293" s="60"/>
    </x:row>
    <x:row r="294">
      <x:c r="M294" s="60"/>
    </x:row>
    <x:row r="295">
      <x:c r="M295" s="60"/>
    </x:row>
    <x:row r="296">
      <x:c r="M296" s="60"/>
    </x:row>
    <x:row r="297">
      <x:c r="M297" s="60"/>
    </x:row>
    <x:row r="298">
      <x:c r="M298" s="60"/>
    </x:row>
    <x:row r="299">
      <x:c r="M299" s="60"/>
    </x:row>
    <x:row r="300">
      <x:c r="M300" s="60"/>
    </x:row>
    <x:row r="301">
      <x:c r="M301" s="60"/>
    </x:row>
    <x:row r="302">
      <x:c r="M302" s="60"/>
    </x:row>
    <x:row r="303">
      <x:c r="M303" s="60"/>
    </x:row>
    <x:row r="304">
      <x:c r="M304" s="60"/>
    </x:row>
    <x:row r="305">
      <x:c r="M305" s="60"/>
    </x:row>
    <x:row r="306">
      <x:c r="M306" s="60"/>
    </x:row>
    <x:row r="307">
      <x:c r="M307" s="60"/>
    </x:row>
    <x:row r="308">
      <x:c r="M308" s="60"/>
    </x:row>
    <x:row r="309">
      <x:c r="M309" s="60"/>
    </x:row>
    <x:row r="310">
      <x:c r="M310" s="60"/>
    </x:row>
    <x:row r="311">
      <x:c r="M311" s="60"/>
    </x:row>
    <x:row r="312">
      <x:c r="M312" s="60"/>
    </x:row>
    <x:row r="313">
      <x:c r="M313" s="60"/>
    </x:row>
    <x:row r="314">
      <x:c r="M314" s="60"/>
    </x:row>
    <x:row r="315">
      <x:c r="M315" s="60"/>
    </x:row>
    <x:row r="316">
      <x:c r="M316" s="60"/>
    </x:row>
    <x:row r="317">
      <x:c r="M317" s="60"/>
    </x:row>
    <x:row r="318">
      <x:c r="M318" s="60"/>
    </x:row>
    <x:row r="319">
      <x:c r="M319" s="60"/>
    </x:row>
    <x:row r="320">
      <x:c r="M320" s="60"/>
    </x:row>
    <x:row r="321">
      <x:c r="M321" s="60"/>
    </x:row>
    <x:row r="322">
      <x:c r="M322" s="60"/>
    </x:row>
    <x:row r="323">
      <x:c r="M323" s="60"/>
    </x:row>
    <x:row r="324">
      <x:c r="M324" s="60"/>
    </x:row>
    <x:row r="325">
      <x:c r="M325" s="60"/>
    </x:row>
    <x:row r="326">
      <x:c r="M326" s="60"/>
    </x:row>
    <x:row r="327">
      <x:c r="M327" s="60"/>
    </x:row>
    <x:row r="328">
      <x:c r="M328" s="60"/>
    </x:row>
    <x:row r="329">
      <x:c r="M329" s="60"/>
    </x:row>
    <x:row r="330">
      <x:c r="M330" s="60"/>
    </x:row>
    <x:row r="331">
      <x:c r="M331" s="60"/>
    </x:row>
    <x:row r="332">
      <x:c r="M332" s="60"/>
    </x:row>
    <x:row r="333">
      <x:c r="M333" s="60"/>
    </x:row>
    <x:row r="334">
      <x:c r="M334" s="60"/>
    </x:row>
    <x:row r="335">
      <x:c r="M335" s="60"/>
    </x:row>
    <x:row r="336">
      <x:c r="M336" s="60"/>
    </x:row>
    <x:row r="337">
      <x:c r="M337" s="60"/>
    </x:row>
    <x:row r="338">
      <x:c r="M338" s="60"/>
    </x:row>
    <x:row r="339">
      <x:c r="M339" s="60"/>
    </x:row>
    <x:row r="340">
      <x:c r="M340" s="60"/>
    </x:row>
    <x:row r="341">
      <x:c r="M341" s="60"/>
    </x:row>
    <x:row r="342">
      <x:c r="M342" s="60"/>
    </x:row>
    <x:row r="343">
      <x:c r="M343" s="60"/>
    </x:row>
    <x:row r="344">
      <x:c r="M344" s="60"/>
    </x:row>
    <x:row r="345">
      <x:c r="M345" s="60"/>
    </x:row>
    <x:row r="346">
      <x:c r="M346" s="60"/>
    </x:row>
    <x:row r="347">
      <x:c r="M347" s="60"/>
    </x:row>
    <x:row r="348">
      <x:c r="M348" s="60"/>
    </x:row>
    <x:row r="349">
      <x:c r="M349" s="60"/>
    </x:row>
    <x:row r="350">
      <x:c r="M350" s="60"/>
    </x:row>
    <x:row r="351">
      <x:c r="M351" s="60"/>
    </x:row>
    <x:row r="352">
      <x:c r="M352" s="60"/>
    </x:row>
    <x:row r="353">
      <x:c r="M353" s="60"/>
    </x:row>
    <x:row r="354">
      <x:c r="M354" s="60"/>
    </x:row>
    <x:row r="355">
      <x:c r="M355" s="60"/>
    </x:row>
    <x:row r="356">
      <x:c r="M356" s="60"/>
    </x:row>
    <x:row r="357">
      <x:c r="M357" s="60"/>
    </x:row>
    <x:row r="358">
      <x:c r="M358" s="60"/>
    </x:row>
    <x:row r="359">
      <x:c r="M359" s="60"/>
    </x:row>
    <x:row r="360">
      <x:c r="M360" s="60"/>
    </x:row>
    <x:row r="361">
      <x:c r="M361" s="60"/>
    </x:row>
    <x:row r="362">
      <x:c r="M362" s="60"/>
    </x:row>
    <x:row r="363">
      <x:c r="M363" s="60"/>
    </x:row>
    <x:row r="364">
      <x:c r="M364" s="60"/>
    </x:row>
    <x:row r="365">
      <x:c r="M365" s="60"/>
    </x:row>
    <x:row r="366">
      <x:c r="M366" s="60"/>
    </x:row>
    <x:row r="367">
      <x:c r="M367" s="60"/>
    </x:row>
    <x:row r="368">
      <x:c r="M368" s="60"/>
    </x:row>
    <x:row r="369">
      <x:c r="M369" s="60"/>
    </x:row>
    <x:row r="370">
      <x:c r="M370" s="60"/>
    </x:row>
    <x:row r="371">
      <x:c r="M371" s="60"/>
    </x:row>
    <x:row r="372">
      <x:c r="M372" s="60"/>
    </x:row>
    <x:row r="373">
      <x:c r="M373" s="60"/>
    </x:row>
    <x:row r="374">
      <x:c r="M374" s="60"/>
    </x:row>
    <x:row r="375">
      <x:c r="M375" s="60"/>
    </x:row>
    <x:row r="376">
      <x:c r="M376" s="60"/>
    </x:row>
    <x:row r="377">
      <x:c r="M377" s="60"/>
    </x:row>
    <x:row r="378">
      <x:c r="M378" s="60"/>
    </x:row>
    <x:row r="379">
      <x:c r="M379" s="60"/>
    </x:row>
    <x:row r="380">
      <x:c r="M380" s="60"/>
    </x:row>
    <x:row r="381">
      <x:c r="M381" s="60"/>
    </x:row>
    <x:row r="382">
      <x:c r="M382" s="60"/>
    </x:row>
    <x:row r="383">
      <x:c r="M383" s="60"/>
    </x:row>
    <x:row r="384">
      <x:c r="M384" s="60"/>
    </x:row>
    <x:row r="385">
      <x:c r="M385" s="60"/>
    </x:row>
    <x:row r="386">
      <x:c r="M386" s="60"/>
    </x:row>
    <x:row r="387">
      <x:c r="M387" s="60"/>
    </x:row>
    <x:row r="388">
      <x:c r="M388" s="60"/>
    </x:row>
    <x:row r="389">
      <x:c r="M389" s="60"/>
    </x:row>
    <x:row r="390">
      <x:c r="M390" s="60"/>
    </x:row>
    <x:row r="391">
      <x:c r="M391" s="60"/>
    </x:row>
    <x:row r="392">
      <x:c r="M392" s="60"/>
    </x:row>
    <x:row r="393">
      <x:c r="M393" s="60"/>
    </x:row>
    <x:row r="394">
      <x:c r="M394" s="60"/>
    </x:row>
    <x:row r="395">
      <x:c r="M395" s="60"/>
    </x:row>
    <x:row r="396">
      <x:c r="M396" s="60"/>
    </x:row>
    <x:row r="397">
      <x:c r="M397" s="60"/>
    </x:row>
    <x:row r="398">
      <x:c r="M398" s="60"/>
    </x:row>
    <x:row r="399">
      <x:c r="M399" s="60"/>
    </x:row>
    <x:row r="400">
      <x:c r="M400" s="60"/>
    </x:row>
    <x:row r="401">
      <x:c r="M401" s="60"/>
    </x:row>
    <x:row r="402">
      <x:c r="M402" s="60"/>
    </x:row>
    <x:row r="403">
      <x:c r="M403" s="60"/>
    </x:row>
    <x:row r="404">
      <x:c r="M404" s="60"/>
    </x:row>
    <x:row r="405">
      <x:c r="M405" s="60"/>
    </x:row>
    <x:row r="406">
      <x:c r="M406" s="60"/>
    </x:row>
    <x:row r="407">
      <x:c r="M407" s="60"/>
    </x:row>
    <x:row r="408">
      <x:c r="M408" s="60"/>
    </x:row>
    <x:row r="409">
      <x:c r="M409" s="60"/>
    </x:row>
    <x:row r="410">
      <x:c r="M410" s="60"/>
    </x:row>
    <x:row r="411">
      <x:c r="M411" s="60"/>
    </x:row>
    <x:row r="412">
      <x:c r="M412" s="60"/>
    </x:row>
    <x:row r="413">
      <x:c r="M413" s="60"/>
    </x:row>
    <x:row r="414">
      <x:c r="M414" s="60"/>
    </x:row>
    <x:row r="415">
      <x:c r="M415" s="60"/>
    </x:row>
    <x:row r="416">
      <x:c r="M416" s="60"/>
    </x:row>
    <x:row r="417">
      <x:c r="M417" s="60"/>
    </x:row>
    <x:row r="418">
      <x:c r="M418" s="60"/>
    </x:row>
    <x:row r="419">
      <x:c r="M419" s="60"/>
    </x:row>
    <x:row r="420">
      <x:c r="M420" s="60"/>
    </x:row>
    <x:row r="421">
      <x:c r="M421" s="60"/>
    </x:row>
    <x:row r="422">
      <x:c r="M422" s="60"/>
    </x:row>
    <x:row r="423">
      <x:c r="M423" s="60"/>
    </x:row>
    <x:row r="424">
      <x:c r="M424" s="60"/>
    </x:row>
    <x:row r="425">
      <x:c r="M425" s="60"/>
    </x:row>
    <x:row r="426">
      <x:c r="M426" s="60"/>
    </x:row>
    <x:row r="427">
      <x:c r="M427" s="60"/>
    </x:row>
    <x:row r="428">
      <x:c r="M428" s="60"/>
    </x:row>
    <x:row r="429">
      <x:c r="M429" s="60"/>
    </x:row>
    <x:row r="430">
      <x:c r="M430" s="60"/>
    </x:row>
    <x:row r="431">
      <x:c r="M431" s="60"/>
    </x:row>
    <x:row r="432">
      <x:c r="M432" s="60"/>
    </x:row>
    <x:row r="433">
      <x:c r="M433" s="60"/>
    </x:row>
    <x:row r="434">
      <x:c r="M434" s="60"/>
    </x:row>
    <x:row r="435">
      <x:c r="M435" s="60"/>
    </x:row>
    <x:row r="436">
      <x:c r="M436" s="60"/>
    </x:row>
    <x:row r="437">
      <x:c r="M437" s="60"/>
    </x:row>
    <x:row r="438">
      <x:c r="M438" s="60"/>
    </x:row>
    <x:row r="439">
      <x:c r="M439" s="60"/>
    </x:row>
    <x:row r="440">
      <x:c r="M440" s="60"/>
    </x:row>
    <x:row r="441">
      <x:c r="M441" s="60"/>
    </x:row>
    <x:row r="442">
      <x:c r="M442" s="60"/>
    </x:row>
    <x:row r="443">
      <x:c r="M443" s="60"/>
    </x:row>
    <x:row r="444">
      <x:c r="M444" s="60"/>
    </x:row>
    <x:row r="445">
      <x:c r="M445" s="60"/>
    </x:row>
    <x:row r="446">
      <x:c r="M446" s="60"/>
    </x:row>
    <x:row r="447">
      <x:c r="M447" s="60"/>
    </x:row>
    <x:row r="448">
      <x:c r="M448" s="60"/>
    </x:row>
    <x:row r="449">
      <x:c r="M449" s="60"/>
    </x:row>
    <x:row r="450">
      <x:c r="M450" s="60"/>
    </x:row>
    <x:row r="451">
      <x:c r="M451" s="60"/>
    </x:row>
    <x:row r="452">
      <x:c r="M452" s="60"/>
    </x:row>
    <x:row r="453">
      <x:c r="M453" s="60"/>
    </x:row>
    <x:row r="454">
      <x:c r="M454" s="60"/>
    </x:row>
    <x:row r="455">
      <x:c r="M455" s="60"/>
    </x:row>
    <x:row r="456">
      <x:c r="M456" s="60"/>
    </x:row>
    <x:row r="457">
      <x:c r="M457" s="60"/>
    </x:row>
    <x:row r="458">
      <x:c r="M458" s="60"/>
    </x:row>
    <x:row r="459">
      <x:c r="M459" s="60"/>
    </x:row>
    <x:row r="460">
      <x:c r="M460" s="60"/>
    </x:row>
    <x:row r="461">
      <x:c r="M461" s="60"/>
    </x:row>
    <x:row r="462">
      <x:c r="M462" s="60"/>
    </x:row>
    <x:row r="463">
      <x:c r="M463" s="60"/>
    </x:row>
    <x:row r="464">
      <x:c r="M464" s="60"/>
    </x:row>
    <x:row r="465">
      <x:c r="M465" s="60"/>
    </x:row>
    <x:row r="466">
      <x:c r="M466" s="60"/>
    </x:row>
    <x:row r="467">
      <x:c r="M467" s="60"/>
    </x:row>
    <x:row r="468">
      <x:c r="M468" s="60"/>
    </x:row>
    <x:row r="469">
      <x:c r="M469" s="60"/>
    </x:row>
    <x:row r="470">
      <x:c r="M470" s="60"/>
    </x:row>
    <x:row r="471">
      <x:c r="M471" s="60"/>
    </x:row>
    <x:row r="472">
      <x:c r="M472" s="60"/>
    </x:row>
    <x:row r="473">
      <x:c r="M473" s="60"/>
    </x:row>
    <x:row r="474">
      <x:c r="M474" s="60"/>
    </x:row>
    <x:row r="475">
      <x:c r="M475" s="60"/>
    </x:row>
    <x:row r="476">
      <x:c r="M476" s="60"/>
    </x:row>
    <x:row r="477">
      <x:c r="M477" s="60"/>
    </x:row>
    <x:row r="478">
      <x:c r="M478" s="60"/>
    </x:row>
    <x:row r="479">
      <x:c r="M479" s="60"/>
    </x:row>
    <x:row r="480">
      <x:c r="M480" s="60"/>
    </x:row>
    <x:row r="481">
      <x:c r="M481" s="60"/>
    </x:row>
    <x:row r="482">
      <x:c r="M482" s="60"/>
    </x:row>
    <x:row r="483">
      <x:c r="M483" s="60"/>
    </x:row>
    <x:row r="484">
      <x:c r="M484" s="60"/>
    </x:row>
    <x:row r="485">
      <x:c r="M485" s="60"/>
    </x:row>
    <x:row r="486">
      <x:c r="M486" s="60"/>
    </x:row>
    <x:row r="487">
      <x:c r="M487" s="60"/>
    </x:row>
    <x:row r="488">
      <x:c r="M488" s="60"/>
    </x:row>
    <x:row r="489">
      <x:c r="M489" s="60"/>
    </x:row>
    <x:row r="490">
      <x:c r="M490" s="60"/>
    </x:row>
    <x:row r="491">
      <x:c r="M491" s="60"/>
    </x:row>
    <x:row r="492">
      <x:c r="M492" s="60"/>
    </x:row>
    <x:row r="493">
      <x:c r="M493" s="60"/>
    </x:row>
    <x:row r="494">
      <x:c r="M494" s="60"/>
    </x:row>
    <x:row r="495">
      <x:c r="M495" s="60"/>
    </x:row>
    <x:row r="496">
      <x:c r="M496" s="60"/>
    </x:row>
    <x:row r="497">
      <x:c r="M497" s="60"/>
    </x:row>
    <x:row r="498">
      <x:c r="M498" s="60"/>
    </x:row>
    <x:row r="499">
      <x:c r="M499" s="60"/>
    </x:row>
    <x:row r="500">
      <x:c r="M500" s="60"/>
    </x:row>
    <x:row r="501">
      <x:c r="M501" s="60"/>
    </x:row>
    <x:row r="502">
      <x:c r="M502" s="60"/>
    </x:row>
    <x:row r="503">
      <x:c r="M503" s="60"/>
    </x:row>
    <x:row r="504">
      <x:c r="M504" s="60"/>
    </x:row>
    <x:row r="505">
      <x:c r="M505" s="60"/>
    </x:row>
  </x:sheetData>
  <x:mergeCells>
    <x:mergeCell ref="A1:N2"/>
    <x:mergeCell ref="A3:N3"/>
  </x:mergeCells>
  <x:dataValidations count="3">
    <x:dataValidation type="list" sqref="E6:E505">
      <x:formula1>"Tender Notice,RfS,NIT,Corrigendum,Amendment,Extension,Award,Other"</x:formula1>
    </x:dataValidation>
    <x:dataValidation type="list" sqref="H6:H505">
      <x:formula1>"Pending,Downloaded,Skipped,Failed"</x:formula1>
    </x:dataValidation>
    <x:dataValidation type="list" sqref="I6:I505">
      <x:formula1>"Pending,Extracted,Needs OCR,Failed"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b3b977e7e457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14" hidden="0" customWidth="1"/>
    <x:col min="12" max="12" width="18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18" hidden="0" customWidth="1"/>
    <x:col min="19" max="19" width="20" hidden="0" customWidth="1"/>
  </x:cols>
  <x:sheetData>
    <x:row r="1">
      <x:c r="A1" s="115" t="str">
        <x:v>PDF Tender Field Extraction Results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</x:row>
    <x:row r="4">
      <x:c r="A4" s="122" t="str">
        <x:v>Extraction ID</x:v>
      </x:c>
      <x:c r="B4" s="122" t="str">
        <x:v>Queue ID</x:v>
      </x:c>
      <x:c r="C4" s="122" t="str">
        <x:v>Tender ID</x:v>
      </x:c>
      <x:c r="D4" s="122" t="str">
        <x:v>Agency</x:v>
      </x:c>
      <x:c r="E4" s="122" t="str">
        <x:v>Document Type</x:v>
      </x:c>
      <x:c r="F4" s="122" t="str">
        <x:v>Technology</x:v>
      </x:c>
      <x:c r="G4" s="122" t="str">
        <x:v>Capacity MW</x:v>
      </x:c>
      <x:c r="H4" s="122" t="str">
        <x:v>Energy MWh</x:v>
      </x:c>
      <x:c r="I4" s="122" t="str">
        <x:v>Storage Hours</x:v>
      </x:c>
      <x:c r="J4" s="122" t="str">
        <x:v>Dispatch Condition</x:v>
      </x:c>
      <x:c r="K4" s="122" t="str">
        <x:v>Minimum PLF %</x:v>
      </x:c>
      <x:c r="L4" s="122" t="str">
        <x:v>EMD</x:v>
      </x:c>
      <x:c r="M4" s="122" t="str">
        <x:v>BG / PBG Conditions</x:v>
      </x:c>
      <x:c r="N4" s="122" t="str">
        <x:v>Bid Submission Date</x:v>
      </x:c>
      <x:c r="O4" s="122" t="str">
        <x:v>Opening Date</x:v>
      </x:c>
      <x:c r="P4" s="122" t="str">
        <x:v>PPA Tenure Years</x:v>
      </x:c>
      <x:c r="Q4" s="122" t="str">
        <x:v>Confidence %</x:v>
      </x:c>
      <x:c r="R4" s="122" t="str">
        <x:v>Extracted On</x:v>
      </x:c>
      <x:c r="S4" s="122" t="str">
        <x:v>Review Status</x:v>
      </x:c>
    </x:row>
    <x:row r="5">
      <x:c r="N5" s="52"/>
      <x:c r="O5" s="52"/>
      <x:c r="Q5" s="123"/>
      <x:c r="R5" s="60"/>
    </x:row>
    <x:row r="6">
      <x:c r="N6" s="52"/>
      <x:c r="O6" s="52"/>
      <x:c r="Q6" s="123"/>
      <x:c r="R6" s="60"/>
    </x:row>
    <x:row r="7">
      <x:c r="N7" s="52"/>
      <x:c r="O7" s="52"/>
      <x:c r="Q7" s="123"/>
      <x:c r="R7" s="60"/>
    </x:row>
    <x:row r="8">
      <x:c r="N8" s="52"/>
      <x:c r="O8" s="52"/>
      <x:c r="Q8" s="123"/>
      <x:c r="R8" s="60"/>
    </x:row>
    <x:row r="9">
      <x:c r="N9" s="52"/>
      <x:c r="O9" s="52"/>
      <x:c r="Q9" s="123"/>
      <x:c r="R9" s="60"/>
    </x:row>
    <x:row r="10">
      <x:c r="N10" s="52"/>
      <x:c r="O10" s="52"/>
      <x:c r="Q10" s="123"/>
      <x:c r="R10" s="60"/>
    </x:row>
    <x:row r="11">
      <x:c r="N11" s="52"/>
      <x:c r="O11" s="52"/>
      <x:c r="Q11" s="123"/>
      <x:c r="R11" s="60"/>
    </x:row>
    <x:row r="12">
      <x:c r="N12" s="52"/>
      <x:c r="O12" s="52"/>
      <x:c r="Q12" s="123"/>
      <x:c r="R12" s="60"/>
    </x:row>
    <x:row r="13">
      <x:c r="N13" s="52"/>
      <x:c r="O13" s="52"/>
      <x:c r="Q13" s="123"/>
      <x:c r="R13" s="60"/>
    </x:row>
    <x:row r="14">
      <x:c r="N14" s="52"/>
      <x:c r="O14" s="52"/>
      <x:c r="Q14" s="123"/>
      <x:c r="R14" s="60"/>
    </x:row>
    <x:row r="15">
      <x:c r="N15" s="52"/>
      <x:c r="O15" s="52"/>
      <x:c r="Q15" s="123"/>
      <x:c r="R15" s="60"/>
    </x:row>
    <x:row r="16">
      <x:c r="N16" s="52"/>
      <x:c r="O16" s="52"/>
      <x:c r="Q16" s="123"/>
      <x:c r="R16" s="60"/>
    </x:row>
    <x:row r="17">
      <x:c r="N17" s="52"/>
      <x:c r="O17" s="52"/>
      <x:c r="Q17" s="123"/>
      <x:c r="R17" s="60"/>
    </x:row>
    <x:row r="18">
      <x:c r="N18" s="52"/>
      <x:c r="O18" s="52"/>
      <x:c r="Q18" s="123"/>
      <x:c r="R18" s="60"/>
    </x:row>
    <x:row r="19">
      <x:c r="N19" s="52"/>
      <x:c r="O19" s="52"/>
      <x:c r="Q19" s="123"/>
      <x:c r="R19" s="60"/>
    </x:row>
    <x:row r="20">
      <x:c r="N20" s="52"/>
      <x:c r="O20" s="52"/>
      <x:c r="Q20" s="123"/>
      <x:c r="R20" s="60"/>
    </x:row>
    <x:row r="21">
      <x:c r="N21" s="52"/>
      <x:c r="O21" s="52"/>
      <x:c r="Q21" s="123"/>
      <x:c r="R21" s="60"/>
    </x:row>
    <x:row r="22">
      <x:c r="N22" s="52"/>
      <x:c r="O22" s="52"/>
      <x:c r="Q22" s="123"/>
      <x:c r="R22" s="60"/>
    </x:row>
    <x:row r="23">
      <x:c r="N23" s="52"/>
      <x:c r="O23" s="52"/>
      <x:c r="Q23" s="123"/>
      <x:c r="R23" s="60"/>
    </x:row>
    <x:row r="24">
      <x:c r="N24" s="52"/>
      <x:c r="O24" s="52"/>
      <x:c r="Q24" s="123"/>
      <x:c r="R24" s="60"/>
    </x:row>
    <x:row r="25">
      <x:c r="N25" s="52"/>
      <x:c r="O25" s="52"/>
      <x:c r="Q25" s="123"/>
      <x:c r="R25" s="60"/>
    </x:row>
    <x:row r="26">
      <x:c r="N26" s="52"/>
      <x:c r="O26" s="52"/>
      <x:c r="Q26" s="123"/>
      <x:c r="R26" s="60"/>
    </x:row>
    <x:row r="27">
      <x:c r="N27" s="52"/>
      <x:c r="O27" s="52"/>
      <x:c r="Q27" s="123"/>
      <x:c r="R27" s="60"/>
    </x:row>
    <x:row r="28">
      <x:c r="N28" s="52"/>
      <x:c r="O28" s="52"/>
      <x:c r="Q28" s="123"/>
      <x:c r="R28" s="60"/>
    </x:row>
    <x:row r="29">
      <x:c r="N29" s="52"/>
      <x:c r="O29" s="52"/>
      <x:c r="Q29" s="123"/>
      <x:c r="R29" s="60"/>
    </x:row>
    <x:row r="30">
      <x:c r="N30" s="52"/>
      <x:c r="O30" s="52"/>
      <x:c r="Q30" s="123"/>
      <x:c r="R30" s="60"/>
    </x:row>
    <x:row r="31">
      <x:c r="N31" s="52"/>
      <x:c r="O31" s="52"/>
      <x:c r="Q31" s="123"/>
      <x:c r="R31" s="60"/>
    </x:row>
    <x:row r="32">
      <x:c r="N32" s="52"/>
      <x:c r="O32" s="52"/>
      <x:c r="Q32" s="123"/>
      <x:c r="R32" s="60"/>
    </x:row>
    <x:row r="33">
      <x:c r="N33" s="52"/>
      <x:c r="O33" s="52"/>
      <x:c r="Q33" s="123"/>
      <x:c r="R33" s="60"/>
    </x:row>
    <x:row r="34">
      <x:c r="N34" s="52"/>
      <x:c r="O34" s="52"/>
      <x:c r="Q34" s="123"/>
      <x:c r="R34" s="60"/>
    </x:row>
    <x:row r="35">
      <x:c r="N35" s="52"/>
      <x:c r="O35" s="52"/>
      <x:c r="Q35" s="123"/>
      <x:c r="R35" s="60"/>
    </x:row>
    <x:row r="36">
      <x:c r="N36" s="52"/>
      <x:c r="O36" s="52"/>
      <x:c r="Q36" s="123"/>
      <x:c r="R36" s="60"/>
    </x:row>
    <x:row r="37">
      <x:c r="N37" s="52"/>
      <x:c r="O37" s="52"/>
      <x:c r="Q37" s="123"/>
      <x:c r="R37" s="60"/>
    </x:row>
    <x:row r="38">
      <x:c r="N38" s="52"/>
      <x:c r="O38" s="52"/>
      <x:c r="Q38" s="123"/>
      <x:c r="R38" s="60"/>
    </x:row>
    <x:row r="39">
      <x:c r="N39" s="52"/>
      <x:c r="O39" s="52"/>
      <x:c r="Q39" s="123"/>
      <x:c r="R39" s="60"/>
    </x:row>
    <x:row r="40">
      <x:c r="N40" s="52"/>
      <x:c r="O40" s="52"/>
      <x:c r="Q40" s="123"/>
      <x:c r="R40" s="60"/>
    </x:row>
    <x:row r="41">
      <x:c r="N41" s="52"/>
      <x:c r="O41" s="52"/>
      <x:c r="Q41" s="123"/>
      <x:c r="R41" s="60"/>
    </x:row>
    <x:row r="42">
      <x:c r="N42" s="52"/>
      <x:c r="O42" s="52"/>
      <x:c r="Q42" s="123"/>
      <x:c r="R42" s="60"/>
    </x:row>
    <x:row r="43">
      <x:c r="N43" s="52"/>
      <x:c r="O43" s="52"/>
      <x:c r="Q43" s="123"/>
      <x:c r="R43" s="60"/>
    </x:row>
    <x:row r="44">
      <x:c r="N44" s="52"/>
      <x:c r="O44" s="52"/>
      <x:c r="Q44" s="123"/>
      <x:c r="R44" s="60"/>
    </x:row>
    <x:row r="45">
      <x:c r="N45" s="52"/>
      <x:c r="O45" s="52"/>
      <x:c r="Q45" s="123"/>
      <x:c r="R45" s="60"/>
    </x:row>
    <x:row r="46">
      <x:c r="N46" s="52"/>
      <x:c r="O46" s="52"/>
      <x:c r="Q46" s="123"/>
      <x:c r="R46" s="60"/>
    </x:row>
    <x:row r="47">
      <x:c r="N47" s="52"/>
      <x:c r="O47" s="52"/>
      <x:c r="Q47" s="123"/>
      <x:c r="R47" s="60"/>
    </x:row>
    <x:row r="48">
      <x:c r="N48" s="52"/>
      <x:c r="O48" s="52"/>
      <x:c r="Q48" s="123"/>
      <x:c r="R48" s="60"/>
    </x:row>
    <x:row r="49">
      <x:c r="N49" s="52"/>
      <x:c r="O49" s="52"/>
      <x:c r="Q49" s="123"/>
      <x:c r="R49" s="60"/>
    </x:row>
    <x:row r="50">
      <x:c r="N50" s="52"/>
      <x:c r="O50" s="52"/>
      <x:c r="Q50" s="123"/>
      <x:c r="R50" s="60"/>
    </x:row>
    <x:row r="51">
      <x:c r="N51" s="52"/>
      <x:c r="O51" s="52"/>
      <x:c r="Q51" s="123"/>
      <x:c r="R51" s="60"/>
    </x:row>
    <x:row r="52">
      <x:c r="N52" s="52"/>
      <x:c r="O52" s="52"/>
      <x:c r="Q52" s="123"/>
      <x:c r="R52" s="60"/>
    </x:row>
    <x:row r="53">
      <x:c r="N53" s="52"/>
      <x:c r="O53" s="52"/>
      <x:c r="Q53" s="123"/>
      <x:c r="R53" s="60"/>
    </x:row>
    <x:row r="54">
      <x:c r="N54" s="52"/>
      <x:c r="O54" s="52"/>
      <x:c r="Q54" s="123"/>
      <x:c r="R54" s="60"/>
    </x:row>
    <x:row r="55">
      <x:c r="N55" s="52"/>
      <x:c r="O55" s="52"/>
      <x:c r="Q55" s="123"/>
      <x:c r="R55" s="60"/>
    </x:row>
    <x:row r="56">
      <x:c r="N56" s="52"/>
      <x:c r="O56" s="52"/>
      <x:c r="Q56" s="123"/>
      <x:c r="R56" s="60"/>
    </x:row>
    <x:row r="57">
      <x:c r="N57" s="52"/>
      <x:c r="O57" s="52"/>
      <x:c r="Q57" s="123"/>
      <x:c r="R57" s="60"/>
    </x:row>
    <x:row r="58">
      <x:c r="N58" s="52"/>
      <x:c r="O58" s="52"/>
      <x:c r="Q58" s="123"/>
      <x:c r="R58" s="60"/>
    </x:row>
    <x:row r="59">
      <x:c r="N59" s="52"/>
      <x:c r="O59" s="52"/>
      <x:c r="Q59" s="123"/>
      <x:c r="R59" s="60"/>
    </x:row>
    <x:row r="60">
      <x:c r="N60" s="52"/>
      <x:c r="O60" s="52"/>
      <x:c r="Q60" s="123"/>
      <x:c r="R60" s="60"/>
    </x:row>
    <x:row r="61">
      <x:c r="N61" s="52"/>
      <x:c r="O61" s="52"/>
      <x:c r="Q61" s="123"/>
      <x:c r="R61" s="60"/>
    </x:row>
    <x:row r="62">
      <x:c r="N62" s="52"/>
      <x:c r="O62" s="52"/>
      <x:c r="Q62" s="123"/>
      <x:c r="R62" s="60"/>
    </x:row>
    <x:row r="63">
      <x:c r="N63" s="52"/>
      <x:c r="O63" s="52"/>
      <x:c r="Q63" s="123"/>
      <x:c r="R63" s="60"/>
    </x:row>
    <x:row r="64">
      <x:c r="N64" s="52"/>
      <x:c r="O64" s="52"/>
      <x:c r="Q64" s="123"/>
      <x:c r="R64" s="60"/>
    </x:row>
    <x:row r="65">
      <x:c r="N65" s="52"/>
      <x:c r="O65" s="52"/>
      <x:c r="Q65" s="123"/>
      <x:c r="R65" s="60"/>
    </x:row>
    <x:row r="66">
      <x:c r="N66" s="52"/>
      <x:c r="O66" s="52"/>
      <x:c r="Q66" s="123"/>
      <x:c r="R66" s="60"/>
    </x:row>
    <x:row r="67">
      <x:c r="N67" s="52"/>
      <x:c r="O67" s="52"/>
      <x:c r="Q67" s="123"/>
      <x:c r="R67" s="60"/>
    </x:row>
    <x:row r="68">
      <x:c r="N68" s="52"/>
      <x:c r="O68" s="52"/>
      <x:c r="Q68" s="123"/>
      <x:c r="R68" s="60"/>
    </x:row>
    <x:row r="69">
      <x:c r="N69" s="52"/>
      <x:c r="O69" s="52"/>
      <x:c r="Q69" s="123"/>
      <x:c r="R69" s="60"/>
    </x:row>
    <x:row r="70">
      <x:c r="N70" s="52"/>
      <x:c r="O70" s="52"/>
      <x:c r="Q70" s="123"/>
      <x:c r="R70" s="60"/>
    </x:row>
    <x:row r="71">
      <x:c r="N71" s="52"/>
      <x:c r="O71" s="52"/>
      <x:c r="Q71" s="123"/>
      <x:c r="R71" s="60"/>
    </x:row>
    <x:row r="72">
      <x:c r="N72" s="52"/>
      <x:c r="O72" s="52"/>
      <x:c r="Q72" s="123"/>
      <x:c r="R72" s="60"/>
    </x:row>
    <x:row r="73">
      <x:c r="N73" s="52"/>
      <x:c r="O73" s="52"/>
      <x:c r="Q73" s="123"/>
      <x:c r="R73" s="60"/>
    </x:row>
    <x:row r="74">
      <x:c r="N74" s="52"/>
      <x:c r="O74" s="52"/>
      <x:c r="Q74" s="123"/>
      <x:c r="R74" s="60"/>
    </x:row>
    <x:row r="75">
      <x:c r="N75" s="52"/>
      <x:c r="O75" s="52"/>
      <x:c r="Q75" s="123"/>
      <x:c r="R75" s="60"/>
    </x:row>
    <x:row r="76">
      <x:c r="N76" s="52"/>
      <x:c r="O76" s="52"/>
      <x:c r="Q76" s="123"/>
      <x:c r="R76" s="60"/>
    </x:row>
    <x:row r="77">
      <x:c r="N77" s="52"/>
      <x:c r="O77" s="52"/>
      <x:c r="Q77" s="123"/>
      <x:c r="R77" s="60"/>
    </x:row>
    <x:row r="78">
      <x:c r="N78" s="52"/>
      <x:c r="O78" s="52"/>
      <x:c r="Q78" s="123"/>
      <x:c r="R78" s="60"/>
    </x:row>
    <x:row r="79">
      <x:c r="N79" s="52"/>
      <x:c r="O79" s="52"/>
      <x:c r="Q79" s="123"/>
      <x:c r="R79" s="60"/>
    </x:row>
    <x:row r="80">
      <x:c r="N80" s="52"/>
      <x:c r="O80" s="52"/>
      <x:c r="Q80" s="123"/>
      <x:c r="R80" s="60"/>
    </x:row>
    <x:row r="81">
      <x:c r="N81" s="52"/>
      <x:c r="O81" s="52"/>
      <x:c r="Q81" s="123"/>
      <x:c r="R81" s="60"/>
    </x:row>
    <x:row r="82">
      <x:c r="N82" s="52"/>
      <x:c r="O82" s="52"/>
      <x:c r="Q82" s="123"/>
      <x:c r="R82" s="60"/>
    </x:row>
    <x:row r="83">
      <x:c r="N83" s="52"/>
      <x:c r="O83" s="52"/>
      <x:c r="Q83" s="123"/>
      <x:c r="R83" s="60"/>
    </x:row>
    <x:row r="84">
      <x:c r="N84" s="52"/>
      <x:c r="O84" s="52"/>
      <x:c r="Q84" s="123"/>
      <x:c r="R84" s="60"/>
    </x:row>
    <x:row r="85">
      <x:c r="N85" s="52"/>
      <x:c r="O85" s="52"/>
      <x:c r="Q85" s="123"/>
      <x:c r="R85" s="60"/>
    </x:row>
    <x:row r="86">
      <x:c r="N86" s="52"/>
      <x:c r="O86" s="52"/>
      <x:c r="Q86" s="123"/>
      <x:c r="R86" s="60"/>
    </x:row>
    <x:row r="87">
      <x:c r="N87" s="52"/>
      <x:c r="O87" s="52"/>
      <x:c r="Q87" s="123"/>
      <x:c r="R87" s="60"/>
    </x:row>
    <x:row r="88">
      <x:c r="N88" s="52"/>
      <x:c r="O88" s="52"/>
      <x:c r="Q88" s="123"/>
      <x:c r="R88" s="60"/>
    </x:row>
    <x:row r="89">
      <x:c r="N89" s="52"/>
      <x:c r="O89" s="52"/>
      <x:c r="Q89" s="123"/>
      <x:c r="R89" s="60"/>
    </x:row>
    <x:row r="90">
      <x:c r="N90" s="52"/>
      <x:c r="O90" s="52"/>
      <x:c r="Q90" s="123"/>
      <x:c r="R90" s="60"/>
    </x:row>
    <x:row r="91">
      <x:c r="N91" s="52"/>
      <x:c r="O91" s="52"/>
      <x:c r="Q91" s="123"/>
      <x:c r="R91" s="60"/>
    </x:row>
    <x:row r="92">
      <x:c r="N92" s="52"/>
      <x:c r="O92" s="52"/>
      <x:c r="Q92" s="123"/>
      <x:c r="R92" s="60"/>
    </x:row>
    <x:row r="93">
      <x:c r="N93" s="52"/>
      <x:c r="O93" s="52"/>
      <x:c r="Q93" s="123"/>
      <x:c r="R93" s="60"/>
    </x:row>
    <x:row r="94">
      <x:c r="N94" s="52"/>
      <x:c r="O94" s="52"/>
      <x:c r="Q94" s="123"/>
      <x:c r="R94" s="60"/>
    </x:row>
    <x:row r="95">
      <x:c r="N95" s="52"/>
      <x:c r="O95" s="52"/>
      <x:c r="Q95" s="123"/>
      <x:c r="R95" s="60"/>
    </x:row>
    <x:row r="96">
      <x:c r="N96" s="52"/>
      <x:c r="O96" s="52"/>
      <x:c r="Q96" s="123"/>
      <x:c r="R96" s="60"/>
    </x:row>
    <x:row r="97">
      <x:c r="N97" s="52"/>
      <x:c r="O97" s="52"/>
      <x:c r="Q97" s="123"/>
      <x:c r="R97" s="60"/>
    </x:row>
    <x:row r="98">
      <x:c r="N98" s="52"/>
      <x:c r="O98" s="52"/>
      <x:c r="Q98" s="123"/>
      <x:c r="R98" s="60"/>
    </x:row>
    <x:row r="99">
      <x:c r="N99" s="52"/>
      <x:c r="O99" s="52"/>
      <x:c r="Q99" s="123"/>
      <x:c r="R99" s="60"/>
    </x:row>
    <x:row r="100">
      <x:c r="N100" s="52"/>
      <x:c r="O100" s="52"/>
      <x:c r="Q100" s="123"/>
      <x:c r="R100" s="60"/>
    </x:row>
    <x:row r="101">
      <x:c r="N101" s="52"/>
      <x:c r="O101" s="52"/>
      <x:c r="Q101" s="123"/>
      <x:c r="R101" s="60"/>
    </x:row>
    <x:row r="102">
      <x:c r="N102" s="52"/>
      <x:c r="O102" s="52"/>
      <x:c r="Q102" s="123"/>
      <x:c r="R102" s="60"/>
    </x:row>
    <x:row r="103">
      <x:c r="N103" s="52"/>
      <x:c r="O103" s="52"/>
      <x:c r="Q103" s="123"/>
      <x:c r="R103" s="60"/>
    </x:row>
    <x:row r="104">
      <x:c r="N104" s="52"/>
      <x:c r="O104" s="52"/>
      <x:c r="Q104" s="123"/>
      <x:c r="R104" s="60"/>
    </x:row>
    <x:row r="105">
      <x:c r="N105" s="52"/>
      <x:c r="O105" s="52"/>
      <x:c r="Q105" s="123"/>
      <x:c r="R105" s="60"/>
    </x:row>
    <x:row r="106">
      <x:c r="N106" s="52"/>
      <x:c r="O106" s="52"/>
      <x:c r="Q106" s="123"/>
      <x:c r="R106" s="60"/>
    </x:row>
    <x:row r="107">
      <x:c r="N107" s="52"/>
      <x:c r="O107" s="52"/>
      <x:c r="Q107" s="123"/>
      <x:c r="R107" s="60"/>
    </x:row>
    <x:row r="108">
      <x:c r="N108" s="52"/>
      <x:c r="O108" s="52"/>
      <x:c r="Q108" s="123"/>
      <x:c r="R108" s="60"/>
    </x:row>
    <x:row r="109">
      <x:c r="N109" s="52"/>
      <x:c r="O109" s="52"/>
      <x:c r="Q109" s="123"/>
      <x:c r="R109" s="60"/>
    </x:row>
    <x:row r="110">
      <x:c r="N110" s="52"/>
      <x:c r="O110" s="52"/>
      <x:c r="Q110" s="123"/>
      <x:c r="R110" s="60"/>
    </x:row>
    <x:row r="111">
      <x:c r="N111" s="52"/>
      <x:c r="O111" s="52"/>
      <x:c r="Q111" s="123"/>
      <x:c r="R111" s="60"/>
    </x:row>
    <x:row r="112">
      <x:c r="N112" s="52"/>
      <x:c r="O112" s="52"/>
      <x:c r="Q112" s="123"/>
      <x:c r="R112" s="60"/>
    </x:row>
    <x:row r="113">
      <x:c r="N113" s="52"/>
      <x:c r="O113" s="52"/>
      <x:c r="Q113" s="123"/>
      <x:c r="R113" s="60"/>
    </x:row>
    <x:row r="114">
      <x:c r="N114" s="52"/>
      <x:c r="O114" s="52"/>
      <x:c r="Q114" s="123"/>
      <x:c r="R114" s="60"/>
    </x:row>
    <x:row r="115">
      <x:c r="N115" s="52"/>
      <x:c r="O115" s="52"/>
      <x:c r="Q115" s="123"/>
      <x:c r="R115" s="60"/>
    </x:row>
    <x:row r="116">
      <x:c r="N116" s="52"/>
      <x:c r="O116" s="52"/>
      <x:c r="Q116" s="123"/>
      <x:c r="R116" s="60"/>
    </x:row>
    <x:row r="117">
      <x:c r="N117" s="52"/>
      <x:c r="O117" s="52"/>
      <x:c r="Q117" s="123"/>
      <x:c r="R117" s="60"/>
    </x:row>
    <x:row r="118">
      <x:c r="N118" s="52"/>
      <x:c r="O118" s="52"/>
      <x:c r="Q118" s="123"/>
      <x:c r="R118" s="60"/>
    </x:row>
    <x:row r="119">
      <x:c r="N119" s="52"/>
      <x:c r="O119" s="52"/>
      <x:c r="Q119" s="123"/>
      <x:c r="R119" s="60"/>
    </x:row>
    <x:row r="120">
      <x:c r="N120" s="52"/>
      <x:c r="O120" s="52"/>
      <x:c r="Q120" s="123"/>
      <x:c r="R120" s="60"/>
    </x:row>
    <x:row r="121">
      <x:c r="N121" s="52"/>
      <x:c r="O121" s="52"/>
      <x:c r="Q121" s="123"/>
      <x:c r="R121" s="60"/>
    </x:row>
    <x:row r="122">
      <x:c r="N122" s="52"/>
      <x:c r="O122" s="52"/>
      <x:c r="Q122" s="123"/>
      <x:c r="R122" s="60"/>
    </x:row>
    <x:row r="123">
      <x:c r="N123" s="52"/>
      <x:c r="O123" s="52"/>
      <x:c r="Q123" s="123"/>
      <x:c r="R123" s="60"/>
    </x:row>
    <x:row r="124">
      <x:c r="N124" s="52"/>
      <x:c r="O124" s="52"/>
      <x:c r="Q124" s="123"/>
      <x:c r="R124" s="60"/>
    </x:row>
    <x:row r="125">
      <x:c r="N125" s="52"/>
      <x:c r="O125" s="52"/>
      <x:c r="Q125" s="123"/>
      <x:c r="R125" s="60"/>
    </x:row>
    <x:row r="126">
      <x:c r="N126" s="52"/>
      <x:c r="O126" s="52"/>
      <x:c r="Q126" s="123"/>
      <x:c r="R126" s="60"/>
    </x:row>
    <x:row r="127">
      <x:c r="N127" s="52"/>
      <x:c r="O127" s="52"/>
      <x:c r="Q127" s="123"/>
      <x:c r="R127" s="60"/>
    </x:row>
    <x:row r="128">
      <x:c r="N128" s="52"/>
      <x:c r="O128" s="52"/>
      <x:c r="Q128" s="123"/>
      <x:c r="R128" s="60"/>
    </x:row>
    <x:row r="129">
      <x:c r="N129" s="52"/>
      <x:c r="O129" s="52"/>
      <x:c r="Q129" s="123"/>
      <x:c r="R129" s="60"/>
    </x:row>
    <x:row r="130">
      <x:c r="N130" s="52"/>
      <x:c r="O130" s="52"/>
      <x:c r="Q130" s="123"/>
      <x:c r="R130" s="60"/>
    </x:row>
    <x:row r="131">
      <x:c r="N131" s="52"/>
      <x:c r="O131" s="52"/>
      <x:c r="Q131" s="123"/>
      <x:c r="R131" s="60"/>
    </x:row>
    <x:row r="132">
      <x:c r="N132" s="52"/>
      <x:c r="O132" s="52"/>
      <x:c r="Q132" s="123"/>
      <x:c r="R132" s="60"/>
    </x:row>
    <x:row r="133">
      <x:c r="N133" s="52"/>
      <x:c r="O133" s="52"/>
      <x:c r="Q133" s="123"/>
      <x:c r="R133" s="60"/>
    </x:row>
    <x:row r="134">
      <x:c r="N134" s="52"/>
      <x:c r="O134" s="52"/>
      <x:c r="Q134" s="123"/>
      <x:c r="R134" s="60"/>
    </x:row>
    <x:row r="135">
      <x:c r="N135" s="52"/>
      <x:c r="O135" s="52"/>
      <x:c r="Q135" s="123"/>
      <x:c r="R135" s="60"/>
    </x:row>
    <x:row r="136">
      <x:c r="N136" s="52"/>
      <x:c r="O136" s="52"/>
      <x:c r="Q136" s="123"/>
      <x:c r="R136" s="60"/>
    </x:row>
    <x:row r="137">
      <x:c r="N137" s="52"/>
      <x:c r="O137" s="52"/>
      <x:c r="Q137" s="123"/>
      <x:c r="R137" s="60"/>
    </x:row>
    <x:row r="138">
      <x:c r="N138" s="52"/>
      <x:c r="O138" s="52"/>
      <x:c r="Q138" s="123"/>
      <x:c r="R138" s="60"/>
    </x:row>
    <x:row r="139">
      <x:c r="N139" s="52"/>
      <x:c r="O139" s="52"/>
      <x:c r="Q139" s="123"/>
      <x:c r="R139" s="60"/>
    </x:row>
    <x:row r="140">
      <x:c r="N140" s="52"/>
      <x:c r="O140" s="52"/>
      <x:c r="Q140" s="123"/>
      <x:c r="R140" s="60"/>
    </x:row>
    <x:row r="141">
      <x:c r="N141" s="52"/>
      <x:c r="O141" s="52"/>
      <x:c r="Q141" s="123"/>
      <x:c r="R141" s="60"/>
    </x:row>
    <x:row r="142">
      <x:c r="N142" s="52"/>
      <x:c r="O142" s="52"/>
      <x:c r="Q142" s="123"/>
      <x:c r="R142" s="60"/>
    </x:row>
    <x:row r="143">
      <x:c r="N143" s="52"/>
      <x:c r="O143" s="52"/>
      <x:c r="Q143" s="123"/>
      <x:c r="R143" s="60"/>
    </x:row>
    <x:row r="144">
      <x:c r="N144" s="52"/>
      <x:c r="O144" s="52"/>
      <x:c r="Q144" s="123"/>
      <x:c r="R144" s="60"/>
    </x:row>
    <x:row r="145">
      <x:c r="N145" s="52"/>
      <x:c r="O145" s="52"/>
      <x:c r="Q145" s="123"/>
      <x:c r="R145" s="60"/>
    </x:row>
    <x:row r="146">
      <x:c r="N146" s="52"/>
      <x:c r="O146" s="52"/>
      <x:c r="Q146" s="123"/>
      <x:c r="R146" s="60"/>
    </x:row>
    <x:row r="147">
      <x:c r="N147" s="52"/>
      <x:c r="O147" s="52"/>
      <x:c r="Q147" s="123"/>
      <x:c r="R147" s="60"/>
    </x:row>
    <x:row r="148">
      <x:c r="N148" s="52"/>
      <x:c r="O148" s="52"/>
      <x:c r="Q148" s="123"/>
      <x:c r="R148" s="60"/>
    </x:row>
    <x:row r="149">
      <x:c r="N149" s="52"/>
      <x:c r="O149" s="52"/>
      <x:c r="Q149" s="123"/>
      <x:c r="R149" s="60"/>
    </x:row>
    <x:row r="150">
      <x:c r="N150" s="52"/>
      <x:c r="O150" s="52"/>
      <x:c r="Q150" s="123"/>
      <x:c r="R150" s="60"/>
    </x:row>
    <x:row r="151">
      <x:c r="N151" s="52"/>
      <x:c r="O151" s="52"/>
      <x:c r="Q151" s="123"/>
      <x:c r="R151" s="60"/>
    </x:row>
    <x:row r="152">
      <x:c r="N152" s="52"/>
      <x:c r="O152" s="52"/>
      <x:c r="Q152" s="123"/>
      <x:c r="R152" s="60"/>
    </x:row>
    <x:row r="153">
      <x:c r="N153" s="52"/>
      <x:c r="O153" s="52"/>
      <x:c r="Q153" s="123"/>
      <x:c r="R153" s="60"/>
    </x:row>
    <x:row r="154">
      <x:c r="N154" s="52"/>
      <x:c r="O154" s="52"/>
      <x:c r="Q154" s="123"/>
      <x:c r="R154" s="60"/>
    </x:row>
    <x:row r="155">
      <x:c r="N155" s="52"/>
      <x:c r="O155" s="52"/>
      <x:c r="Q155" s="123"/>
      <x:c r="R155" s="60"/>
    </x:row>
    <x:row r="156">
      <x:c r="N156" s="52"/>
      <x:c r="O156" s="52"/>
      <x:c r="Q156" s="123"/>
      <x:c r="R156" s="60"/>
    </x:row>
    <x:row r="157">
      <x:c r="N157" s="52"/>
      <x:c r="O157" s="52"/>
      <x:c r="Q157" s="123"/>
      <x:c r="R157" s="60"/>
    </x:row>
    <x:row r="158">
      <x:c r="N158" s="52"/>
      <x:c r="O158" s="52"/>
      <x:c r="Q158" s="123"/>
      <x:c r="R158" s="60"/>
    </x:row>
    <x:row r="159">
      <x:c r="N159" s="52"/>
      <x:c r="O159" s="52"/>
      <x:c r="Q159" s="123"/>
      <x:c r="R159" s="60"/>
    </x:row>
    <x:row r="160">
      <x:c r="N160" s="52"/>
      <x:c r="O160" s="52"/>
      <x:c r="Q160" s="123"/>
      <x:c r="R160" s="60"/>
    </x:row>
    <x:row r="161">
      <x:c r="N161" s="52"/>
      <x:c r="O161" s="52"/>
      <x:c r="Q161" s="123"/>
      <x:c r="R161" s="60"/>
    </x:row>
    <x:row r="162">
      <x:c r="N162" s="52"/>
      <x:c r="O162" s="52"/>
      <x:c r="Q162" s="123"/>
      <x:c r="R162" s="60"/>
    </x:row>
    <x:row r="163">
      <x:c r="N163" s="52"/>
      <x:c r="O163" s="52"/>
      <x:c r="Q163" s="123"/>
      <x:c r="R163" s="60"/>
    </x:row>
    <x:row r="164">
      <x:c r="N164" s="52"/>
      <x:c r="O164" s="52"/>
      <x:c r="Q164" s="123"/>
      <x:c r="R164" s="60"/>
    </x:row>
    <x:row r="165">
      <x:c r="N165" s="52"/>
      <x:c r="O165" s="52"/>
      <x:c r="Q165" s="123"/>
      <x:c r="R165" s="60"/>
    </x:row>
    <x:row r="166">
      <x:c r="N166" s="52"/>
      <x:c r="O166" s="52"/>
      <x:c r="Q166" s="123"/>
      <x:c r="R166" s="60"/>
    </x:row>
    <x:row r="167">
      <x:c r="N167" s="52"/>
      <x:c r="O167" s="52"/>
      <x:c r="Q167" s="123"/>
      <x:c r="R167" s="60"/>
    </x:row>
    <x:row r="168">
      <x:c r="N168" s="52"/>
      <x:c r="O168" s="52"/>
      <x:c r="Q168" s="123"/>
      <x:c r="R168" s="60"/>
    </x:row>
    <x:row r="169">
      <x:c r="N169" s="52"/>
      <x:c r="O169" s="52"/>
      <x:c r="Q169" s="123"/>
      <x:c r="R169" s="60"/>
    </x:row>
    <x:row r="170">
      <x:c r="N170" s="52"/>
      <x:c r="O170" s="52"/>
      <x:c r="Q170" s="123"/>
      <x:c r="R170" s="60"/>
    </x:row>
    <x:row r="171">
      <x:c r="N171" s="52"/>
      <x:c r="O171" s="52"/>
      <x:c r="Q171" s="123"/>
      <x:c r="R171" s="60"/>
    </x:row>
    <x:row r="172">
      <x:c r="N172" s="52"/>
      <x:c r="O172" s="52"/>
      <x:c r="Q172" s="123"/>
      <x:c r="R172" s="60"/>
    </x:row>
    <x:row r="173">
      <x:c r="N173" s="52"/>
      <x:c r="O173" s="52"/>
      <x:c r="Q173" s="123"/>
      <x:c r="R173" s="60"/>
    </x:row>
    <x:row r="174">
      <x:c r="N174" s="52"/>
      <x:c r="O174" s="52"/>
      <x:c r="Q174" s="123"/>
      <x:c r="R174" s="60"/>
    </x:row>
    <x:row r="175">
      <x:c r="N175" s="52"/>
      <x:c r="O175" s="52"/>
      <x:c r="Q175" s="123"/>
      <x:c r="R175" s="60"/>
    </x:row>
    <x:row r="176">
      <x:c r="N176" s="52"/>
      <x:c r="O176" s="52"/>
      <x:c r="Q176" s="123"/>
      <x:c r="R176" s="60"/>
    </x:row>
    <x:row r="177">
      <x:c r="N177" s="52"/>
      <x:c r="O177" s="52"/>
      <x:c r="Q177" s="123"/>
      <x:c r="R177" s="60"/>
    </x:row>
    <x:row r="178">
      <x:c r="N178" s="52"/>
      <x:c r="O178" s="52"/>
      <x:c r="Q178" s="123"/>
      <x:c r="R178" s="60"/>
    </x:row>
    <x:row r="179">
      <x:c r="N179" s="52"/>
      <x:c r="O179" s="52"/>
      <x:c r="Q179" s="123"/>
      <x:c r="R179" s="60"/>
    </x:row>
    <x:row r="180">
      <x:c r="N180" s="52"/>
      <x:c r="O180" s="52"/>
      <x:c r="Q180" s="123"/>
      <x:c r="R180" s="60"/>
    </x:row>
    <x:row r="181">
      <x:c r="N181" s="52"/>
      <x:c r="O181" s="52"/>
      <x:c r="Q181" s="123"/>
      <x:c r="R181" s="60"/>
    </x:row>
    <x:row r="182">
      <x:c r="N182" s="52"/>
      <x:c r="O182" s="52"/>
      <x:c r="Q182" s="123"/>
      <x:c r="R182" s="60"/>
    </x:row>
    <x:row r="183">
      <x:c r="N183" s="52"/>
      <x:c r="O183" s="52"/>
      <x:c r="Q183" s="123"/>
      <x:c r="R183" s="60"/>
    </x:row>
    <x:row r="184">
      <x:c r="N184" s="52"/>
      <x:c r="O184" s="52"/>
      <x:c r="Q184" s="123"/>
      <x:c r="R184" s="60"/>
    </x:row>
    <x:row r="185">
      <x:c r="N185" s="52"/>
      <x:c r="O185" s="52"/>
      <x:c r="Q185" s="123"/>
      <x:c r="R185" s="60"/>
    </x:row>
    <x:row r="186">
      <x:c r="N186" s="52"/>
      <x:c r="O186" s="52"/>
      <x:c r="Q186" s="123"/>
      <x:c r="R186" s="60"/>
    </x:row>
    <x:row r="187">
      <x:c r="N187" s="52"/>
      <x:c r="O187" s="52"/>
      <x:c r="Q187" s="123"/>
      <x:c r="R187" s="60"/>
    </x:row>
    <x:row r="188">
      <x:c r="N188" s="52"/>
      <x:c r="O188" s="52"/>
      <x:c r="Q188" s="123"/>
      <x:c r="R188" s="60"/>
    </x:row>
    <x:row r="189">
      <x:c r="N189" s="52"/>
      <x:c r="O189" s="52"/>
      <x:c r="Q189" s="123"/>
      <x:c r="R189" s="60"/>
    </x:row>
    <x:row r="190">
      <x:c r="N190" s="52"/>
      <x:c r="O190" s="52"/>
      <x:c r="Q190" s="123"/>
      <x:c r="R190" s="60"/>
    </x:row>
    <x:row r="191">
      <x:c r="N191" s="52"/>
      <x:c r="O191" s="52"/>
      <x:c r="Q191" s="123"/>
      <x:c r="R191" s="60"/>
    </x:row>
    <x:row r="192">
      <x:c r="N192" s="52"/>
      <x:c r="O192" s="52"/>
      <x:c r="Q192" s="123"/>
      <x:c r="R192" s="60"/>
    </x:row>
    <x:row r="193">
      <x:c r="N193" s="52"/>
      <x:c r="O193" s="52"/>
      <x:c r="Q193" s="123"/>
      <x:c r="R193" s="60"/>
    </x:row>
    <x:row r="194">
      <x:c r="N194" s="52"/>
      <x:c r="O194" s="52"/>
      <x:c r="Q194" s="123"/>
      <x:c r="R194" s="60"/>
    </x:row>
    <x:row r="195">
      <x:c r="N195" s="52"/>
      <x:c r="O195" s="52"/>
      <x:c r="Q195" s="123"/>
      <x:c r="R195" s="60"/>
    </x:row>
    <x:row r="196">
      <x:c r="N196" s="52"/>
      <x:c r="O196" s="52"/>
      <x:c r="Q196" s="123"/>
      <x:c r="R196" s="60"/>
    </x:row>
    <x:row r="197">
      <x:c r="N197" s="52"/>
      <x:c r="O197" s="52"/>
      <x:c r="Q197" s="123"/>
      <x:c r="R197" s="60"/>
    </x:row>
    <x:row r="198">
      <x:c r="N198" s="52"/>
      <x:c r="O198" s="52"/>
      <x:c r="Q198" s="123"/>
      <x:c r="R198" s="60"/>
    </x:row>
    <x:row r="199">
      <x:c r="N199" s="52"/>
      <x:c r="O199" s="52"/>
      <x:c r="Q199" s="123"/>
      <x:c r="R199" s="60"/>
    </x:row>
    <x:row r="200">
      <x:c r="N200" s="52"/>
      <x:c r="O200" s="52"/>
      <x:c r="Q200" s="123"/>
      <x:c r="R200" s="60"/>
    </x:row>
    <x:row r="201">
      <x:c r="N201" s="52"/>
      <x:c r="O201" s="52"/>
      <x:c r="Q201" s="123"/>
      <x:c r="R201" s="60"/>
    </x:row>
    <x:row r="202">
      <x:c r="N202" s="52"/>
      <x:c r="O202" s="52"/>
      <x:c r="Q202" s="123"/>
      <x:c r="R202" s="60"/>
    </x:row>
    <x:row r="203">
      <x:c r="N203" s="52"/>
      <x:c r="O203" s="52"/>
      <x:c r="Q203" s="123"/>
      <x:c r="R203" s="60"/>
    </x:row>
    <x:row r="204">
      <x:c r="N204" s="52"/>
      <x:c r="O204" s="52"/>
      <x:c r="Q204" s="123"/>
      <x:c r="R204" s="60"/>
    </x:row>
    <x:row r="205">
      <x:c r="N205" s="52"/>
      <x:c r="O205" s="52"/>
      <x:c r="Q205" s="123"/>
      <x:c r="R205" s="60"/>
    </x:row>
    <x:row r="206">
      <x:c r="N206" s="52"/>
      <x:c r="O206" s="52"/>
      <x:c r="Q206" s="123"/>
      <x:c r="R206" s="60"/>
    </x:row>
    <x:row r="207">
      <x:c r="N207" s="52"/>
      <x:c r="O207" s="52"/>
      <x:c r="Q207" s="123"/>
      <x:c r="R207" s="60"/>
    </x:row>
    <x:row r="208">
      <x:c r="N208" s="52"/>
      <x:c r="O208" s="52"/>
      <x:c r="Q208" s="123"/>
      <x:c r="R208" s="60"/>
    </x:row>
    <x:row r="209">
      <x:c r="N209" s="52"/>
      <x:c r="O209" s="52"/>
      <x:c r="Q209" s="123"/>
      <x:c r="R209" s="60"/>
    </x:row>
    <x:row r="210">
      <x:c r="N210" s="52"/>
      <x:c r="O210" s="52"/>
      <x:c r="Q210" s="123"/>
      <x:c r="R210" s="60"/>
    </x:row>
    <x:row r="211">
      <x:c r="N211" s="52"/>
      <x:c r="O211" s="52"/>
      <x:c r="Q211" s="123"/>
      <x:c r="R211" s="60"/>
    </x:row>
    <x:row r="212">
      <x:c r="N212" s="52"/>
      <x:c r="O212" s="52"/>
      <x:c r="Q212" s="123"/>
      <x:c r="R212" s="60"/>
    </x:row>
    <x:row r="213">
      <x:c r="N213" s="52"/>
      <x:c r="O213" s="52"/>
      <x:c r="Q213" s="123"/>
      <x:c r="R213" s="60"/>
    </x:row>
    <x:row r="214">
      <x:c r="N214" s="52"/>
      <x:c r="O214" s="52"/>
      <x:c r="Q214" s="123"/>
      <x:c r="R214" s="60"/>
    </x:row>
    <x:row r="215">
      <x:c r="N215" s="52"/>
      <x:c r="O215" s="52"/>
      <x:c r="Q215" s="123"/>
      <x:c r="R215" s="60"/>
    </x:row>
    <x:row r="216">
      <x:c r="N216" s="52"/>
      <x:c r="O216" s="52"/>
      <x:c r="Q216" s="123"/>
      <x:c r="R216" s="60"/>
    </x:row>
    <x:row r="217">
      <x:c r="N217" s="52"/>
      <x:c r="O217" s="52"/>
      <x:c r="Q217" s="123"/>
      <x:c r="R217" s="60"/>
    </x:row>
    <x:row r="218">
      <x:c r="N218" s="52"/>
      <x:c r="O218" s="52"/>
      <x:c r="Q218" s="123"/>
      <x:c r="R218" s="60"/>
    </x:row>
    <x:row r="219">
      <x:c r="N219" s="52"/>
      <x:c r="O219" s="52"/>
      <x:c r="Q219" s="123"/>
      <x:c r="R219" s="60"/>
    </x:row>
    <x:row r="220">
      <x:c r="N220" s="52"/>
      <x:c r="O220" s="52"/>
      <x:c r="Q220" s="123"/>
      <x:c r="R220" s="60"/>
    </x:row>
    <x:row r="221">
      <x:c r="N221" s="52"/>
      <x:c r="O221" s="52"/>
      <x:c r="Q221" s="123"/>
      <x:c r="R221" s="60"/>
    </x:row>
    <x:row r="222">
      <x:c r="N222" s="52"/>
      <x:c r="O222" s="52"/>
      <x:c r="Q222" s="123"/>
      <x:c r="R222" s="60"/>
    </x:row>
    <x:row r="223">
      <x:c r="N223" s="52"/>
      <x:c r="O223" s="52"/>
      <x:c r="Q223" s="123"/>
      <x:c r="R223" s="60"/>
    </x:row>
    <x:row r="224">
      <x:c r="N224" s="52"/>
      <x:c r="O224" s="52"/>
      <x:c r="Q224" s="123"/>
      <x:c r="R224" s="60"/>
    </x:row>
    <x:row r="225">
      <x:c r="N225" s="52"/>
      <x:c r="O225" s="52"/>
      <x:c r="Q225" s="123"/>
      <x:c r="R225" s="60"/>
    </x:row>
    <x:row r="226">
      <x:c r="N226" s="52"/>
      <x:c r="O226" s="52"/>
      <x:c r="Q226" s="123"/>
      <x:c r="R226" s="60"/>
    </x:row>
    <x:row r="227">
      <x:c r="N227" s="52"/>
      <x:c r="O227" s="52"/>
      <x:c r="Q227" s="123"/>
      <x:c r="R227" s="60"/>
    </x:row>
    <x:row r="228">
      <x:c r="N228" s="52"/>
      <x:c r="O228" s="52"/>
      <x:c r="Q228" s="123"/>
      <x:c r="R228" s="60"/>
    </x:row>
    <x:row r="229">
      <x:c r="N229" s="52"/>
      <x:c r="O229" s="52"/>
      <x:c r="Q229" s="123"/>
      <x:c r="R229" s="60"/>
    </x:row>
    <x:row r="230">
      <x:c r="N230" s="52"/>
      <x:c r="O230" s="52"/>
      <x:c r="Q230" s="123"/>
      <x:c r="R230" s="60"/>
    </x:row>
    <x:row r="231">
      <x:c r="N231" s="52"/>
      <x:c r="O231" s="52"/>
      <x:c r="Q231" s="123"/>
      <x:c r="R231" s="60"/>
    </x:row>
    <x:row r="232">
      <x:c r="N232" s="52"/>
      <x:c r="O232" s="52"/>
      <x:c r="Q232" s="123"/>
      <x:c r="R232" s="60"/>
    </x:row>
    <x:row r="233">
      <x:c r="N233" s="52"/>
      <x:c r="O233" s="52"/>
      <x:c r="Q233" s="123"/>
      <x:c r="R233" s="60"/>
    </x:row>
    <x:row r="234">
      <x:c r="N234" s="52"/>
      <x:c r="O234" s="52"/>
      <x:c r="Q234" s="123"/>
      <x:c r="R234" s="60"/>
    </x:row>
    <x:row r="235">
      <x:c r="N235" s="52"/>
      <x:c r="O235" s="52"/>
      <x:c r="Q235" s="123"/>
      <x:c r="R235" s="60"/>
    </x:row>
    <x:row r="236">
      <x:c r="N236" s="52"/>
      <x:c r="O236" s="52"/>
      <x:c r="Q236" s="123"/>
      <x:c r="R236" s="60"/>
    </x:row>
    <x:row r="237">
      <x:c r="N237" s="52"/>
      <x:c r="O237" s="52"/>
      <x:c r="Q237" s="123"/>
      <x:c r="R237" s="60"/>
    </x:row>
    <x:row r="238">
      <x:c r="N238" s="52"/>
      <x:c r="O238" s="52"/>
      <x:c r="Q238" s="123"/>
      <x:c r="R238" s="60"/>
    </x:row>
    <x:row r="239">
      <x:c r="N239" s="52"/>
      <x:c r="O239" s="52"/>
      <x:c r="Q239" s="123"/>
      <x:c r="R239" s="60"/>
    </x:row>
    <x:row r="240">
      <x:c r="N240" s="52"/>
      <x:c r="O240" s="52"/>
      <x:c r="Q240" s="123"/>
      <x:c r="R240" s="60"/>
    </x:row>
    <x:row r="241">
      <x:c r="N241" s="52"/>
      <x:c r="O241" s="52"/>
      <x:c r="Q241" s="123"/>
      <x:c r="R241" s="60"/>
    </x:row>
    <x:row r="242">
      <x:c r="N242" s="52"/>
      <x:c r="O242" s="52"/>
      <x:c r="Q242" s="123"/>
      <x:c r="R242" s="60"/>
    </x:row>
    <x:row r="243">
      <x:c r="N243" s="52"/>
      <x:c r="O243" s="52"/>
      <x:c r="Q243" s="123"/>
      <x:c r="R243" s="60"/>
    </x:row>
    <x:row r="244">
      <x:c r="N244" s="52"/>
      <x:c r="O244" s="52"/>
      <x:c r="Q244" s="123"/>
      <x:c r="R244" s="60"/>
    </x:row>
    <x:row r="245">
      <x:c r="N245" s="52"/>
      <x:c r="O245" s="52"/>
      <x:c r="Q245" s="123"/>
      <x:c r="R245" s="60"/>
    </x:row>
    <x:row r="246">
      <x:c r="N246" s="52"/>
      <x:c r="O246" s="52"/>
      <x:c r="Q246" s="123"/>
      <x:c r="R246" s="60"/>
    </x:row>
    <x:row r="247">
      <x:c r="N247" s="52"/>
      <x:c r="O247" s="52"/>
      <x:c r="Q247" s="123"/>
      <x:c r="R247" s="60"/>
    </x:row>
    <x:row r="248">
      <x:c r="N248" s="52"/>
      <x:c r="O248" s="52"/>
      <x:c r="Q248" s="123"/>
      <x:c r="R248" s="60"/>
    </x:row>
    <x:row r="249">
      <x:c r="N249" s="52"/>
      <x:c r="O249" s="52"/>
      <x:c r="Q249" s="123"/>
      <x:c r="R249" s="60"/>
    </x:row>
    <x:row r="250">
      <x:c r="N250" s="52"/>
      <x:c r="O250" s="52"/>
      <x:c r="Q250" s="123"/>
      <x:c r="R250" s="60"/>
    </x:row>
    <x:row r="251">
      <x:c r="N251" s="52"/>
      <x:c r="O251" s="52"/>
      <x:c r="Q251" s="123"/>
      <x:c r="R251" s="60"/>
    </x:row>
    <x:row r="252">
      <x:c r="N252" s="52"/>
      <x:c r="O252" s="52"/>
      <x:c r="Q252" s="123"/>
      <x:c r="R252" s="60"/>
    </x:row>
    <x:row r="253">
      <x:c r="N253" s="52"/>
      <x:c r="O253" s="52"/>
      <x:c r="Q253" s="123"/>
      <x:c r="R253" s="60"/>
    </x:row>
    <x:row r="254">
      <x:c r="N254" s="52"/>
      <x:c r="O254" s="52"/>
      <x:c r="Q254" s="123"/>
      <x:c r="R254" s="60"/>
    </x:row>
    <x:row r="255">
      <x:c r="N255" s="52"/>
      <x:c r="O255" s="52"/>
      <x:c r="Q255" s="123"/>
      <x:c r="R255" s="60"/>
    </x:row>
    <x:row r="256">
      <x:c r="N256" s="52"/>
      <x:c r="O256" s="52"/>
      <x:c r="Q256" s="123"/>
      <x:c r="R256" s="60"/>
    </x:row>
    <x:row r="257">
      <x:c r="N257" s="52"/>
      <x:c r="O257" s="52"/>
      <x:c r="Q257" s="123"/>
      <x:c r="R257" s="60"/>
    </x:row>
    <x:row r="258">
      <x:c r="N258" s="52"/>
      <x:c r="O258" s="52"/>
      <x:c r="Q258" s="123"/>
      <x:c r="R258" s="60"/>
    </x:row>
    <x:row r="259">
      <x:c r="N259" s="52"/>
      <x:c r="O259" s="52"/>
      <x:c r="Q259" s="123"/>
      <x:c r="R259" s="60"/>
    </x:row>
    <x:row r="260">
      <x:c r="N260" s="52"/>
      <x:c r="O260" s="52"/>
      <x:c r="Q260" s="123"/>
      <x:c r="R260" s="60"/>
    </x:row>
    <x:row r="261">
      <x:c r="N261" s="52"/>
      <x:c r="O261" s="52"/>
      <x:c r="Q261" s="123"/>
      <x:c r="R261" s="60"/>
    </x:row>
    <x:row r="262">
      <x:c r="N262" s="52"/>
      <x:c r="O262" s="52"/>
      <x:c r="Q262" s="123"/>
      <x:c r="R262" s="60"/>
    </x:row>
    <x:row r="263">
      <x:c r="N263" s="52"/>
      <x:c r="O263" s="52"/>
      <x:c r="Q263" s="123"/>
      <x:c r="R263" s="60"/>
    </x:row>
    <x:row r="264">
      <x:c r="N264" s="52"/>
      <x:c r="O264" s="52"/>
      <x:c r="Q264" s="123"/>
      <x:c r="R264" s="60"/>
    </x:row>
    <x:row r="265">
      <x:c r="N265" s="52"/>
      <x:c r="O265" s="52"/>
      <x:c r="Q265" s="123"/>
      <x:c r="R265" s="60"/>
    </x:row>
    <x:row r="266">
      <x:c r="N266" s="52"/>
      <x:c r="O266" s="52"/>
      <x:c r="Q266" s="123"/>
      <x:c r="R266" s="60"/>
    </x:row>
    <x:row r="267">
      <x:c r="N267" s="52"/>
      <x:c r="O267" s="52"/>
      <x:c r="Q267" s="123"/>
      <x:c r="R267" s="60"/>
    </x:row>
    <x:row r="268">
      <x:c r="N268" s="52"/>
      <x:c r="O268" s="52"/>
      <x:c r="Q268" s="123"/>
      <x:c r="R268" s="60"/>
    </x:row>
    <x:row r="269">
      <x:c r="N269" s="52"/>
      <x:c r="O269" s="52"/>
      <x:c r="Q269" s="123"/>
      <x:c r="R269" s="60"/>
    </x:row>
    <x:row r="270">
      <x:c r="N270" s="52"/>
      <x:c r="O270" s="52"/>
      <x:c r="Q270" s="123"/>
      <x:c r="R270" s="60"/>
    </x:row>
    <x:row r="271">
      <x:c r="N271" s="52"/>
      <x:c r="O271" s="52"/>
      <x:c r="Q271" s="123"/>
      <x:c r="R271" s="60"/>
    </x:row>
    <x:row r="272">
      <x:c r="N272" s="52"/>
      <x:c r="O272" s="52"/>
      <x:c r="Q272" s="123"/>
      <x:c r="R272" s="60"/>
    </x:row>
    <x:row r="273">
      <x:c r="N273" s="52"/>
      <x:c r="O273" s="52"/>
      <x:c r="Q273" s="123"/>
      <x:c r="R273" s="60"/>
    </x:row>
    <x:row r="274">
      <x:c r="N274" s="52"/>
      <x:c r="O274" s="52"/>
      <x:c r="Q274" s="123"/>
      <x:c r="R274" s="60"/>
    </x:row>
    <x:row r="275">
      <x:c r="N275" s="52"/>
      <x:c r="O275" s="52"/>
      <x:c r="Q275" s="123"/>
      <x:c r="R275" s="60"/>
    </x:row>
    <x:row r="276">
      <x:c r="N276" s="52"/>
      <x:c r="O276" s="52"/>
      <x:c r="Q276" s="123"/>
      <x:c r="R276" s="60"/>
    </x:row>
    <x:row r="277">
      <x:c r="N277" s="52"/>
      <x:c r="O277" s="52"/>
      <x:c r="Q277" s="123"/>
      <x:c r="R277" s="60"/>
    </x:row>
    <x:row r="278">
      <x:c r="N278" s="52"/>
      <x:c r="O278" s="52"/>
      <x:c r="Q278" s="123"/>
      <x:c r="R278" s="60"/>
    </x:row>
    <x:row r="279">
      <x:c r="N279" s="52"/>
      <x:c r="O279" s="52"/>
      <x:c r="Q279" s="123"/>
      <x:c r="R279" s="60"/>
    </x:row>
    <x:row r="280">
      <x:c r="N280" s="52"/>
      <x:c r="O280" s="52"/>
      <x:c r="Q280" s="123"/>
      <x:c r="R280" s="60"/>
    </x:row>
    <x:row r="281">
      <x:c r="N281" s="52"/>
      <x:c r="O281" s="52"/>
      <x:c r="Q281" s="123"/>
      <x:c r="R281" s="60"/>
    </x:row>
    <x:row r="282">
      <x:c r="N282" s="52"/>
      <x:c r="O282" s="52"/>
      <x:c r="Q282" s="123"/>
      <x:c r="R282" s="60"/>
    </x:row>
    <x:row r="283">
      <x:c r="N283" s="52"/>
      <x:c r="O283" s="52"/>
      <x:c r="Q283" s="123"/>
      <x:c r="R283" s="60"/>
    </x:row>
    <x:row r="284">
      <x:c r="N284" s="52"/>
      <x:c r="O284" s="52"/>
      <x:c r="Q284" s="123"/>
      <x:c r="R284" s="60"/>
    </x:row>
    <x:row r="285">
      <x:c r="N285" s="52"/>
      <x:c r="O285" s="52"/>
      <x:c r="Q285" s="123"/>
      <x:c r="R285" s="60"/>
    </x:row>
    <x:row r="286">
      <x:c r="N286" s="52"/>
      <x:c r="O286" s="52"/>
      <x:c r="Q286" s="123"/>
      <x:c r="R286" s="60"/>
    </x:row>
    <x:row r="287">
      <x:c r="N287" s="52"/>
      <x:c r="O287" s="52"/>
      <x:c r="Q287" s="123"/>
      <x:c r="R287" s="60"/>
    </x:row>
    <x:row r="288">
      <x:c r="N288" s="52"/>
      <x:c r="O288" s="52"/>
      <x:c r="Q288" s="123"/>
      <x:c r="R288" s="60"/>
    </x:row>
    <x:row r="289">
      <x:c r="N289" s="52"/>
      <x:c r="O289" s="52"/>
      <x:c r="Q289" s="123"/>
      <x:c r="R289" s="60"/>
    </x:row>
    <x:row r="290">
      <x:c r="N290" s="52"/>
      <x:c r="O290" s="52"/>
      <x:c r="Q290" s="123"/>
      <x:c r="R290" s="60"/>
    </x:row>
    <x:row r="291">
      <x:c r="N291" s="52"/>
      <x:c r="O291" s="52"/>
      <x:c r="Q291" s="123"/>
      <x:c r="R291" s="60"/>
    </x:row>
    <x:row r="292">
      <x:c r="N292" s="52"/>
      <x:c r="O292" s="52"/>
      <x:c r="Q292" s="123"/>
      <x:c r="R292" s="60"/>
    </x:row>
    <x:row r="293">
      <x:c r="N293" s="52"/>
      <x:c r="O293" s="52"/>
      <x:c r="Q293" s="123"/>
      <x:c r="R293" s="60"/>
    </x:row>
    <x:row r="294">
      <x:c r="N294" s="52"/>
      <x:c r="O294" s="52"/>
      <x:c r="Q294" s="123"/>
      <x:c r="R294" s="60"/>
    </x:row>
    <x:row r="295">
      <x:c r="N295" s="52"/>
      <x:c r="O295" s="52"/>
      <x:c r="Q295" s="123"/>
      <x:c r="R295" s="60"/>
    </x:row>
    <x:row r="296">
      <x:c r="N296" s="52"/>
      <x:c r="O296" s="52"/>
      <x:c r="Q296" s="123"/>
      <x:c r="R296" s="60"/>
    </x:row>
    <x:row r="297">
      <x:c r="N297" s="52"/>
      <x:c r="O297" s="52"/>
      <x:c r="Q297" s="123"/>
      <x:c r="R297" s="60"/>
    </x:row>
    <x:row r="298">
      <x:c r="N298" s="52"/>
      <x:c r="O298" s="52"/>
      <x:c r="Q298" s="123"/>
      <x:c r="R298" s="60"/>
    </x:row>
    <x:row r="299">
      <x:c r="N299" s="52"/>
      <x:c r="O299" s="52"/>
      <x:c r="Q299" s="123"/>
      <x:c r="R299" s="60"/>
    </x:row>
    <x:row r="300">
      <x:c r="N300" s="52"/>
      <x:c r="O300" s="52"/>
      <x:c r="Q300" s="123"/>
      <x:c r="R300" s="60"/>
    </x:row>
    <x:row r="301">
      <x:c r="N301" s="52"/>
      <x:c r="O301" s="52"/>
      <x:c r="Q301" s="123"/>
      <x:c r="R301" s="60"/>
    </x:row>
    <x:row r="302">
      <x:c r="N302" s="52"/>
      <x:c r="O302" s="52"/>
      <x:c r="Q302" s="123"/>
      <x:c r="R302" s="60"/>
    </x:row>
    <x:row r="303">
      <x:c r="N303" s="52"/>
      <x:c r="O303" s="52"/>
      <x:c r="Q303" s="123"/>
      <x:c r="R303" s="60"/>
    </x:row>
    <x:row r="304">
      <x:c r="N304" s="52"/>
      <x:c r="O304" s="52"/>
      <x:c r="Q304" s="123"/>
      <x:c r="R304" s="60"/>
    </x:row>
    <x:row r="305">
      <x:c r="N305" s="52"/>
      <x:c r="O305" s="52"/>
      <x:c r="Q305" s="123"/>
      <x:c r="R305" s="60"/>
    </x:row>
    <x:row r="306">
      <x:c r="N306" s="52"/>
      <x:c r="O306" s="52"/>
      <x:c r="Q306" s="123"/>
      <x:c r="R306" s="60"/>
    </x:row>
    <x:row r="307">
      <x:c r="N307" s="52"/>
      <x:c r="O307" s="52"/>
      <x:c r="Q307" s="123"/>
      <x:c r="R307" s="60"/>
    </x:row>
    <x:row r="308">
      <x:c r="N308" s="52"/>
      <x:c r="O308" s="52"/>
      <x:c r="Q308" s="123"/>
      <x:c r="R308" s="60"/>
    </x:row>
    <x:row r="309">
      <x:c r="N309" s="52"/>
      <x:c r="O309" s="52"/>
      <x:c r="Q309" s="123"/>
      <x:c r="R309" s="60"/>
    </x:row>
    <x:row r="310">
      <x:c r="N310" s="52"/>
      <x:c r="O310" s="52"/>
      <x:c r="Q310" s="123"/>
      <x:c r="R310" s="60"/>
    </x:row>
    <x:row r="311">
      <x:c r="N311" s="52"/>
      <x:c r="O311" s="52"/>
      <x:c r="Q311" s="123"/>
      <x:c r="R311" s="60"/>
    </x:row>
    <x:row r="312">
      <x:c r="N312" s="52"/>
      <x:c r="O312" s="52"/>
      <x:c r="Q312" s="123"/>
      <x:c r="R312" s="60"/>
    </x:row>
    <x:row r="313">
      <x:c r="N313" s="52"/>
      <x:c r="O313" s="52"/>
      <x:c r="Q313" s="123"/>
      <x:c r="R313" s="60"/>
    </x:row>
    <x:row r="314">
      <x:c r="N314" s="52"/>
      <x:c r="O314" s="52"/>
      <x:c r="Q314" s="123"/>
      <x:c r="R314" s="60"/>
    </x:row>
    <x:row r="315">
      <x:c r="N315" s="52"/>
      <x:c r="O315" s="52"/>
      <x:c r="Q315" s="123"/>
      <x:c r="R315" s="60"/>
    </x:row>
    <x:row r="316">
      <x:c r="N316" s="52"/>
      <x:c r="O316" s="52"/>
      <x:c r="Q316" s="123"/>
      <x:c r="R316" s="60"/>
    </x:row>
    <x:row r="317">
      <x:c r="N317" s="52"/>
      <x:c r="O317" s="52"/>
      <x:c r="Q317" s="123"/>
      <x:c r="R317" s="60"/>
    </x:row>
    <x:row r="318">
      <x:c r="N318" s="52"/>
      <x:c r="O318" s="52"/>
      <x:c r="Q318" s="123"/>
      <x:c r="R318" s="60"/>
    </x:row>
    <x:row r="319">
      <x:c r="N319" s="52"/>
      <x:c r="O319" s="52"/>
      <x:c r="Q319" s="123"/>
      <x:c r="R319" s="60"/>
    </x:row>
    <x:row r="320">
      <x:c r="N320" s="52"/>
      <x:c r="O320" s="52"/>
      <x:c r="Q320" s="123"/>
      <x:c r="R320" s="60"/>
    </x:row>
    <x:row r="321">
      <x:c r="N321" s="52"/>
      <x:c r="O321" s="52"/>
      <x:c r="Q321" s="123"/>
      <x:c r="R321" s="60"/>
    </x:row>
    <x:row r="322">
      <x:c r="N322" s="52"/>
      <x:c r="O322" s="52"/>
      <x:c r="Q322" s="123"/>
      <x:c r="R322" s="60"/>
    </x:row>
    <x:row r="323">
      <x:c r="N323" s="52"/>
      <x:c r="O323" s="52"/>
      <x:c r="Q323" s="123"/>
      <x:c r="R323" s="60"/>
    </x:row>
    <x:row r="324">
      <x:c r="N324" s="52"/>
      <x:c r="O324" s="52"/>
      <x:c r="Q324" s="123"/>
      <x:c r="R324" s="60"/>
    </x:row>
    <x:row r="325">
      <x:c r="N325" s="52"/>
      <x:c r="O325" s="52"/>
      <x:c r="Q325" s="123"/>
      <x:c r="R325" s="60"/>
    </x:row>
    <x:row r="326">
      <x:c r="N326" s="52"/>
      <x:c r="O326" s="52"/>
      <x:c r="Q326" s="123"/>
      <x:c r="R326" s="60"/>
    </x:row>
    <x:row r="327">
      <x:c r="N327" s="52"/>
      <x:c r="O327" s="52"/>
      <x:c r="Q327" s="123"/>
      <x:c r="R327" s="60"/>
    </x:row>
    <x:row r="328">
      <x:c r="N328" s="52"/>
      <x:c r="O328" s="52"/>
      <x:c r="Q328" s="123"/>
      <x:c r="R328" s="60"/>
    </x:row>
    <x:row r="329">
      <x:c r="N329" s="52"/>
      <x:c r="O329" s="52"/>
      <x:c r="Q329" s="123"/>
      <x:c r="R329" s="60"/>
    </x:row>
    <x:row r="330">
      <x:c r="N330" s="52"/>
      <x:c r="O330" s="52"/>
      <x:c r="Q330" s="123"/>
      <x:c r="R330" s="60"/>
    </x:row>
    <x:row r="331">
      <x:c r="N331" s="52"/>
      <x:c r="O331" s="52"/>
      <x:c r="Q331" s="123"/>
      <x:c r="R331" s="60"/>
    </x:row>
    <x:row r="332">
      <x:c r="N332" s="52"/>
      <x:c r="O332" s="52"/>
      <x:c r="Q332" s="123"/>
      <x:c r="R332" s="60"/>
    </x:row>
    <x:row r="333">
      <x:c r="N333" s="52"/>
      <x:c r="O333" s="52"/>
      <x:c r="Q333" s="123"/>
      <x:c r="R333" s="60"/>
    </x:row>
    <x:row r="334">
      <x:c r="N334" s="52"/>
      <x:c r="O334" s="52"/>
      <x:c r="Q334" s="123"/>
      <x:c r="R334" s="60"/>
    </x:row>
    <x:row r="335">
      <x:c r="N335" s="52"/>
      <x:c r="O335" s="52"/>
      <x:c r="Q335" s="123"/>
      <x:c r="R335" s="60"/>
    </x:row>
    <x:row r="336">
      <x:c r="N336" s="52"/>
      <x:c r="O336" s="52"/>
      <x:c r="Q336" s="123"/>
      <x:c r="R336" s="60"/>
    </x:row>
    <x:row r="337">
      <x:c r="N337" s="52"/>
      <x:c r="O337" s="52"/>
      <x:c r="Q337" s="123"/>
      <x:c r="R337" s="60"/>
    </x:row>
    <x:row r="338">
      <x:c r="N338" s="52"/>
      <x:c r="O338" s="52"/>
      <x:c r="Q338" s="123"/>
      <x:c r="R338" s="60"/>
    </x:row>
    <x:row r="339">
      <x:c r="N339" s="52"/>
      <x:c r="O339" s="52"/>
      <x:c r="Q339" s="123"/>
      <x:c r="R339" s="60"/>
    </x:row>
    <x:row r="340">
      <x:c r="N340" s="52"/>
      <x:c r="O340" s="52"/>
      <x:c r="Q340" s="123"/>
      <x:c r="R340" s="60"/>
    </x:row>
    <x:row r="341">
      <x:c r="N341" s="52"/>
      <x:c r="O341" s="52"/>
      <x:c r="Q341" s="123"/>
      <x:c r="R341" s="60"/>
    </x:row>
    <x:row r="342">
      <x:c r="N342" s="52"/>
      <x:c r="O342" s="52"/>
      <x:c r="Q342" s="123"/>
      <x:c r="R342" s="60"/>
    </x:row>
    <x:row r="343">
      <x:c r="N343" s="52"/>
      <x:c r="O343" s="52"/>
      <x:c r="Q343" s="123"/>
      <x:c r="R343" s="60"/>
    </x:row>
    <x:row r="344">
      <x:c r="N344" s="52"/>
      <x:c r="O344" s="52"/>
      <x:c r="Q344" s="123"/>
      <x:c r="R344" s="60"/>
    </x:row>
    <x:row r="345">
      <x:c r="N345" s="52"/>
      <x:c r="O345" s="52"/>
      <x:c r="Q345" s="123"/>
      <x:c r="R345" s="60"/>
    </x:row>
    <x:row r="346">
      <x:c r="N346" s="52"/>
      <x:c r="O346" s="52"/>
      <x:c r="Q346" s="123"/>
      <x:c r="R346" s="60"/>
    </x:row>
    <x:row r="347">
      <x:c r="N347" s="52"/>
      <x:c r="O347" s="52"/>
      <x:c r="Q347" s="123"/>
      <x:c r="R347" s="60"/>
    </x:row>
    <x:row r="348">
      <x:c r="N348" s="52"/>
      <x:c r="O348" s="52"/>
      <x:c r="Q348" s="123"/>
      <x:c r="R348" s="60"/>
    </x:row>
    <x:row r="349">
      <x:c r="N349" s="52"/>
      <x:c r="O349" s="52"/>
      <x:c r="Q349" s="123"/>
      <x:c r="R349" s="60"/>
    </x:row>
    <x:row r="350">
      <x:c r="N350" s="52"/>
      <x:c r="O350" s="52"/>
      <x:c r="Q350" s="123"/>
      <x:c r="R350" s="60"/>
    </x:row>
    <x:row r="351">
      <x:c r="N351" s="52"/>
      <x:c r="O351" s="52"/>
      <x:c r="Q351" s="123"/>
      <x:c r="R351" s="60"/>
    </x:row>
    <x:row r="352">
      <x:c r="N352" s="52"/>
      <x:c r="O352" s="52"/>
      <x:c r="Q352" s="123"/>
      <x:c r="R352" s="60"/>
    </x:row>
    <x:row r="353">
      <x:c r="N353" s="52"/>
      <x:c r="O353" s="52"/>
      <x:c r="Q353" s="123"/>
      <x:c r="R353" s="60"/>
    </x:row>
    <x:row r="354">
      <x:c r="N354" s="52"/>
      <x:c r="O354" s="52"/>
      <x:c r="Q354" s="123"/>
      <x:c r="R354" s="60"/>
    </x:row>
    <x:row r="355">
      <x:c r="N355" s="52"/>
      <x:c r="O355" s="52"/>
      <x:c r="Q355" s="123"/>
      <x:c r="R355" s="60"/>
    </x:row>
    <x:row r="356">
      <x:c r="N356" s="52"/>
      <x:c r="O356" s="52"/>
      <x:c r="Q356" s="123"/>
      <x:c r="R356" s="60"/>
    </x:row>
    <x:row r="357">
      <x:c r="N357" s="52"/>
      <x:c r="O357" s="52"/>
      <x:c r="Q357" s="123"/>
      <x:c r="R357" s="60"/>
    </x:row>
    <x:row r="358">
      <x:c r="N358" s="52"/>
      <x:c r="O358" s="52"/>
      <x:c r="Q358" s="123"/>
      <x:c r="R358" s="60"/>
    </x:row>
    <x:row r="359">
      <x:c r="N359" s="52"/>
      <x:c r="O359" s="52"/>
      <x:c r="Q359" s="123"/>
      <x:c r="R359" s="60"/>
    </x:row>
    <x:row r="360">
      <x:c r="N360" s="52"/>
      <x:c r="O360" s="52"/>
      <x:c r="Q360" s="123"/>
      <x:c r="R360" s="60"/>
    </x:row>
    <x:row r="361">
      <x:c r="N361" s="52"/>
      <x:c r="O361" s="52"/>
      <x:c r="Q361" s="123"/>
      <x:c r="R361" s="60"/>
    </x:row>
    <x:row r="362">
      <x:c r="N362" s="52"/>
      <x:c r="O362" s="52"/>
      <x:c r="Q362" s="123"/>
      <x:c r="R362" s="60"/>
    </x:row>
    <x:row r="363">
      <x:c r="N363" s="52"/>
      <x:c r="O363" s="52"/>
      <x:c r="Q363" s="123"/>
      <x:c r="R363" s="60"/>
    </x:row>
    <x:row r="364">
      <x:c r="N364" s="52"/>
      <x:c r="O364" s="52"/>
      <x:c r="Q364" s="123"/>
      <x:c r="R364" s="60"/>
    </x:row>
    <x:row r="365">
      <x:c r="N365" s="52"/>
      <x:c r="O365" s="52"/>
      <x:c r="Q365" s="123"/>
      <x:c r="R365" s="60"/>
    </x:row>
    <x:row r="366">
      <x:c r="N366" s="52"/>
      <x:c r="O366" s="52"/>
      <x:c r="Q366" s="123"/>
      <x:c r="R366" s="60"/>
    </x:row>
    <x:row r="367">
      <x:c r="N367" s="52"/>
      <x:c r="O367" s="52"/>
      <x:c r="Q367" s="123"/>
      <x:c r="R367" s="60"/>
    </x:row>
    <x:row r="368">
      <x:c r="N368" s="52"/>
      <x:c r="O368" s="52"/>
      <x:c r="Q368" s="123"/>
      <x:c r="R368" s="60"/>
    </x:row>
    <x:row r="369">
      <x:c r="N369" s="52"/>
      <x:c r="O369" s="52"/>
      <x:c r="Q369" s="123"/>
      <x:c r="R369" s="60"/>
    </x:row>
    <x:row r="370">
      <x:c r="N370" s="52"/>
      <x:c r="O370" s="52"/>
      <x:c r="Q370" s="123"/>
      <x:c r="R370" s="60"/>
    </x:row>
    <x:row r="371">
      <x:c r="N371" s="52"/>
      <x:c r="O371" s="52"/>
      <x:c r="Q371" s="123"/>
      <x:c r="R371" s="60"/>
    </x:row>
    <x:row r="372">
      <x:c r="N372" s="52"/>
      <x:c r="O372" s="52"/>
      <x:c r="Q372" s="123"/>
      <x:c r="R372" s="60"/>
    </x:row>
    <x:row r="373">
      <x:c r="N373" s="52"/>
      <x:c r="O373" s="52"/>
      <x:c r="Q373" s="123"/>
      <x:c r="R373" s="60"/>
    </x:row>
    <x:row r="374">
      <x:c r="N374" s="52"/>
      <x:c r="O374" s="52"/>
      <x:c r="Q374" s="123"/>
      <x:c r="R374" s="60"/>
    </x:row>
    <x:row r="375">
      <x:c r="N375" s="52"/>
      <x:c r="O375" s="52"/>
      <x:c r="Q375" s="123"/>
      <x:c r="R375" s="60"/>
    </x:row>
    <x:row r="376">
      <x:c r="N376" s="52"/>
      <x:c r="O376" s="52"/>
      <x:c r="Q376" s="123"/>
      <x:c r="R376" s="60"/>
    </x:row>
    <x:row r="377">
      <x:c r="N377" s="52"/>
      <x:c r="O377" s="52"/>
      <x:c r="Q377" s="123"/>
      <x:c r="R377" s="60"/>
    </x:row>
    <x:row r="378">
      <x:c r="N378" s="52"/>
      <x:c r="O378" s="52"/>
      <x:c r="Q378" s="123"/>
      <x:c r="R378" s="60"/>
    </x:row>
    <x:row r="379">
      <x:c r="N379" s="52"/>
      <x:c r="O379" s="52"/>
      <x:c r="Q379" s="123"/>
      <x:c r="R379" s="60"/>
    </x:row>
    <x:row r="380">
      <x:c r="N380" s="52"/>
      <x:c r="O380" s="52"/>
      <x:c r="Q380" s="123"/>
      <x:c r="R380" s="60"/>
    </x:row>
    <x:row r="381">
      <x:c r="N381" s="52"/>
      <x:c r="O381" s="52"/>
      <x:c r="Q381" s="123"/>
      <x:c r="R381" s="60"/>
    </x:row>
    <x:row r="382">
      <x:c r="N382" s="52"/>
      <x:c r="O382" s="52"/>
      <x:c r="Q382" s="123"/>
      <x:c r="R382" s="60"/>
    </x:row>
    <x:row r="383">
      <x:c r="N383" s="52"/>
      <x:c r="O383" s="52"/>
      <x:c r="Q383" s="123"/>
      <x:c r="R383" s="60"/>
    </x:row>
    <x:row r="384">
      <x:c r="N384" s="52"/>
      <x:c r="O384" s="52"/>
      <x:c r="Q384" s="123"/>
      <x:c r="R384" s="60"/>
    </x:row>
    <x:row r="385">
      <x:c r="N385" s="52"/>
      <x:c r="O385" s="52"/>
      <x:c r="Q385" s="123"/>
      <x:c r="R385" s="60"/>
    </x:row>
    <x:row r="386">
      <x:c r="N386" s="52"/>
      <x:c r="O386" s="52"/>
      <x:c r="Q386" s="123"/>
      <x:c r="R386" s="60"/>
    </x:row>
    <x:row r="387">
      <x:c r="N387" s="52"/>
      <x:c r="O387" s="52"/>
      <x:c r="Q387" s="123"/>
      <x:c r="R387" s="60"/>
    </x:row>
    <x:row r="388">
      <x:c r="N388" s="52"/>
      <x:c r="O388" s="52"/>
      <x:c r="Q388" s="123"/>
      <x:c r="R388" s="60"/>
    </x:row>
    <x:row r="389">
      <x:c r="N389" s="52"/>
      <x:c r="O389" s="52"/>
      <x:c r="Q389" s="123"/>
      <x:c r="R389" s="60"/>
    </x:row>
    <x:row r="390">
      <x:c r="N390" s="52"/>
      <x:c r="O390" s="52"/>
      <x:c r="Q390" s="123"/>
      <x:c r="R390" s="60"/>
    </x:row>
    <x:row r="391">
      <x:c r="N391" s="52"/>
      <x:c r="O391" s="52"/>
      <x:c r="Q391" s="123"/>
      <x:c r="R391" s="60"/>
    </x:row>
    <x:row r="392">
      <x:c r="N392" s="52"/>
      <x:c r="O392" s="52"/>
      <x:c r="Q392" s="123"/>
      <x:c r="R392" s="60"/>
    </x:row>
    <x:row r="393">
      <x:c r="N393" s="52"/>
      <x:c r="O393" s="52"/>
      <x:c r="Q393" s="123"/>
      <x:c r="R393" s="60"/>
    </x:row>
    <x:row r="394">
      <x:c r="N394" s="52"/>
      <x:c r="O394" s="52"/>
      <x:c r="Q394" s="123"/>
      <x:c r="R394" s="60"/>
    </x:row>
    <x:row r="395">
      <x:c r="N395" s="52"/>
      <x:c r="O395" s="52"/>
      <x:c r="Q395" s="123"/>
      <x:c r="R395" s="60"/>
    </x:row>
    <x:row r="396">
      <x:c r="N396" s="52"/>
      <x:c r="O396" s="52"/>
      <x:c r="Q396" s="123"/>
      <x:c r="R396" s="60"/>
    </x:row>
    <x:row r="397">
      <x:c r="N397" s="52"/>
      <x:c r="O397" s="52"/>
      <x:c r="Q397" s="123"/>
      <x:c r="R397" s="60"/>
    </x:row>
    <x:row r="398">
      <x:c r="N398" s="52"/>
      <x:c r="O398" s="52"/>
      <x:c r="Q398" s="123"/>
      <x:c r="R398" s="60"/>
    </x:row>
    <x:row r="399">
      <x:c r="N399" s="52"/>
      <x:c r="O399" s="52"/>
      <x:c r="Q399" s="123"/>
      <x:c r="R399" s="60"/>
    </x:row>
    <x:row r="400">
      <x:c r="N400" s="52"/>
      <x:c r="O400" s="52"/>
      <x:c r="Q400" s="123"/>
      <x:c r="R400" s="60"/>
    </x:row>
    <x:row r="401">
      <x:c r="N401" s="52"/>
      <x:c r="O401" s="52"/>
      <x:c r="Q401" s="123"/>
      <x:c r="R401" s="60"/>
    </x:row>
    <x:row r="402">
      <x:c r="N402" s="52"/>
      <x:c r="O402" s="52"/>
      <x:c r="Q402" s="123"/>
      <x:c r="R402" s="60"/>
    </x:row>
    <x:row r="403">
      <x:c r="N403" s="52"/>
      <x:c r="O403" s="52"/>
      <x:c r="Q403" s="123"/>
      <x:c r="R403" s="60"/>
    </x:row>
    <x:row r="404">
      <x:c r="N404" s="52"/>
      <x:c r="O404" s="52"/>
      <x:c r="Q404" s="123"/>
      <x:c r="R404" s="60"/>
    </x:row>
    <x:row r="405">
      <x:c r="N405" s="52"/>
      <x:c r="O405" s="52"/>
      <x:c r="Q405" s="123"/>
      <x:c r="R405" s="60"/>
    </x:row>
    <x:row r="406">
      <x:c r="N406" s="52"/>
      <x:c r="O406" s="52"/>
      <x:c r="Q406" s="123"/>
      <x:c r="R406" s="60"/>
    </x:row>
    <x:row r="407">
      <x:c r="N407" s="52"/>
      <x:c r="O407" s="52"/>
      <x:c r="Q407" s="123"/>
      <x:c r="R407" s="60"/>
    </x:row>
    <x:row r="408">
      <x:c r="N408" s="52"/>
      <x:c r="O408" s="52"/>
      <x:c r="Q408" s="123"/>
      <x:c r="R408" s="60"/>
    </x:row>
    <x:row r="409">
      <x:c r="N409" s="52"/>
      <x:c r="O409" s="52"/>
      <x:c r="Q409" s="123"/>
      <x:c r="R409" s="60"/>
    </x:row>
    <x:row r="410">
      <x:c r="N410" s="52"/>
      <x:c r="O410" s="52"/>
      <x:c r="Q410" s="123"/>
      <x:c r="R410" s="60"/>
    </x:row>
    <x:row r="411">
      <x:c r="N411" s="52"/>
      <x:c r="O411" s="52"/>
      <x:c r="Q411" s="123"/>
      <x:c r="R411" s="60"/>
    </x:row>
    <x:row r="412">
      <x:c r="N412" s="52"/>
      <x:c r="O412" s="52"/>
      <x:c r="Q412" s="123"/>
      <x:c r="R412" s="60"/>
    </x:row>
    <x:row r="413">
      <x:c r="N413" s="52"/>
      <x:c r="O413" s="52"/>
      <x:c r="Q413" s="123"/>
      <x:c r="R413" s="60"/>
    </x:row>
    <x:row r="414">
      <x:c r="N414" s="52"/>
      <x:c r="O414" s="52"/>
      <x:c r="Q414" s="123"/>
      <x:c r="R414" s="60"/>
    </x:row>
    <x:row r="415">
      <x:c r="N415" s="52"/>
      <x:c r="O415" s="52"/>
      <x:c r="Q415" s="123"/>
      <x:c r="R415" s="60"/>
    </x:row>
    <x:row r="416">
      <x:c r="N416" s="52"/>
      <x:c r="O416" s="52"/>
      <x:c r="Q416" s="123"/>
      <x:c r="R416" s="60"/>
    </x:row>
    <x:row r="417">
      <x:c r="N417" s="52"/>
      <x:c r="O417" s="52"/>
      <x:c r="Q417" s="123"/>
      <x:c r="R417" s="60"/>
    </x:row>
    <x:row r="418">
      <x:c r="N418" s="52"/>
      <x:c r="O418" s="52"/>
      <x:c r="Q418" s="123"/>
      <x:c r="R418" s="60"/>
    </x:row>
    <x:row r="419">
      <x:c r="N419" s="52"/>
      <x:c r="O419" s="52"/>
      <x:c r="Q419" s="123"/>
      <x:c r="R419" s="60"/>
    </x:row>
    <x:row r="420">
      <x:c r="N420" s="52"/>
      <x:c r="O420" s="52"/>
      <x:c r="Q420" s="123"/>
      <x:c r="R420" s="60"/>
    </x:row>
    <x:row r="421">
      <x:c r="N421" s="52"/>
      <x:c r="O421" s="52"/>
      <x:c r="Q421" s="123"/>
      <x:c r="R421" s="60"/>
    </x:row>
    <x:row r="422">
      <x:c r="N422" s="52"/>
      <x:c r="O422" s="52"/>
      <x:c r="Q422" s="123"/>
      <x:c r="R422" s="60"/>
    </x:row>
    <x:row r="423">
      <x:c r="N423" s="52"/>
      <x:c r="O423" s="52"/>
      <x:c r="Q423" s="123"/>
      <x:c r="R423" s="60"/>
    </x:row>
    <x:row r="424">
      <x:c r="N424" s="52"/>
      <x:c r="O424" s="52"/>
      <x:c r="Q424" s="123"/>
      <x:c r="R424" s="60"/>
    </x:row>
    <x:row r="425">
      <x:c r="N425" s="52"/>
      <x:c r="O425" s="52"/>
      <x:c r="Q425" s="123"/>
      <x:c r="R425" s="60"/>
    </x:row>
    <x:row r="426">
      <x:c r="N426" s="52"/>
      <x:c r="O426" s="52"/>
      <x:c r="Q426" s="123"/>
      <x:c r="R426" s="60"/>
    </x:row>
    <x:row r="427">
      <x:c r="N427" s="52"/>
      <x:c r="O427" s="52"/>
      <x:c r="Q427" s="123"/>
      <x:c r="R427" s="60"/>
    </x:row>
    <x:row r="428">
      <x:c r="N428" s="52"/>
      <x:c r="O428" s="52"/>
      <x:c r="Q428" s="123"/>
      <x:c r="R428" s="60"/>
    </x:row>
    <x:row r="429">
      <x:c r="N429" s="52"/>
      <x:c r="O429" s="52"/>
      <x:c r="Q429" s="123"/>
      <x:c r="R429" s="60"/>
    </x:row>
    <x:row r="430">
      <x:c r="N430" s="52"/>
      <x:c r="O430" s="52"/>
      <x:c r="Q430" s="123"/>
      <x:c r="R430" s="60"/>
    </x:row>
    <x:row r="431">
      <x:c r="N431" s="52"/>
      <x:c r="O431" s="52"/>
      <x:c r="Q431" s="123"/>
      <x:c r="R431" s="60"/>
    </x:row>
    <x:row r="432">
      <x:c r="N432" s="52"/>
      <x:c r="O432" s="52"/>
      <x:c r="Q432" s="123"/>
      <x:c r="R432" s="60"/>
    </x:row>
    <x:row r="433">
      <x:c r="N433" s="52"/>
      <x:c r="O433" s="52"/>
      <x:c r="Q433" s="123"/>
      <x:c r="R433" s="60"/>
    </x:row>
    <x:row r="434">
      <x:c r="N434" s="52"/>
      <x:c r="O434" s="52"/>
      <x:c r="Q434" s="123"/>
      <x:c r="R434" s="60"/>
    </x:row>
    <x:row r="435">
      <x:c r="N435" s="52"/>
      <x:c r="O435" s="52"/>
      <x:c r="Q435" s="123"/>
      <x:c r="R435" s="60"/>
    </x:row>
    <x:row r="436">
      <x:c r="N436" s="52"/>
      <x:c r="O436" s="52"/>
      <x:c r="Q436" s="123"/>
      <x:c r="R436" s="60"/>
    </x:row>
    <x:row r="437">
      <x:c r="N437" s="52"/>
      <x:c r="O437" s="52"/>
      <x:c r="Q437" s="123"/>
      <x:c r="R437" s="60"/>
    </x:row>
    <x:row r="438">
      <x:c r="N438" s="52"/>
      <x:c r="O438" s="52"/>
      <x:c r="Q438" s="123"/>
      <x:c r="R438" s="60"/>
    </x:row>
    <x:row r="439">
      <x:c r="N439" s="52"/>
      <x:c r="O439" s="52"/>
      <x:c r="Q439" s="123"/>
      <x:c r="R439" s="60"/>
    </x:row>
    <x:row r="440">
      <x:c r="N440" s="52"/>
      <x:c r="O440" s="52"/>
      <x:c r="Q440" s="123"/>
      <x:c r="R440" s="60"/>
    </x:row>
    <x:row r="441">
      <x:c r="N441" s="52"/>
      <x:c r="O441" s="52"/>
      <x:c r="Q441" s="123"/>
      <x:c r="R441" s="60"/>
    </x:row>
    <x:row r="442">
      <x:c r="N442" s="52"/>
      <x:c r="O442" s="52"/>
      <x:c r="Q442" s="123"/>
      <x:c r="R442" s="60"/>
    </x:row>
    <x:row r="443">
      <x:c r="N443" s="52"/>
      <x:c r="O443" s="52"/>
      <x:c r="Q443" s="123"/>
      <x:c r="R443" s="60"/>
    </x:row>
    <x:row r="444">
      <x:c r="N444" s="52"/>
      <x:c r="O444" s="52"/>
      <x:c r="Q444" s="123"/>
      <x:c r="R444" s="60"/>
    </x:row>
    <x:row r="445">
      <x:c r="N445" s="52"/>
      <x:c r="O445" s="52"/>
      <x:c r="Q445" s="123"/>
      <x:c r="R445" s="60"/>
    </x:row>
    <x:row r="446">
      <x:c r="N446" s="52"/>
      <x:c r="O446" s="52"/>
      <x:c r="Q446" s="123"/>
      <x:c r="R446" s="60"/>
    </x:row>
    <x:row r="447">
      <x:c r="N447" s="52"/>
      <x:c r="O447" s="52"/>
      <x:c r="Q447" s="123"/>
      <x:c r="R447" s="60"/>
    </x:row>
    <x:row r="448">
      <x:c r="N448" s="52"/>
      <x:c r="O448" s="52"/>
      <x:c r="Q448" s="123"/>
      <x:c r="R448" s="60"/>
    </x:row>
    <x:row r="449">
      <x:c r="N449" s="52"/>
      <x:c r="O449" s="52"/>
      <x:c r="Q449" s="123"/>
      <x:c r="R449" s="60"/>
    </x:row>
    <x:row r="450">
      <x:c r="N450" s="52"/>
      <x:c r="O450" s="52"/>
      <x:c r="Q450" s="123"/>
      <x:c r="R450" s="60"/>
    </x:row>
    <x:row r="451">
      <x:c r="N451" s="52"/>
      <x:c r="O451" s="52"/>
      <x:c r="Q451" s="123"/>
      <x:c r="R451" s="60"/>
    </x:row>
    <x:row r="452">
      <x:c r="N452" s="52"/>
      <x:c r="O452" s="52"/>
      <x:c r="Q452" s="123"/>
      <x:c r="R452" s="60"/>
    </x:row>
    <x:row r="453">
      <x:c r="N453" s="52"/>
      <x:c r="O453" s="52"/>
      <x:c r="Q453" s="123"/>
      <x:c r="R453" s="60"/>
    </x:row>
    <x:row r="454">
      <x:c r="N454" s="52"/>
      <x:c r="O454" s="52"/>
      <x:c r="Q454" s="123"/>
      <x:c r="R454" s="60"/>
    </x:row>
    <x:row r="455">
      <x:c r="N455" s="52"/>
      <x:c r="O455" s="52"/>
      <x:c r="Q455" s="123"/>
      <x:c r="R455" s="60"/>
    </x:row>
    <x:row r="456">
      <x:c r="N456" s="52"/>
      <x:c r="O456" s="52"/>
      <x:c r="Q456" s="123"/>
      <x:c r="R456" s="60"/>
    </x:row>
    <x:row r="457">
      <x:c r="N457" s="52"/>
      <x:c r="O457" s="52"/>
      <x:c r="Q457" s="123"/>
      <x:c r="R457" s="60"/>
    </x:row>
    <x:row r="458">
      <x:c r="N458" s="52"/>
      <x:c r="O458" s="52"/>
      <x:c r="Q458" s="123"/>
      <x:c r="R458" s="60"/>
    </x:row>
    <x:row r="459">
      <x:c r="N459" s="52"/>
      <x:c r="O459" s="52"/>
      <x:c r="Q459" s="123"/>
      <x:c r="R459" s="60"/>
    </x:row>
    <x:row r="460">
      <x:c r="N460" s="52"/>
      <x:c r="O460" s="52"/>
      <x:c r="Q460" s="123"/>
      <x:c r="R460" s="60"/>
    </x:row>
    <x:row r="461">
      <x:c r="N461" s="52"/>
      <x:c r="O461" s="52"/>
      <x:c r="Q461" s="123"/>
      <x:c r="R461" s="60"/>
    </x:row>
    <x:row r="462">
      <x:c r="N462" s="52"/>
      <x:c r="O462" s="52"/>
      <x:c r="Q462" s="123"/>
      <x:c r="R462" s="60"/>
    </x:row>
    <x:row r="463">
      <x:c r="N463" s="52"/>
      <x:c r="O463" s="52"/>
      <x:c r="Q463" s="123"/>
      <x:c r="R463" s="60"/>
    </x:row>
    <x:row r="464">
      <x:c r="N464" s="52"/>
      <x:c r="O464" s="52"/>
      <x:c r="Q464" s="123"/>
      <x:c r="R464" s="60"/>
    </x:row>
    <x:row r="465">
      <x:c r="N465" s="52"/>
      <x:c r="O465" s="52"/>
      <x:c r="Q465" s="123"/>
      <x:c r="R465" s="60"/>
    </x:row>
    <x:row r="466">
      <x:c r="N466" s="52"/>
      <x:c r="O466" s="52"/>
      <x:c r="Q466" s="123"/>
      <x:c r="R466" s="60"/>
    </x:row>
    <x:row r="467">
      <x:c r="N467" s="52"/>
      <x:c r="O467" s="52"/>
      <x:c r="Q467" s="123"/>
      <x:c r="R467" s="60"/>
    </x:row>
    <x:row r="468">
      <x:c r="N468" s="52"/>
      <x:c r="O468" s="52"/>
      <x:c r="Q468" s="123"/>
      <x:c r="R468" s="60"/>
    </x:row>
    <x:row r="469">
      <x:c r="N469" s="52"/>
      <x:c r="O469" s="52"/>
      <x:c r="Q469" s="123"/>
      <x:c r="R469" s="60"/>
    </x:row>
    <x:row r="470">
      <x:c r="N470" s="52"/>
      <x:c r="O470" s="52"/>
      <x:c r="Q470" s="123"/>
      <x:c r="R470" s="60"/>
    </x:row>
    <x:row r="471">
      <x:c r="N471" s="52"/>
      <x:c r="O471" s="52"/>
      <x:c r="Q471" s="123"/>
      <x:c r="R471" s="60"/>
    </x:row>
    <x:row r="472">
      <x:c r="N472" s="52"/>
      <x:c r="O472" s="52"/>
      <x:c r="Q472" s="123"/>
      <x:c r="R472" s="60"/>
    </x:row>
    <x:row r="473">
      <x:c r="N473" s="52"/>
      <x:c r="O473" s="52"/>
      <x:c r="Q473" s="123"/>
      <x:c r="R473" s="60"/>
    </x:row>
    <x:row r="474">
      <x:c r="N474" s="52"/>
      <x:c r="O474" s="52"/>
      <x:c r="Q474" s="123"/>
      <x:c r="R474" s="60"/>
    </x:row>
    <x:row r="475">
      <x:c r="N475" s="52"/>
      <x:c r="O475" s="52"/>
      <x:c r="Q475" s="123"/>
      <x:c r="R475" s="60"/>
    </x:row>
    <x:row r="476">
      <x:c r="N476" s="52"/>
      <x:c r="O476" s="52"/>
      <x:c r="Q476" s="123"/>
      <x:c r="R476" s="60"/>
    </x:row>
    <x:row r="477">
      <x:c r="N477" s="52"/>
      <x:c r="O477" s="52"/>
      <x:c r="Q477" s="123"/>
      <x:c r="R477" s="60"/>
    </x:row>
    <x:row r="478">
      <x:c r="N478" s="52"/>
      <x:c r="O478" s="52"/>
      <x:c r="Q478" s="123"/>
      <x:c r="R478" s="60"/>
    </x:row>
    <x:row r="479">
      <x:c r="N479" s="52"/>
      <x:c r="O479" s="52"/>
      <x:c r="Q479" s="123"/>
      <x:c r="R479" s="60"/>
    </x:row>
    <x:row r="480">
      <x:c r="N480" s="52"/>
      <x:c r="O480" s="52"/>
      <x:c r="Q480" s="123"/>
      <x:c r="R480" s="60"/>
    </x:row>
    <x:row r="481">
      <x:c r="N481" s="52"/>
      <x:c r="O481" s="52"/>
      <x:c r="Q481" s="123"/>
      <x:c r="R481" s="60"/>
    </x:row>
    <x:row r="482">
      <x:c r="N482" s="52"/>
      <x:c r="O482" s="52"/>
      <x:c r="Q482" s="123"/>
      <x:c r="R482" s="60"/>
    </x:row>
    <x:row r="483">
      <x:c r="N483" s="52"/>
      <x:c r="O483" s="52"/>
      <x:c r="Q483" s="123"/>
      <x:c r="R483" s="60"/>
    </x:row>
    <x:row r="484">
      <x:c r="N484" s="52"/>
      <x:c r="O484" s="52"/>
      <x:c r="Q484" s="123"/>
      <x:c r="R484" s="60"/>
    </x:row>
    <x:row r="485">
      <x:c r="N485" s="52"/>
      <x:c r="O485" s="52"/>
      <x:c r="Q485" s="123"/>
      <x:c r="R485" s="60"/>
    </x:row>
    <x:row r="486">
      <x:c r="N486" s="52"/>
      <x:c r="O486" s="52"/>
      <x:c r="Q486" s="123"/>
      <x:c r="R486" s="60"/>
    </x:row>
    <x:row r="487">
      <x:c r="N487" s="52"/>
      <x:c r="O487" s="52"/>
      <x:c r="Q487" s="123"/>
      <x:c r="R487" s="60"/>
    </x:row>
    <x:row r="488">
      <x:c r="N488" s="52"/>
      <x:c r="O488" s="52"/>
      <x:c r="Q488" s="123"/>
      <x:c r="R488" s="60"/>
    </x:row>
    <x:row r="489">
      <x:c r="N489" s="52"/>
      <x:c r="O489" s="52"/>
      <x:c r="Q489" s="123"/>
      <x:c r="R489" s="60"/>
    </x:row>
    <x:row r="490">
      <x:c r="N490" s="52"/>
      <x:c r="O490" s="52"/>
      <x:c r="Q490" s="123"/>
      <x:c r="R490" s="60"/>
    </x:row>
    <x:row r="491">
      <x:c r="N491" s="52"/>
      <x:c r="O491" s="52"/>
      <x:c r="Q491" s="123"/>
      <x:c r="R491" s="60"/>
    </x:row>
    <x:row r="492">
      <x:c r="N492" s="52"/>
      <x:c r="O492" s="52"/>
      <x:c r="Q492" s="123"/>
      <x:c r="R492" s="60"/>
    </x:row>
    <x:row r="493">
      <x:c r="N493" s="52"/>
      <x:c r="O493" s="52"/>
      <x:c r="Q493" s="123"/>
      <x:c r="R493" s="60"/>
    </x:row>
    <x:row r="494">
      <x:c r="N494" s="52"/>
      <x:c r="O494" s="52"/>
      <x:c r="Q494" s="123"/>
      <x:c r="R494" s="60"/>
    </x:row>
    <x:row r="495">
      <x:c r="N495" s="52"/>
      <x:c r="O495" s="52"/>
      <x:c r="Q495" s="123"/>
      <x:c r="R495" s="60"/>
    </x:row>
    <x:row r="496">
      <x:c r="N496" s="52"/>
      <x:c r="O496" s="52"/>
      <x:c r="Q496" s="123"/>
      <x:c r="R496" s="60"/>
    </x:row>
    <x:row r="497">
      <x:c r="N497" s="52"/>
      <x:c r="O497" s="52"/>
      <x:c r="Q497" s="123"/>
      <x:c r="R497" s="60"/>
    </x:row>
    <x:row r="498">
      <x:c r="N498" s="52"/>
      <x:c r="O498" s="52"/>
      <x:c r="Q498" s="123"/>
      <x:c r="R498" s="60"/>
    </x:row>
    <x:row r="499">
      <x:c r="N499" s="52"/>
      <x:c r="O499" s="52"/>
      <x:c r="Q499" s="123"/>
      <x:c r="R499" s="60"/>
    </x:row>
    <x:row r="500">
      <x:c r="N500" s="52"/>
      <x:c r="O500" s="52"/>
      <x:c r="Q500" s="123"/>
      <x:c r="R500" s="60"/>
    </x:row>
    <x:row r="501">
      <x:c r="N501" s="52"/>
      <x:c r="O501" s="52"/>
      <x:c r="Q501" s="123"/>
      <x:c r="R501" s="60"/>
    </x:row>
    <x:row r="502">
      <x:c r="N502" s="52"/>
      <x:c r="O502" s="52"/>
      <x:c r="Q502" s="123"/>
      <x:c r="R502" s="60"/>
    </x:row>
    <x:row r="503">
      <x:c r="N503" s="52"/>
      <x:c r="O503" s="52"/>
      <x:c r="Q503" s="123"/>
      <x:c r="R503" s="60"/>
    </x:row>
    <x:row r="504">
      <x:c r="N504" s="52"/>
      <x:c r="O504" s="52"/>
      <x:c r="Q504" s="123"/>
      <x:c r="R504" s="60"/>
    </x:row>
  </x:sheetData>
  <x:mergeCells>
    <x:mergeCell ref="A1:S2"/>
  </x:mergeCells>
  <x:conditionalFormatting sqref="Q5:Q50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F5:F504">
      <x:formula1>"Solar,Solar + BESS,FDRE,Wind,Hybrid,BESS,Pumped Storage,RTC,Other"</x:formula1>
    </x:dataValidation>
    <x:dataValidation type="list" sqref="S5:S504">
      <x:formula1>"Pending Review,Approved,Rejected,Partially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964f62af1427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0" hidden="0" customWidth="1"/>
    <x:col min="7" max="7" width="28" hidden="0" customWidth="1"/>
    <x:col min="8" max="8" width="28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  <x:col min="13" max="13" width="30" hidden="0" customWidth="1"/>
    <x:col min="14" max="14" width="40" hidden="0" customWidth="1"/>
    <x:col min="15" max="15" width="18" hidden="0" customWidth="1"/>
    <x:col min="16" max="16" width="24" hidden="0" customWidth="1"/>
  </x:cols>
  <x:sheetData>
    <x:row r="1">
      <x:c r="A1" s="115" t="str">
        <x:v>Tender Change &amp; Corrigendum Review Queue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</x:row>
    <x:row r="3">
      <x:c r="A3" s="117" t="str">
        <x:v>Proposed changes are generated by comparing the current tender record with newly scanned pages or documents. Approve before applying.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</x:row>
    <x:row r="5">
      <x:c r="A5" s="122" t="str">
        <x:v>Review ID</x:v>
      </x:c>
      <x:c r="B5" s="122" t="str">
        <x:v>Tender ID</x:v>
      </x:c>
      <x:c r="C5" s="122" t="str">
        <x:v>Agency</x:v>
      </x:c>
      <x:c r="D5" s="122" t="str">
        <x:v>Tender Number</x:v>
      </x:c>
      <x:c r="E5" s="122" t="str">
        <x:v>Change Source</x:v>
      </x:c>
      <x:c r="F5" s="122" t="str">
        <x:v>Field</x:v>
      </x:c>
      <x:c r="G5" s="122" t="str">
        <x:v>Current Value</x:v>
      </x:c>
      <x:c r="H5" s="122" t="str">
        <x:v>Proposed Value</x:v>
      </x:c>
      <x:c r="I5" s="122" t="str">
        <x:v>Change Type</x:v>
      </x:c>
      <x:c r="J5" s="122" t="str">
        <x:v>Confidence %</x:v>
      </x:c>
      <x:c r="K5" s="122" t="str">
        <x:v>Detected On</x:v>
      </x:c>
      <x:c r="L5" s="122" t="str">
        <x:v>Decision</x:v>
      </x:c>
      <x:c r="M5" s="122" t="str">
        <x:v>Reviewer Notes</x:v>
      </x:c>
      <x:c r="N5" s="122" t="str">
        <x:v>Source URL</x:v>
      </x:c>
      <x:c r="O5" s="122" t="str">
        <x:v>Applied On</x:v>
      </x:c>
      <x:c r="P5" s="122" t="str">
        <x:v>Apply Result</x:v>
      </x:c>
    </x:row>
    <x:row r="6">
      <x:c r="J6" s="123"/>
      <x:c r="K6" s="60"/>
      <x:c r="O6" s="60"/>
    </x:row>
    <x:row r="7">
      <x:c r="J7" s="123"/>
      <x:c r="K7" s="60"/>
      <x:c r="O7" s="60"/>
    </x:row>
    <x:row r="8">
      <x:c r="J8" s="123"/>
      <x:c r="K8" s="60"/>
      <x:c r="O8" s="60"/>
    </x:row>
    <x:row r="9">
      <x:c r="J9" s="123"/>
      <x:c r="K9" s="60"/>
      <x:c r="O9" s="60"/>
    </x:row>
    <x:row r="10">
      <x:c r="J10" s="123"/>
      <x:c r="K10" s="60"/>
      <x:c r="O10" s="60"/>
    </x:row>
    <x:row r="11">
      <x:c r="J11" s="123"/>
      <x:c r="K11" s="60"/>
      <x:c r="O11" s="60"/>
    </x:row>
    <x:row r="12">
      <x:c r="J12" s="123"/>
      <x:c r="K12" s="60"/>
      <x:c r="O12" s="60"/>
    </x:row>
    <x:row r="13">
      <x:c r="J13" s="123"/>
      <x:c r="K13" s="60"/>
      <x:c r="O13" s="60"/>
    </x:row>
    <x:row r="14">
      <x:c r="J14" s="123"/>
      <x:c r="K14" s="60"/>
      <x:c r="O14" s="60"/>
    </x:row>
    <x:row r="15">
      <x:c r="J15" s="123"/>
      <x:c r="K15" s="60"/>
      <x:c r="O15" s="60"/>
    </x:row>
    <x:row r="16">
      <x:c r="J16" s="123"/>
      <x:c r="K16" s="60"/>
      <x:c r="O16" s="60"/>
    </x:row>
    <x:row r="17">
      <x:c r="J17" s="123"/>
      <x:c r="K17" s="60"/>
      <x:c r="O17" s="60"/>
    </x:row>
    <x:row r="18">
      <x:c r="J18" s="123"/>
      <x:c r="K18" s="60"/>
      <x:c r="O18" s="60"/>
    </x:row>
    <x:row r="19">
      <x:c r="J19" s="123"/>
      <x:c r="K19" s="60"/>
      <x:c r="O19" s="60"/>
    </x:row>
    <x:row r="20">
      <x:c r="J20" s="123"/>
      <x:c r="K20" s="60"/>
      <x:c r="O20" s="60"/>
    </x:row>
    <x:row r="21">
      <x:c r="J21" s="123"/>
      <x:c r="K21" s="60"/>
      <x:c r="O21" s="60"/>
    </x:row>
    <x:row r="22">
      <x:c r="J22" s="123"/>
      <x:c r="K22" s="60"/>
      <x:c r="O22" s="60"/>
    </x:row>
    <x:row r="23">
      <x:c r="J23" s="123"/>
      <x:c r="K23" s="60"/>
      <x:c r="O23" s="60"/>
    </x:row>
    <x:row r="24">
      <x:c r="J24" s="123"/>
      <x:c r="K24" s="60"/>
      <x:c r="O24" s="60"/>
    </x:row>
    <x:row r="25">
      <x:c r="J25" s="123"/>
      <x:c r="K25" s="60"/>
      <x:c r="O25" s="60"/>
    </x:row>
    <x:row r="26">
      <x:c r="J26" s="123"/>
      <x:c r="K26" s="60"/>
      <x:c r="O26" s="60"/>
    </x:row>
    <x:row r="27">
      <x:c r="J27" s="123"/>
      <x:c r="K27" s="60"/>
      <x:c r="O27" s="60"/>
    </x:row>
    <x:row r="28">
      <x:c r="J28" s="123"/>
      <x:c r="K28" s="60"/>
      <x:c r="O28" s="60"/>
    </x:row>
    <x:row r="29">
      <x:c r="J29" s="123"/>
      <x:c r="K29" s="60"/>
      <x:c r="O29" s="60"/>
    </x:row>
    <x:row r="30">
      <x:c r="J30" s="123"/>
      <x:c r="K30" s="60"/>
      <x:c r="O30" s="60"/>
    </x:row>
    <x:row r="31">
      <x:c r="J31" s="123"/>
      <x:c r="K31" s="60"/>
      <x:c r="O31" s="60"/>
    </x:row>
    <x:row r="32">
      <x:c r="J32" s="123"/>
      <x:c r="K32" s="60"/>
      <x:c r="O32" s="60"/>
    </x:row>
    <x:row r="33">
      <x:c r="J33" s="123"/>
      <x:c r="K33" s="60"/>
      <x:c r="O33" s="60"/>
    </x:row>
    <x:row r="34">
      <x:c r="J34" s="123"/>
      <x:c r="K34" s="60"/>
      <x:c r="O34" s="60"/>
    </x:row>
    <x:row r="35">
      <x:c r="J35" s="123"/>
      <x:c r="K35" s="60"/>
      <x:c r="O35" s="60"/>
    </x:row>
    <x:row r="36">
      <x:c r="J36" s="123"/>
      <x:c r="K36" s="60"/>
      <x:c r="O36" s="60"/>
    </x:row>
    <x:row r="37">
      <x:c r="J37" s="123"/>
      <x:c r="K37" s="60"/>
      <x:c r="O37" s="60"/>
    </x:row>
    <x:row r="38">
      <x:c r="J38" s="123"/>
      <x:c r="K38" s="60"/>
      <x:c r="O38" s="60"/>
    </x:row>
    <x:row r="39">
      <x:c r="J39" s="123"/>
      <x:c r="K39" s="60"/>
      <x:c r="O39" s="60"/>
    </x:row>
    <x:row r="40">
      <x:c r="J40" s="123"/>
      <x:c r="K40" s="60"/>
      <x:c r="O40" s="60"/>
    </x:row>
    <x:row r="41">
      <x:c r="J41" s="123"/>
      <x:c r="K41" s="60"/>
      <x:c r="O41" s="60"/>
    </x:row>
    <x:row r="42">
      <x:c r="J42" s="123"/>
      <x:c r="K42" s="60"/>
      <x:c r="O42" s="60"/>
    </x:row>
    <x:row r="43">
      <x:c r="J43" s="123"/>
      <x:c r="K43" s="60"/>
      <x:c r="O43" s="60"/>
    </x:row>
    <x:row r="44">
      <x:c r="J44" s="123"/>
      <x:c r="K44" s="60"/>
      <x:c r="O44" s="60"/>
    </x:row>
    <x:row r="45">
      <x:c r="J45" s="123"/>
      <x:c r="K45" s="60"/>
      <x:c r="O45" s="60"/>
    </x:row>
    <x:row r="46">
      <x:c r="J46" s="123"/>
      <x:c r="K46" s="60"/>
      <x:c r="O46" s="60"/>
    </x:row>
    <x:row r="47">
      <x:c r="J47" s="123"/>
      <x:c r="K47" s="60"/>
      <x:c r="O47" s="60"/>
    </x:row>
    <x:row r="48">
      <x:c r="J48" s="123"/>
      <x:c r="K48" s="60"/>
      <x:c r="O48" s="60"/>
    </x:row>
    <x:row r="49">
      <x:c r="J49" s="123"/>
      <x:c r="K49" s="60"/>
      <x:c r="O49" s="60"/>
    </x:row>
    <x:row r="50">
      <x:c r="J50" s="123"/>
      <x:c r="K50" s="60"/>
      <x:c r="O50" s="60"/>
    </x:row>
    <x:row r="51">
      <x:c r="J51" s="123"/>
      <x:c r="K51" s="60"/>
      <x:c r="O51" s="60"/>
    </x:row>
    <x:row r="52">
      <x:c r="J52" s="123"/>
      <x:c r="K52" s="60"/>
      <x:c r="O52" s="60"/>
    </x:row>
    <x:row r="53">
      <x:c r="J53" s="123"/>
      <x:c r="K53" s="60"/>
      <x:c r="O53" s="60"/>
    </x:row>
    <x:row r="54">
      <x:c r="J54" s="123"/>
      <x:c r="K54" s="60"/>
      <x:c r="O54" s="60"/>
    </x:row>
    <x:row r="55">
      <x:c r="J55" s="123"/>
      <x:c r="K55" s="60"/>
      <x:c r="O55" s="60"/>
    </x:row>
    <x:row r="56">
      <x:c r="J56" s="123"/>
      <x:c r="K56" s="60"/>
      <x:c r="O56" s="60"/>
    </x:row>
    <x:row r="57">
      <x:c r="J57" s="123"/>
      <x:c r="K57" s="60"/>
      <x:c r="O57" s="60"/>
    </x:row>
    <x:row r="58">
      <x:c r="J58" s="123"/>
      <x:c r="K58" s="60"/>
      <x:c r="O58" s="60"/>
    </x:row>
    <x:row r="59">
      <x:c r="J59" s="123"/>
      <x:c r="K59" s="60"/>
      <x:c r="O59" s="60"/>
    </x:row>
    <x:row r="60">
      <x:c r="J60" s="123"/>
      <x:c r="K60" s="60"/>
      <x:c r="O60" s="60"/>
    </x:row>
    <x:row r="61">
      <x:c r="J61" s="123"/>
      <x:c r="K61" s="60"/>
      <x:c r="O61" s="60"/>
    </x:row>
    <x:row r="62">
      <x:c r="J62" s="123"/>
      <x:c r="K62" s="60"/>
      <x:c r="O62" s="60"/>
    </x:row>
    <x:row r="63">
      <x:c r="J63" s="123"/>
      <x:c r="K63" s="60"/>
      <x:c r="O63" s="60"/>
    </x:row>
    <x:row r="64">
      <x:c r="J64" s="123"/>
      <x:c r="K64" s="60"/>
      <x:c r="O64" s="60"/>
    </x:row>
    <x:row r="65">
      <x:c r="J65" s="123"/>
      <x:c r="K65" s="60"/>
      <x:c r="O65" s="60"/>
    </x:row>
    <x:row r="66">
      <x:c r="J66" s="123"/>
      <x:c r="K66" s="60"/>
      <x:c r="O66" s="60"/>
    </x:row>
    <x:row r="67">
      <x:c r="J67" s="123"/>
      <x:c r="K67" s="60"/>
      <x:c r="O67" s="60"/>
    </x:row>
    <x:row r="68">
      <x:c r="J68" s="123"/>
      <x:c r="K68" s="60"/>
      <x:c r="O68" s="60"/>
    </x:row>
    <x:row r="69">
      <x:c r="J69" s="123"/>
      <x:c r="K69" s="60"/>
      <x:c r="O69" s="60"/>
    </x:row>
    <x:row r="70">
      <x:c r="J70" s="123"/>
      <x:c r="K70" s="60"/>
      <x:c r="O70" s="60"/>
    </x:row>
    <x:row r="71">
      <x:c r="J71" s="123"/>
      <x:c r="K71" s="60"/>
      <x:c r="O71" s="60"/>
    </x:row>
    <x:row r="72">
      <x:c r="J72" s="123"/>
      <x:c r="K72" s="60"/>
      <x:c r="O72" s="60"/>
    </x:row>
    <x:row r="73">
      <x:c r="J73" s="123"/>
      <x:c r="K73" s="60"/>
      <x:c r="O73" s="60"/>
    </x:row>
    <x:row r="74">
      <x:c r="J74" s="123"/>
      <x:c r="K74" s="60"/>
      <x:c r="O74" s="60"/>
    </x:row>
    <x:row r="75">
      <x:c r="J75" s="123"/>
      <x:c r="K75" s="60"/>
      <x:c r="O75" s="60"/>
    </x:row>
    <x:row r="76">
      <x:c r="J76" s="123"/>
      <x:c r="K76" s="60"/>
      <x:c r="O76" s="60"/>
    </x:row>
    <x:row r="77">
      <x:c r="J77" s="123"/>
      <x:c r="K77" s="60"/>
      <x:c r="O77" s="60"/>
    </x:row>
    <x:row r="78">
      <x:c r="J78" s="123"/>
      <x:c r="K78" s="60"/>
      <x:c r="O78" s="60"/>
    </x:row>
    <x:row r="79">
      <x:c r="J79" s="123"/>
      <x:c r="K79" s="60"/>
      <x:c r="O79" s="60"/>
    </x:row>
    <x:row r="80">
      <x:c r="J80" s="123"/>
      <x:c r="K80" s="60"/>
      <x:c r="O80" s="60"/>
    </x:row>
    <x:row r="81">
      <x:c r="J81" s="123"/>
      <x:c r="K81" s="60"/>
      <x:c r="O81" s="60"/>
    </x:row>
    <x:row r="82">
      <x:c r="J82" s="123"/>
      <x:c r="K82" s="60"/>
      <x:c r="O82" s="60"/>
    </x:row>
    <x:row r="83">
      <x:c r="J83" s="123"/>
      <x:c r="K83" s="60"/>
      <x:c r="O83" s="60"/>
    </x:row>
    <x:row r="84">
      <x:c r="J84" s="123"/>
      <x:c r="K84" s="60"/>
      <x:c r="O84" s="60"/>
    </x:row>
    <x:row r="85">
      <x:c r="J85" s="123"/>
      <x:c r="K85" s="60"/>
      <x:c r="O85" s="60"/>
    </x:row>
    <x:row r="86">
      <x:c r="J86" s="123"/>
      <x:c r="K86" s="60"/>
      <x:c r="O86" s="60"/>
    </x:row>
    <x:row r="87">
      <x:c r="J87" s="123"/>
      <x:c r="K87" s="60"/>
      <x:c r="O87" s="60"/>
    </x:row>
    <x:row r="88">
      <x:c r="J88" s="123"/>
      <x:c r="K88" s="60"/>
      <x:c r="O88" s="60"/>
    </x:row>
    <x:row r="89">
      <x:c r="J89" s="123"/>
      <x:c r="K89" s="60"/>
      <x:c r="O89" s="60"/>
    </x:row>
    <x:row r="90">
      <x:c r="J90" s="123"/>
      <x:c r="K90" s="60"/>
      <x:c r="O90" s="60"/>
    </x:row>
    <x:row r="91">
      <x:c r="J91" s="123"/>
      <x:c r="K91" s="60"/>
      <x:c r="O91" s="60"/>
    </x:row>
    <x:row r="92">
      <x:c r="J92" s="123"/>
      <x:c r="K92" s="60"/>
      <x:c r="O92" s="60"/>
    </x:row>
    <x:row r="93">
      <x:c r="J93" s="123"/>
      <x:c r="K93" s="60"/>
      <x:c r="O93" s="60"/>
    </x:row>
    <x:row r="94">
      <x:c r="J94" s="123"/>
      <x:c r="K94" s="60"/>
      <x:c r="O94" s="60"/>
    </x:row>
    <x:row r="95">
      <x:c r="J95" s="123"/>
      <x:c r="K95" s="60"/>
      <x:c r="O95" s="60"/>
    </x:row>
    <x:row r="96">
      <x:c r="J96" s="123"/>
      <x:c r="K96" s="60"/>
      <x:c r="O96" s="60"/>
    </x:row>
    <x:row r="97">
      <x:c r="J97" s="123"/>
      <x:c r="K97" s="60"/>
      <x:c r="O97" s="60"/>
    </x:row>
    <x:row r="98">
      <x:c r="J98" s="123"/>
      <x:c r="K98" s="60"/>
      <x:c r="O98" s="60"/>
    </x:row>
    <x:row r="99">
      <x:c r="J99" s="123"/>
      <x:c r="K99" s="60"/>
      <x:c r="O99" s="60"/>
    </x:row>
    <x:row r="100">
      <x:c r="J100" s="123"/>
      <x:c r="K100" s="60"/>
      <x:c r="O100" s="60"/>
    </x:row>
    <x:row r="101">
      <x:c r="J101" s="123"/>
      <x:c r="K101" s="60"/>
      <x:c r="O101" s="60"/>
    </x:row>
    <x:row r="102">
      <x:c r="J102" s="123"/>
      <x:c r="K102" s="60"/>
      <x:c r="O102" s="60"/>
    </x:row>
    <x:row r="103">
      <x:c r="J103" s="123"/>
      <x:c r="K103" s="60"/>
      <x:c r="O103" s="60"/>
    </x:row>
    <x:row r="104">
      <x:c r="J104" s="123"/>
      <x:c r="K104" s="60"/>
      <x:c r="O104" s="60"/>
    </x:row>
    <x:row r="105">
      <x:c r="J105" s="123"/>
      <x:c r="K105" s="60"/>
      <x:c r="O105" s="60"/>
    </x:row>
    <x:row r="106">
      <x:c r="J106" s="123"/>
      <x:c r="K106" s="60"/>
      <x:c r="O106" s="60"/>
    </x:row>
    <x:row r="107">
      <x:c r="J107" s="123"/>
      <x:c r="K107" s="60"/>
      <x:c r="O107" s="60"/>
    </x:row>
    <x:row r="108">
      <x:c r="J108" s="123"/>
      <x:c r="K108" s="60"/>
      <x:c r="O108" s="60"/>
    </x:row>
    <x:row r="109">
      <x:c r="J109" s="123"/>
      <x:c r="K109" s="60"/>
      <x:c r="O109" s="60"/>
    </x:row>
    <x:row r="110">
      <x:c r="J110" s="123"/>
      <x:c r="K110" s="60"/>
      <x:c r="O110" s="60"/>
    </x:row>
    <x:row r="111">
      <x:c r="J111" s="123"/>
      <x:c r="K111" s="60"/>
      <x:c r="O111" s="60"/>
    </x:row>
    <x:row r="112">
      <x:c r="J112" s="123"/>
      <x:c r="K112" s="60"/>
      <x:c r="O112" s="60"/>
    </x:row>
    <x:row r="113">
      <x:c r="J113" s="123"/>
      <x:c r="K113" s="60"/>
      <x:c r="O113" s="60"/>
    </x:row>
    <x:row r="114">
      <x:c r="J114" s="123"/>
      <x:c r="K114" s="60"/>
      <x:c r="O114" s="60"/>
    </x:row>
    <x:row r="115">
      <x:c r="J115" s="123"/>
      <x:c r="K115" s="60"/>
      <x:c r="O115" s="60"/>
    </x:row>
    <x:row r="116">
      <x:c r="J116" s="123"/>
      <x:c r="K116" s="60"/>
      <x:c r="O116" s="60"/>
    </x:row>
    <x:row r="117">
      <x:c r="J117" s="123"/>
      <x:c r="K117" s="60"/>
      <x:c r="O117" s="60"/>
    </x:row>
    <x:row r="118">
      <x:c r="J118" s="123"/>
      <x:c r="K118" s="60"/>
      <x:c r="O118" s="60"/>
    </x:row>
    <x:row r="119">
      <x:c r="J119" s="123"/>
      <x:c r="K119" s="60"/>
      <x:c r="O119" s="60"/>
    </x:row>
    <x:row r="120">
      <x:c r="J120" s="123"/>
      <x:c r="K120" s="60"/>
      <x:c r="O120" s="60"/>
    </x:row>
    <x:row r="121">
      <x:c r="J121" s="123"/>
      <x:c r="K121" s="60"/>
      <x:c r="O121" s="60"/>
    </x:row>
    <x:row r="122">
      <x:c r="J122" s="123"/>
      <x:c r="K122" s="60"/>
      <x:c r="O122" s="60"/>
    </x:row>
    <x:row r="123">
      <x:c r="J123" s="123"/>
      <x:c r="K123" s="60"/>
      <x:c r="O123" s="60"/>
    </x:row>
    <x:row r="124">
      <x:c r="J124" s="123"/>
      <x:c r="K124" s="60"/>
      <x:c r="O124" s="60"/>
    </x:row>
    <x:row r="125">
      <x:c r="J125" s="123"/>
      <x:c r="K125" s="60"/>
      <x:c r="O125" s="60"/>
    </x:row>
    <x:row r="126">
      <x:c r="J126" s="123"/>
      <x:c r="K126" s="60"/>
      <x:c r="O126" s="60"/>
    </x:row>
    <x:row r="127">
      <x:c r="J127" s="123"/>
      <x:c r="K127" s="60"/>
      <x:c r="O127" s="60"/>
    </x:row>
    <x:row r="128">
      <x:c r="J128" s="123"/>
      <x:c r="K128" s="60"/>
      <x:c r="O128" s="60"/>
    </x:row>
    <x:row r="129">
      <x:c r="J129" s="123"/>
      <x:c r="K129" s="60"/>
      <x:c r="O129" s="60"/>
    </x:row>
    <x:row r="130">
      <x:c r="J130" s="123"/>
      <x:c r="K130" s="60"/>
      <x:c r="O130" s="60"/>
    </x:row>
    <x:row r="131">
      <x:c r="J131" s="123"/>
      <x:c r="K131" s="60"/>
      <x:c r="O131" s="60"/>
    </x:row>
    <x:row r="132">
      <x:c r="J132" s="123"/>
      <x:c r="K132" s="60"/>
      <x:c r="O132" s="60"/>
    </x:row>
    <x:row r="133">
      <x:c r="J133" s="123"/>
      <x:c r="K133" s="60"/>
      <x:c r="O133" s="60"/>
    </x:row>
    <x:row r="134">
      <x:c r="J134" s="123"/>
      <x:c r="K134" s="60"/>
      <x:c r="O134" s="60"/>
    </x:row>
    <x:row r="135">
      <x:c r="J135" s="123"/>
      <x:c r="K135" s="60"/>
      <x:c r="O135" s="60"/>
    </x:row>
    <x:row r="136">
      <x:c r="J136" s="123"/>
      <x:c r="K136" s="60"/>
      <x:c r="O136" s="60"/>
    </x:row>
    <x:row r="137">
      <x:c r="J137" s="123"/>
      <x:c r="K137" s="60"/>
      <x:c r="O137" s="60"/>
    </x:row>
    <x:row r="138">
      <x:c r="J138" s="123"/>
      <x:c r="K138" s="60"/>
      <x:c r="O138" s="60"/>
    </x:row>
    <x:row r="139">
      <x:c r="J139" s="123"/>
      <x:c r="K139" s="60"/>
      <x:c r="O139" s="60"/>
    </x:row>
    <x:row r="140">
      <x:c r="J140" s="123"/>
      <x:c r="K140" s="60"/>
      <x:c r="O140" s="60"/>
    </x:row>
    <x:row r="141">
      <x:c r="J141" s="123"/>
      <x:c r="K141" s="60"/>
      <x:c r="O141" s="60"/>
    </x:row>
    <x:row r="142">
      <x:c r="J142" s="123"/>
      <x:c r="K142" s="60"/>
      <x:c r="O142" s="60"/>
    </x:row>
    <x:row r="143">
      <x:c r="J143" s="123"/>
      <x:c r="K143" s="60"/>
      <x:c r="O143" s="60"/>
    </x:row>
    <x:row r="144">
      <x:c r="J144" s="123"/>
      <x:c r="K144" s="60"/>
      <x:c r="O144" s="60"/>
    </x:row>
    <x:row r="145">
      <x:c r="J145" s="123"/>
      <x:c r="K145" s="60"/>
      <x:c r="O145" s="60"/>
    </x:row>
    <x:row r="146">
      <x:c r="J146" s="123"/>
      <x:c r="K146" s="60"/>
      <x:c r="O146" s="60"/>
    </x:row>
    <x:row r="147">
      <x:c r="J147" s="123"/>
      <x:c r="K147" s="60"/>
      <x:c r="O147" s="60"/>
    </x:row>
    <x:row r="148">
      <x:c r="J148" s="123"/>
      <x:c r="K148" s="60"/>
      <x:c r="O148" s="60"/>
    </x:row>
    <x:row r="149">
      <x:c r="J149" s="123"/>
      <x:c r="K149" s="60"/>
      <x:c r="O149" s="60"/>
    </x:row>
    <x:row r="150">
      <x:c r="J150" s="123"/>
      <x:c r="K150" s="60"/>
      <x:c r="O150" s="60"/>
    </x:row>
    <x:row r="151">
      <x:c r="J151" s="123"/>
      <x:c r="K151" s="60"/>
      <x:c r="O151" s="60"/>
    </x:row>
    <x:row r="152">
      <x:c r="J152" s="123"/>
      <x:c r="K152" s="60"/>
      <x:c r="O152" s="60"/>
    </x:row>
    <x:row r="153">
      <x:c r="J153" s="123"/>
      <x:c r="K153" s="60"/>
      <x:c r="O153" s="60"/>
    </x:row>
    <x:row r="154">
      <x:c r="J154" s="123"/>
      <x:c r="K154" s="60"/>
      <x:c r="O154" s="60"/>
    </x:row>
    <x:row r="155">
      <x:c r="J155" s="123"/>
      <x:c r="K155" s="60"/>
      <x:c r="O155" s="60"/>
    </x:row>
    <x:row r="156">
      <x:c r="J156" s="123"/>
      <x:c r="K156" s="60"/>
      <x:c r="O156" s="60"/>
    </x:row>
    <x:row r="157">
      <x:c r="J157" s="123"/>
      <x:c r="K157" s="60"/>
      <x:c r="O157" s="60"/>
    </x:row>
    <x:row r="158">
      <x:c r="J158" s="123"/>
      <x:c r="K158" s="60"/>
      <x:c r="O158" s="60"/>
    </x:row>
    <x:row r="159">
      <x:c r="J159" s="123"/>
      <x:c r="K159" s="60"/>
      <x:c r="O159" s="60"/>
    </x:row>
    <x:row r="160">
      <x:c r="J160" s="123"/>
      <x:c r="K160" s="60"/>
      <x:c r="O160" s="60"/>
    </x:row>
    <x:row r="161">
      <x:c r="J161" s="123"/>
      <x:c r="K161" s="60"/>
      <x:c r="O161" s="60"/>
    </x:row>
    <x:row r="162">
      <x:c r="J162" s="123"/>
      <x:c r="K162" s="60"/>
      <x:c r="O162" s="60"/>
    </x:row>
    <x:row r="163">
      <x:c r="J163" s="123"/>
      <x:c r="K163" s="60"/>
      <x:c r="O163" s="60"/>
    </x:row>
    <x:row r="164">
      <x:c r="J164" s="123"/>
      <x:c r="K164" s="60"/>
      <x:c r="O164" s="60"/>
    </x:row>
    <x:row r="165">
      <x:c r="J165" s="123"/>
      <x:c r="K165" s="60"/>
      <x:c r="O165" s="60"/>
    </x:row>
    <x:row r="166">
      <x:c r="J166" s="123"/>
      <x:c r="K166" s="60"/>
      <x:c r="O166" s="60"/>
    </x:row>
    <x:row r="167">
      <x:c r="J167" s="123"/>
      <x:c r="K167" s="60"/>
      <x:c r="O167" s="60"/>
    </x:row>
    <x:row r="168">
      <x:c r="J168" s="123"/>
      <x:c r="K168" s="60"/>
      <x:c r="O168" s="60"/>
    </x:row>
    <x:row r="169">
      <x:c r="J169" s="123"/>
      <x:c r="K169" s="60"/>
      <x:c r="O169" s="60"/>
    </x:row>
    <x:row r="170">
      <x:c r="J170" s="123"/>
      <x:c r="K170" s="60"/>
      <x:c r="O170" s="60"/>
    </x:row>
    <x:row r="171">
      <x:c r="J171" s="123"/>
      <x:c r="K171" s="60"/>
      <x:c r="O171" s="60"/>
    </x:row>
    <x:row r="172">
      <x:c r="J172" s="123"/>
      <x:c r="K172" s="60"/>
      <x:c r="O172" s="60"/>
    </x:row>
    <x:row r="173">
      <x:c r="J173" s="123"/>
      <x:c r="K173" s="60"/>
      <x:c r="O173" s="60"/>
    </x:row>
    <x:row r="174">
      <x:c r="J174" s="123"/>
      <x:c r="K174" s="60"/>
      <x:c r="O174" s="60"/>
    </x:row>
    <x:row r="175">
      <x:c r="J175" s="123"/>
      <x:c r="K175" s="60"/>
      <x:c r="O175" s="60"/>
    </x:row>
    <x:row r="176">
      <x:c r="J176" s="123"/>
      <x:c r="K176" s="60"/>
      <x:c r="O176" s="60"/>
    </x:row>
    <x:row r="177">
      <x:c r="J177" s="123"/>
      <x:c r="K177" s="60"/>
      <x:c r="O177" s="60"/>
    </x:row>
    <x:row r="178">
      <x:c r="J178" s="123"/>
      <x:c r="K178" s="60"/>
      <x:c r="O178" s="60"/>
    </x:row>
    <x:row r="179">
      <x:c r="J179" s="123"/>
      <x:c r="K179" s="60"/>
      <x:c r="O179" s="60"/>
    </x:row>
    <x:row r="180">
      <x:c r="J180" s="123"/>
      <x:c r="K180" s="60"/>
      <x:c r="O180" s="60"/>
    </x:row>
    <x:row r="181">
      <x:c r="J181" s="123"/>
      <x:c r="K181" s="60"/>
      <x:c r="O181" s="60"/>
    </x:row>
    <x:row r="182">
      <x:c r="J182" s="123"/>
      <x:c r="K182" s="60"/>
      <x:c r="O182" s="60"/>
    </x:row>
    <x:row r="183">
      <x:c r="J183" s="123"/>
      <x:c r="K183" s="60"/>
      <x:c r="O183" s="60"/>
    </x:row>
    <x:row r="184">
      <x:c r="J184" s="123"/>
      <x:c r="K184" s="60"/>
      <x:c r="O184" s="60"/>
    </x:row>
    <x:row r="185">
      <x:c r="J185" s="123"/>
      <x:c r="K185" s="60"/>
      <x:c r="O185" s="60"/>
    </x:row>
    <x:row r="186">
      <x:c r="J186" s="123"/>
      <x:c r="K186" s="60"/>
      <x:c r="O186" s="60"/>
    </x:row>
    <x:row r="187">
      <x:c r="J187" s="123"/>
      <x:c r="K187" s="60"/>
      <x:c r="O187" s="60"/>
    </x:row>
    <x:row r="188">
      <x:c r="J188" s="123"/>
      <x:c r="K188" s="60"/>
      <x:c r="O188" s="60"/>
    </x:row>
    <x:row r="189">
      <x:c r="J189" s="123"/>
      <x:c r="K189" s="60"/>
      <x:c r="O189" s="60"/>
    </x:row>
    <x:row r="190">
      <x:c r="J190" s="123"/>
      <x:c r="K190" s="60"/>
      <x:c r="O190" s="60"/>
    </x:row>
    <x:row r="191">
      <x:c r="J191" s="123"/>
      <x:c r="K191" s="60"/>
      <x:c r="O191" s="60"/>
    </x:row>
    <x:row r="192">
      <x:c r="J192" s="123"/>
      <x:c r="K192" s="60"/>
      <x:c r="O192" s="60"/>
    </x:row>
    <x:row r="193">
      <x:c r="J193" s="123"/>
      <x:c r="K193" s="60"/>
      <x:c r="O193" s="60"/>
    </x:row>
    <x:row r="194">
      <x:c r="J194" s="123"/>
      <x:c r="K194" s="60"/>
      <x:c r="O194" s="60"/>
    </x:row>
    <x:row r="195">
      <x:c r="J195" s="123"/>
      <x:c r="K195" s="60"/>
      <x:c r="O195" s="60"/>
    </x:row>
    <x:row r="196">
      <x:c r="J196" s="123"/>
      <x:c r="K196" s="60"/>
      <x:c r="O196" s="60"/>
    </x:row>
    <x:row r="197">
      <x:c r="J197" s="123"/>
      <x:c r="K197" s="60"/>
      <x:c r="O197" s="60"/>
    </x:row>
    <x:row r="198">
      <x:c r="J198" s="123"/>
      <x:c r="K198" s="60"/>
      <x:c r="O198" s="60"/>
    </x:row>
    <x:row r="199">
      <x:c r="J199" s="123"/>
      <x:c r="K199" s="60"/>
      <x:c r="O199" s="60"/>
    </x:row>
    <x:row r="200">
      <x:c r="J200" s="123"/>
      <x:c r="K200" s="60"/>
      <x:c r="O200" s="60"/>
    </x:row>
    <x:row r="201">
      <x:c r="J201" s="123"/>
      <x:c r="K201" s="60"/>
      <x:c r="O201" s="60"/>
    </x:row>
    <x:row r="202">
      <x:c r="J202" s="123"/>
      <x:c r="K202" s="60"/>
      <x:c r="O202" s="60"/>
    </x:row>
    <x:row r="203">
      <x:c r="J203" s="123"/>
      <x:c r="K203" s="60"/>
      <x:c r="O203" s="60"/>
    </x:row>
    <x:row r="204">
      <x:c r="J204" s="123"/>
      <x:c r="K204" s="60"/>
      <x:c r="O204" s="60"/>
    </x:row>
    <x:row r="205">
      <x:c r="J205" s="123"/>
      <x:c r="K205" s="60"/>
      <x:c r="O205" s="60"/>
    </x:row>
    <x:row r="206">
      <x:c r="J206" s="123"/>
      <x:c r="K206" s="60"/>
      <x:c r="O206" s="60"/>
    </x:row>
    <x:row r="207">
      <x:c r="J207" s="123"/>
      <x:c r="K207" s="60"/>
      <x:c r="O207" s="60"/>
    </x:row>
    <x:row r="208">
      <x:c r="J208" s="123"/>
      <x:c r="K208" s="60"/>
      <x:c r="O208" s="60"/>
    </x:row>
    <x:row r="209">
      <x:c r="J209" s="123"/>
      <x:c r="K209" s="60"/>
      <x:c r="O209" s="60"/>
    </x:row>
    <x:row r="210">
      <x:c r="J210" s="123"/>
      <x:c r="K210" s="60"/>
      <x:c r="O210" s="60"/>
    </x:row>
    <x:row r="211">
      <x:c r="J211" s="123"/>
      <x:c r="K211" s="60"/>
      <x:c r="O211" s="60"/>
    </x:row>
    <x:row r="212">
      <x:c r="J212" s="123"/>
      <x:c r="K212" s="60"/>
      <x:c r="O212" s="60"/>
    </x:row>
    <x:row r="213">
      <x:c r="J213" s="123"/>
      <x:c r="K213" s="60"/>
      <x:c r="O213" s="60"/>
    </x:row>
    <x:row r="214">
      <x:c r="J214" s="123"/>
      <x:c r="K214" s="60"/>
      <x:c r="O214" s="60"/>
    </x:row>
    <x:row r="215">
      <x:c r="J215" s="123"/>
      <x:c r="K215" s="60"/>
      <x:c r="O215" s="60"/>
    </x:row>
    <x:row r="216">
      <x:c r="J216" s="123"/>
      <x:c r="K216" s="60"/>
      <x:c r="O216" s="60"/>
    </x:row>
    <x:row r="217">
      <x:c r="J217" s="123"/>
      <x:c r="K217" s="60"/>
      <x:c r="O217" s="60"/>
    </x:row>
    <x:row r="218">
      <x:c r="J218" s="123"/>
      <x:c r="K218" s="60"/>
      <x:c r="O218" s="60"/>
    </x:row>
    <x:row r="219">
      <x:c r="J219" s="123"/>
      <x:c r="K219" s="60"/>
      <x:c r="O219" s="60"/>
    </x:row>
    <x:row r="220">
      <x:c r="J220" s="123"/>
      <x:c r="K220" s="60"/>
      <x:c r="O220" s="60"/>
    </x:row>
    <x:row r="221">
      <x:c r="J221" s="123"/>
      <x:c r="K221" s="60"/>
      <x:c r="O221" s="60"/>
    </x:row>
    <x:row r="222">
      <x:c r="J222" s="123"/>
      <x:c r="K222" s="60"/>
      <x:c r="O222" s="60"/>
    </x:row>
    <x:row r="223">
      <x:c r="J223" s="123"/>
      <x:c r="K223" s="60"/>
      <x:c r="O223" s="60"/>
    </x:row>
    <x:row r="224">
      <x:c r="J224" s="123"/>
      <x:c r="K224" s="60"/>
      <x:c r="O224" s="60"/>
    </x:row>
    <x:row r="225">
      <x:c r="J225" s="123"/>
      <x:c r="K225" s="60"/>
      <x:c r="O225" s="60"/>
    </x:row>
    <x:row r="226">
      <x:c r="J226" s="123"/>
      <x:c r="K226" s="60"/>
      <x:c r="O226" s="60"/>
    </x:row>
    <x:row r="227">
      <x:c r="J227" s="123"/>
      <x:c r="K227" s="60"/>
      <x:c r="O227" s="60"/>
    </x:row>
    <x:row r="228">
      <x:c r="J228" s="123"/>
      <x:c r="K228" s="60"/>
      <x:c r="O228" s="60"/>
    </x:row>
    <x:row r="229">
      <x:c r="J229" s="123"/>
      <x:c r="K229" s="60"/>
      <x:c r="O229" s="60"/>
    </x:row>
    <x:row r="230">
      <x:c r="J230" s="123"/>
      <x:c r="K230" s="60"/>
      <x:c r="O230" s="60"/>
    </x:row>
    <x:row r="231">
      <x:c r="J231" s="123"/>
      <x:c r="K231" s="60"/>
      <x:c r="O231" s="60"/>
    </x:row>
    <x:row r="232">
      <x:c r="J232" s="123"/>
      <x:c r="K232" s="60"/>
      <x:c r="O232" s="60"/>
    </x:row>
    <x:row r="233">
      <x:c r="J233" s="123"/>
      <x:c r="K233" s="60"/>
      <x:c r="O233" s="60"/>
    </x:row>
    <x:row r="234">
      <x:c r="J234" s="123"/>
      <x:c r="K234" s="60"/>
      <x:c r="O234" s="60"/>
    </x:row>
    <x:row r="235">
      <x:c r="J235" s="123"/>
      <x:c r="K235" s="60"/>
      <x:c r="O235" s="60"/>
    </x:row>
    <x:row r="236">
      <x:c r="J236" s="123"/>
      <x:c r="K236" s="60"/>
      <x:c r="O236" s="60"/>
    </x:row>
    <x:row r="237">
      <x:c r="J237" s="123"/>
      <x:c r="K237" s="60"/>
      <x:c r="O237" s="60"/>
    </x:row>
    <x:row r="238">
      <x:c r="J238" s="123"/>
      <x:c r="K238" s="60"/>
      <x:c r="O238" s="60"/>
    </x:row>
    <x:row r="239">
      <x:c r="J239" s="123"/>
      <x:c r="K239" s="60"/>
      <x:c r="O239" s="60"/>
    </x:row>
    <x:row r="240">
      <x:c r="J240" s="123"/>
      <x:c r="K240" s="60"/>
      <x:c r="O240" s="60"/>
    </x:row>
    <x:row r="241">
      <x:c r="J241" s="123"/>
      <x:c r="K241" s="60"/>
      <x:c r="O241" s="60"/>
    </x:row>
    <x:row r="242">
      <x:c r="J242" s="123"/>
      <x:c r="K242" s="60"/>
      <x:c r="O242" s="60"/>
    </x:row>
    <x:row r="243">
      <x:c r="J243" s="123"/>
      <x:c r="K243" s="60"/>
      <x:c r="O243" s="60"/>
    </x:row>
    <x:row r="244">
      <x:c r="J244" s="123"/>
      <x:c r="K244" s="60"/>
      <x:c r="O244" s="60"/>
    </x:row>
    <x:row r="245">
      <x:c r="J245" s="123"/>
      <x:c r="K245" s="60"/>
      <x:c r="O245" s="60"/>
    </x:row>
    <x:row r="246">
      <x:c r="J246" s="123"/>
      <x:c r="K246" s="60"/>
      <x:c r="O246" s="60"/>
    </x:row>
    <x:row r="247">
      <x:c r="J247" s="123"/>
      <x:c r="K247" s="60"/>
      <x:c r="O247" s="60"/>
    </x:row>
    <x:row r="248">
      <x:c r="J248" s="123"/>
      <x:c r="K248" s="60"/>
      <x:c r="O248" s="60"/>
    </x:row>
    <x:row r="249">
      <x:c r="J249" s="123"/>
      <x:c r="K249" s="60"/>
      <x:c r="O249" s="60"/>
    </x:row>
    <x:row r="250">
      <x:c r="J250" s="123"/>
      <x:c r="K250" s="60"/>
      <x:c r="O250" s="60"/>
    </x:row>
    <x:row r="251">
      <x:c r="J251" s="123"/>
      <x:c r="K251" s="60"/>
      <x:c r="O251" s="60"/>
    </x:row>
    <x:row r="252">
      <x:c r="J252" s="123"/>
      <x:c r="K252" s="60"/>
      <x:c r="O252" s="60"/>
    </x:row>
    <x:row r="253">
      <x:c r="J253" s="123"/>
      <x:c r="K253" s="60"/>
      <x:c r="O253" s="60"/>
    </x:row>
    <x:row r="254">
      <x:c r="J254" s="123"/>
      <x:c r="K254" s="60"/>
      <x:c r="O254" s="60"/>
    </x:row>
    <x:row r="255">
      <x:c r="J255" s="123"/>
      <x:c r="K255" s="60"/>
      <x:c r="O255" s="60"/>
    </x:row>
    <x:row r="256">
      <x:c r="J256" s="123"/>
      <x:c r="K256" s="60"/>
      <x:c r="O256" s="60"/>
    </x:row>
    <x:row r="257">
      <x:c r="J257" s="123"/>
      <x:c r="K257" s="60"/>
      <x:c r="O257" s="60"/>
    </x:row>
    <x:row r="258">
      <x:c r="J258" s="123"/>
      <x:c r="K258" s="60"/>
      <x:c r="O258" s="60"/>
    </x:row>
    <x:row r="259">
      <x:c r="J259" s="123"/>
      <x:c r="K259" s="60"/>
      <x:c r="O259" s="60"/>
    </x:row>
    <x:row r="260">
      <x:c r="J260" s="123"/>
      <x:c r="K260" s="60"/>
      <x:c r="O260" s="60"/>
    </x:row>
    <x:row r="261">
      <x:c r="J261" s="123"/>
      <x:c r="K261" s="60"/>
      <x:c r="O261" s="60"/>
    </x:row>
    <x:row r="262">
      <x:c r="J262" s="123"/>
      <x:c r="K262" s="60"/>
      <x:c r="O262" s="60"/>
    </x:row>
    <x:row r="263">
      <x:c r="J263" s="123"/>
      <x:c r="K263" s="60"/>
      <x:c r="O263" s="60"/>
    </x:row>
    <x:row r="264">
      <x:c r="J264" s="123"/>
      <x:c r="K264" s="60"/>
      <x:c r="O264" s="60"/>
    </x:row>
    <x:row r="265">
      <x:c r="J265" s="123"/>
      <x:c r="K265" s="60"/>
      <x:c r="O265" s="60"/>
    </x:row>
    <x:row r="266">
      <x:c r="J266" s="123"/>
      <x:c r="K266" s="60"/>
      <x:c r="O266" s="60"/>
    </x:row>
    <x:row r="267">
      <x:c r="J267" s="123"/>
      <x:c r="K267" s="60"/>
      <x:c r="O267" s="60"/>
    </x:row>
    <x:row r="268">
      <x:c r="J268" s="123"/>
      <x:c r="K268" s="60"/>
      <x:c r="O268" s="60"/>
    </x:row>
    <x:row r="269">
      <x:c r="J269" s="123"/>
      <x:c r="K269" s="60"/>
      <x:c r="O269" s="60"/>
    </x:row>
    <x:row r="270">
      <x:c r="J270" s="123"/>
      <x:c r="K270" s="60"/>
      <x:c r="O270" s="60"/>
    </x:row>
    <x:row r="271">
      <x:c r="J271" s="123"/>
      <x:c r="K271" s="60"/>
      <x:c r="O271" s="60"/>
    </x:row>
    <x:row r="272">
      <x:c r="J272" s="123"/>
      <x:c r="K272" s="60"/>
      <x:c r="O272" s="60"/>
    </x:row>
    <x:row r="273">
      <x:c r="J273" s="123"/>
      <x:c r="K273" s="60"/>
      <x:c r="O273" s="60"/>
    </x:row>
    <x:row r="274">
      <x:c r="J274" s="123"/>
      <x:c r="K274" s="60"/>
      <x:c r="O274" s="60"/>
    </x:row>
    <x:row r="275">
      <x:c r="J275" s="123"/>
      <x:c r="K275" s="60"/>
      <x:c r="O275" s="60"/>
    </x:row>
    <x:row r="276">
      <x:c r="J276" s="123"/>
      <x:c r="K276" s="60"/>
      <x:c r="O276" s="60"/>
    </x:row>
    <x:row r="277">
      <x:c r="J277" s="123"/>
      <x:c r="K277" s="60"/>
      <x:c r="O277" s="60"/>
    </x:row>
    <x:row r="278">
      <x:c r="J278" s="123"/>
      <x:c r="K278" s="60"/>
      <x:c r="O278" s="60"/>
    </x:row>
    <x:row r="279">
      <x:c r="J279" s="123"/>
      <x:c r="K279" s="60"/>
      <x:c r="O279" s="60"/>
    </x:row>
    <x:row r="280">
      <x:c r="J280" s="123"/>
      <x:c r="K280" s="60"/>
      <x:c r="O280" s="60"/>
    </x:row>
    <x:row r="281">
      <x:c r="J281" s="123"/>
      <x:c r="K281" s="60"/>
      <x:c r="O281" s="60"/>
    </x:row>
    <x:row r="282">
      <x:c r="J282" s="123"/>
      <x:c r="K282" s="60"/>
      <x:c r="O282" s="60"/>
    </x:row>
    <x:row r="283">
      <x:c r="J283" s="123"/>
      <x:c r="K283" s="60"/>
      <x:c r="O283" s="60"/>
    </x:row>
    <x:row r="284">
      <x:c r="J284" s="123"/>
      <x:c r="K284" s="60"/>
      <x:c r="O284" s="60"/>
    </x:row>
    <x:row r="285">
      <x:c r="J285" s="123"/>
      <x:c r="K285" s="60"/>
      <x:c r="O285" s="60"/>
    </x:row>
    <x:row r="286">
      <x:c r="J286" s="123"/>
      <x:c r="K286" s="60"/>
      <x:c r="O286" s="60"/>
    </x:row>
    <x:row r="287">
      <x:c r="J287" s="123"/>
      <x:c r="K287" s="60"/>
      <x:c r="O287" s="60"/>
    </x:row>
    <x:row r="288">
      <x:c r="J288" s="123"/>
      <x:c r="K288" s="60"/>
      <x:c r="O288" s="60"/>
    </x:row>
    <x:row r="289">
      <x:c r="J289" s="123"/>
      <x:c r="K289" s="60"/>
      <x:c r="O289" s="60"/>
    </x:row>
    <x:row r="290">
      <x:c r="J290" s="123"/>
      <x:c r="K290" s="60"/>
      <x:c r="O290" s="60"/>
    </x:row>
    <x:row r="291">
      <x:c r="J291" s="123"/>
      <x:c r="K291" s="60"/>
      <x:c r="O291" s="60"/>
    </x:row>
    <x:row r="292">
      <x:c r="J292" s="123"/>
      <x:c r="K292" s="60"/>
      <x:c r="O292" s="60"/>
    </x:row>
    <x:row r="293">
      <x:c r="J293" s="123"/>
      <x:c r="K293" s="60"/>
      <x:c r="O293" s="60"/>
    </x:row>
    <x:row r="294">
      <x:c r="J294" s="123"/>
      <x:c r="K294" s="60"/>
      <x:c r="O294" s="60"/>
    </x:row>
    <x:row r="295">
      <x:c r="J295" s="123"/>
      <x:c r="K295" s="60"/>
      <x:c r="O295" s="60"/>
    </x:row>
    <x:row r="296">
      <x:c r="J296" s="123"/>
      <x:c r="K296" s="60"/>
      <x:c r="O296" s="60"/>
    </x:row>
    <x:row r="297">
      <x:c r="J297" s="123"/>
      <x:c r="K297" s="60"/>
      <x:c r="O297" s="60"/>
    </x:row>
    <x:row r="298">
      <x:c r="J298" s="123"/>
      <x:c r="K298" s="60"/>
      <x:c r="O298" s="60"/>
    </x:row>
    <x:row r="299">
      <x:c r="J299" s="123"/>
      <x:c r="K299" s="60"/>
      <x:c r="O299" s="60"/>
    </x:row>
    <x:row r="300">
      <x:c r="J300" s="123"/>
      <x:c r="K300" s="60"/>
      <x:c r="O300" s="60"/>
    </x:row>
    <x:row r="301">
      <x:c r="J301" s="123"/>
      <x:c r="K301" s="60"/>
      <x:c r="O301" s="60"/>
    </x:row>
    <x:row r="302">
      <x:c r="J302" s="123"/>
      <x:c r="K302" s="60"/>
      <x:c r="O302" s="60"/>
    </x:row>
    <x:row r="303">
      <x:c r="J303" s="123"/>
      <x:c r="K303" s="60"/>
      <x:c r="O303" s="60"/>
    </x:row>
    <x:row r="304">
      <x:c r="J304" s="123"/>
      <x:c r="K304" s="60"/>
      <x:c r="O304" s="60"/>
    </x:row>
    <x:row r="305">
      <x:c r="J305" s="123"/>
      <x:c r="K305" s="60"/>
      <x:c r="O305" s="60"/>
    </x:row>
    <x:row r="306">
      <x:c r="J306" s="123"/>
      <x:c r="K306" s="60"/>
      <x:c r="O306" s="60"/>
    </x:row>
    <x:row r="307">
      <x:c r="J307" s="123"/>
      <x:c r="K307" s="60"/>
      <x:c r="O307" s="60"/>
    </x:row>
    <x:row r="308">
      <x:c r="J308" s="123"/>
      <x:c r="K308" s="60"/>
      <x:c r="O308" s="60"/>
    </x:row>
    <x:row r="309">
      <x:c r="J309" s="123"/>
      <x:c r="K309" s="60"/>
      <x:c r="O309" s="60"/>
    </x:row>
    <x:row r="310">
      <x:c r="J310" s="123"/>
      <x:c r="K310" s="60"/>
      <x:c r="O310" s="60"/>
    </x:row>
    <x:row r="311">
      <x:c r="J311" s="123"/>
      <x:c r="K311" s="60"/>
      <x:c r="O311" s="60"/>
    </x:row>
    <x:row r="312">
      <x:c r="J312" s="123"/>
      <x:c r="K312" s="60"/>
      <x:c r="O312" s="60"/>
    </x:row>
    <x:row r="313">
      <x:c r="J313" s="123"/>
      <x:c r="K313" s="60"/>
      <x:c r="O313" s="60"/>
    </x:row>
    <x:row r="314">
      <x:c r="J314" s="123"/>
      <x:c r="K314" s="60"/>
      <x:c r="O314" s="60"/>
    </x:row>
    <x:row r="315">
      <x:c r="J315" s="123"/>
      <x:c r="K315" s="60"/>
      <x:c r="O315" s="60"/>
    </x:row>
    <x:row r="316">
      <x:c r="J316" s="123"/>
      <x:c r="K316" s="60"/>
      <x:c r="O316" s="60"/>
    </x:row>
    <x:row r="317">
      <x:c r="J317" s="123"/>
      <x:c r="K317" s="60"/>
      <x:c r="O317" s="60"/>
    </x:row>
    <x:row r="318">
      <x:c r="J318" s="123"/>
      <x:c r="K318" s="60"/>
      <x:c r="O318" s="60"/>
    </x:row>
    <x:row r="319">
      <x:c r="J319" s="123"/>
      <x:c r="K319" s="60"/>
      <x:c r="O319" s="60"/>
    </x:row>
    <x:row r="320">
      <x:c r="J320" s="123"/>
      <x:c r="K320" s="60"/>
      <x:c r="O320" s="60"/>
    </x:row>
    <x:row r="321">
      <x:c r="J321" s="123"/>
      <x:c r="K321" s="60"/>
      <x:c r="O321" s="60"/>
    </x:row>
    <x:row r="322">
      <x:c r="J322" s="123"/>
      <x:c r="K322" s="60"/>
      <x:c r="O322" s="60"/>
    </x:row>
    <x:row r="323">
      <x:c r="J323" s="123"/>
      <x:c r="K323" s="60"/>
      <x:c r="O323" s="60"/>
    </x:row>
    <x:row r="324">
      <x:c r="J324" s="123"/>
      <x:c r="K324" s="60"/>
      <x:c r="O324" s="60"/>
    </x:row>
    <x:row r="325">
      <x:c r="J325" s="123"/>
      <x:c r="K325" s="60"/>
      <x:c r="O325" s="60"/>
    </x:row>
    <x:row r="326">
      <x:c r="J326" s="123"/>
      <x:c r="K326" s="60"/>
      <x:c r="O326" s="60"/>
    </x:row>
    <x:row r="327">
      <x:c r="J327" s="123"/>
      <x:c r="K327" s="60"/>
      <x:c r="O327" s="60"/>
    </x:row>
    <x:row r="328">
      <x:c r="J328" s="123"/>
      <x:c r="K328" s="60"/>
      <x:c r="O328" s="60"/>
    </x:row>
    <x:row r="329">
      <x:c r="J329" s="123"/>
      <x:c r="K329" s="60"/>
      <x:c r="O329" s="60"/>
    </x:row>
    <x:row r="330">
      <x:c r="J330" s="123"/>
      <x:c r="K330" s="60"/>
      <x:c r="O330" s="60"/>
    </x:row>
    <x:row r="331">
      <x:c r="J331" s="123"/>
      <x:c r="K331" s="60"/>
      <x:c r="O331" s="60"/>
    </x:row>
    <x:row r="332">
      <x:c r="J332" s="123"/>
      <x:c r="K332" s="60"/>
      <x:c r="O332" s="60"/>
    </x:row>
    <x:row r="333">
      <x:c r="J333" s="123"/>
      <x:c r="K333" s="60"/>
      <x:c r="O333" s="60"/>
    </x:row>
    <x:row r="334">
      <x:c r="J334" s="123"/>
      <x:c r="K334" s="60"/>
      <x:c r="O334" s="60"/>
    </x:row>
    <x:row r="335">
      <x:c r="J335" s="123"/>
      <x:c r="K335" s="60"/>
      <x:c r="O335" s="60"/>
    </x:row>
    <x:row r="336">
      <x:c r="J336" s="123"/>
      <x:c r="K336" s="60"/>
      <x:c r="O336" s="60"/>
    </x:row>
    <x:row r="337">
      <x:c r="J337" s="123"/>
      <x:c r="K337" s="60"/>
      <x:c r="O337" s="60"/>
    </x:row>
    <x:row r="338">
      <x:c r="J338" s="123"/>
      <x:c r="K338" s="60"/>
      <x:c r="O338" s="60"/>
    </x:row>
    <x:row r="339">
      <x:c r="J339" s="123"/>
      <x:c r="K339" s="60"/>
      <x:c r="O339" s="60"/>
    </x:row>
    <x:row r="340">
      <x:c r="J340" s="123"/>
      <x:c r="K340" s="60"/>
      <x:c r="O340" s="60"/>
    </x:row>
    <x:row r="341">
      <x:c r="J341" s="123"/>
      <x:c r="K341" s="60"/>
      <x:c r="O341" s="60"/>
    </x:row>
    <x:row r="342">
      <x:c r="J342" s="123"/>
      <x:c r="K342" s="60"/>
      <x:c r="O342" s="60"/>
    </x:row>
    <x:row r="343">
      <x:c r="J343" s="123"/>
      <x:c r="K343" s="60"/>
      <x:c r="O343" s="60"/>
    </x:row>
    <x:row r="344">
      <x:c r="J344" s="123"/>
      <x:c r="K344" s="60"/>
      <x:c r="O344" s="60"/>
    </x:row>
    <x:row r="345">
      <x:c r="J345" s="123"/>
      <x:c r="K345" s="60"/>
      <x:c r="O345" s="60"/>
    </x:row>
    <x:row r="346">
      <x:c r="J346" s="123"/>
      <x:c r="K346" s="60"/>
      <x:c r="O346" s="60"/>
    </x:row>
    <x:row r="347">
      <x:c r="J347" s="123"/>
      <x:c r="K347" s="60"/>
      <x:c r="O347" s="60"/>
    </x:row>
    <x:row r="348">
      <x:c r="J348" s="123"/>
      <x:c r="K348" s="60"/>
      <x:c r="O348" s="60"/>
    </x:row>
    <x:row r="349">
      <x:c r="J349" s="123"/>
      <x:c r="K349" s="60"/>
      <x:c r="O349" s="60"/>
    </x:row>
    <x:row r="350">
      <x:c r="J350" s="123"/>
      <x:c r="K350" s="60"/>
      <x:c r="O350" s="60"/>
    </x:row>
    <x:row r="351">
      <x:c r="J351" s="123"/>
      <x:c r="K351" s="60"/>
      <x:c r="O351" s="60"/>
    </x:row>
    <x:row r="352">
      <x:c r="J352" s="123"/>
      <x:c r="K352" s="60"/>
      <x:c r="O352" s="60"/>
    </x:row>
    <x:row r="353">
      <x:c r="J353" s="123"/>
      <x:c r="K353" s="60"/>
      <x:c r="O353" s="60"/>
    </x:row>
    <x:row r="354">
      <x:c r="J354" s="123"/>
      <x:c r="K354" s="60"/>
      <x:c r="O354" s="60"/>
    </x:row>
    <x:row r="355">
      <x:c r="J355" s="123"/>
      <x:c r="K355" s="60"/>
      <x:c r="O355" s="60"/>
    </x:row>
    <x:row r="356">
      <x:c r="J356" s="123"/>
      <x:c r="K356" s="60"/>
      <x:c r="O356" s="60"/>
    </x:row>
    <x:row r="357">
      <x:c r="J357" s="123"/>
      <x:c r="K357" s="60"/>
      <x:c r="O357" s="60"/>
    </x:row>
    <x:row r="358">
      <x:c r="J358" s="123"/>
      <x:c r="K358" s="60"/>
      <x:c r="O358" s="60"/>
    </x:row>
    <x:row r="359">
      <x:c r="J359" s="123"/>
      <x:c r="K359" s="60"/>
      <x:c r="O359" s="60"/>
    </x:row>
    <x:row r="360">
      <x:c r="J360" s="123"/>
      <x:c r="K360" s="60"/>
      <x:c r="O360" s="60"/>
    </x:row>
    <x:row r="361">
      <x:c r="J361" s="123"/>
      <x:c r="K361" s="60"/>
      <x:c r="O361" s="60"/>
    </x:row>
    <x:row r="362">
      <x:c r="J362" s="123"/>
      <x:c r="K362" s="60"/>
      <x:c r="O362" s="60"/>
    </x:row>
    <x:row r="363">
      <x:c r="J363" s="123"/>
      <x:c r="K363" s="60"/>
      <x:c r="O363" s="60"/>
    </x:row>
    <x:row r="364">
      <x:c r="J364" s="123"/>
      <x:c r="K364" s="60"/>
      <x:c r="O364" s="60"/>
    </x:row>
    <x:row r="365">
      <x:c r="J365" s="123"/>
      <x:c r="K365" s="60"/>
      <x:c r="O365" s="60"/>
    </x:row>
    <x:row r="366">
      <x:c r="J366" s="123"/>
      <x:c r="K366" s="60"/>
      <x:c r="O366" s="60"/>
    </x:row>
    <x:row r="367">
      <x:c r="J367" s="123"/>
      <x:c r="K367" s="60"/>
      <x:c r="O367" s="60"/>
    </x:row>
    <x:row r="368">
      <x:c r="J368" s="123"/>
      <x:c r="K368" s="60"/>
      <x:c r="O368" s="60"/>
    </x:row>
    <x:row r="369">
      <x:c r="J369" s="123"/>
      <x:c r="K369" s="60"/>
      <x:c r="O369" s="60"/>
    </x:row>
    <x:row r="370">
      <x:c r="J370" s="123"/>
      <x:c r="K370" s="60"/>
      <x:c r="O370" s="60"/>
    </x:row>
    <x:row r="371">
      <x:c r="J371" s="123"/>
      <x:c r="K371" s="60"/>
      <x:c r="O371" s="60"/>
    </x:row>
    <x:row r="372">
      <x:c r="J372" s="123"/>
      <x:c r="K372" s="60"/>
      <x:c r="O372" s="60"/>
    </x:row>
    <x:row r="373">
      <x:c r="J373" s="123"/>
      <x:c r="K373" s="60"/>
      <x:c r="O373" s="60"/>
    </x:row>
    <x:row r="374">
      <x:c r="J374" s="123"/>
      <x:c r="K374" s="60"/>
      <x:c r="O374" s="60"/>
    </x:row>
    <x:row r="375">
      <x:c r="J375" s="123"/>
      <x:c r="K375" s="60"/>
      <x:c r="O375" s="60"/>
    </x:row>
    <x:row r="376">
      <x:c r="J376" s="123"/>
      <x:c r="K376" s="60"/>
      <x:c r="O376" s="60"/>
    </x:row>
    <x:row r="377">
      <x:c r="J377" s="123"/>
      <x:c r="K377" s="60"/>
      <x:c r="O377" s="60"/>
    </x:row>
    <x:row r="378">
      <x:c r="J378" s="123"/>
      <x:c r="K378" s="60"/>
      <x:c r="O378" s="60"/>
    </x:row>
    <x:row r="379">
      <x:c r="J379" s="123"/>
      <x:c r="K379" s="60"/>
      <x:c r="O379" s="60"/>
    </x:row>
    <x:row r="380">
      <x:c r="J380" s="123"/>
      <x:c r="K380" s="60"/>
      <x:c r="O380" s="60"/>
    </x:row>
    <x:row r="381">
      <x:c r="J381" s="123"/>
      <x:c r="K381" s="60"/>
      <x:c r="O381" s="60"/>
    </x:row>
    <x:row r="382">
      <x:c r="J382" s="123"/>
      <x:c r="K382" s="60"/>
      <x:c r="O382" s="60"/>
    </x:row>
    <x:row r="383">
      <x:c r="J383" s="123"/>
      <x:c r="K383" s="60"/>
      <x:c r="O383" s="60"/>
    </x:row>
    <x:row r="384">
      <x:c r="J384" s="123"/>
      <x:c r="K384" s="60"/>
      <x:c r="O384" s="60"/>
    </x:row>
    <x:row r="385">
      <x:c r="J385" s="123"/>
      <x:c r="K385" s="60"/>
      <x:c r="O385" s="60"/>
    </x:row>
    <x:row r="386">
      <x:c r="J386" s="123"/>
      <x:c r="K386" s="60"/>
      <x:c r="O386" s="60"/>
    </x:row>
    <x:row r="387">
      <x:c r="J387" s="123"/>
      <x:c r="K387" s="60"/>
      <x:c r="O387" s="60"/>
    </x:row>
    <x:row r="388">
      <x:c r="J388" s="123"/>
      <x:c r="K388" s="60"/>
      <x:c r="O388" s="60"/>
    </x:row>
    <x:row r="389">
      <x:c r="J389" s="123"/>
      <x:c r="K389" s="60"/>
      <x:c r="O389" s="60"/>
    </x:row>
    <x:row r="390">
      <x:c r="J390" s="123"/>
      <x:c r="K390" s="60"/>
      <x:c r="O390" s="60"/>
    </x:row>
    <x:row r="391">
      <x:c r="J391" s="123"/>
      <x:c r="K391" s="60"/>
      <x:c r="O391" s="60"/>
    </x:row>
    <x:row r="392">
      <x:c r="J392" s="123"/>
      <x:c r="K392" s="60"/>
      <x:c r="O392" s="60"/>
    </x:row>
    <x:row r="393">
      <x:c r="J393" s="123"/>
      <x:c r="K393" s="60"/>
      <x:c r="O393" s="60"/>
    </x:row>
    <x:row r="394">
      <x:c r="J394" s="123"/>
      <x:c r="K394" s="60"/>
      <x:c r="O394" s="60"/>
    </x:row>
    <x:row r="395">
      <x:c r="J395" s="123"/>
      <x:c r="K395" s="60"/>
      <x:c r="O395" s="60"/>
    </x:row>
    <x:row r="396">
      <x:c r="J396" s="123"/>
      <x:c r="K396" s="60"/>
      <x:c r="O396" s="60"/>
    </x:row>
    <x:row r="397">
      <x:c r="J397" s="123"/>
      <x:c r="K397" s="60"/>
      <x:c r="O397" s="60"/>
    </x:row>
    <x:row r="398">
      <x:c r="J398" s="123"/>
      <x:c r="K398" s="60"/>
      <x:c r="O398" s="60"/>
    </x:row>
    <x:row r="399">
      <x:c r="J399" s="123"/>
      <x:c r="K399" s="60"/>
      <x:c r="O399" s="60"/>
    </x:row>
    <x:row r="400">
      <x:c r="J400" s="123"/>
      <x:c r="K400" s="60"/>
      <x:c r="O400" s="60"/>
    </x:row>
    <x:row r="401">
      <x:c r="J401" s="123"/>
      <x:c r="K401" s="60"/>
      <x:c r="O401" s="60"/>
    </x:row>
    <x:row r="402">
      <x:c r="J402" s="123"/>
      <x:c r="K402" s="60"/>
      <x:c r="O402" s="60"/>
    </x:row>
    <x:row r="403">
      <x:c r="J403" s="123"/>
      <x:c r="K403" s="60"/>
      <x:c r="O403" s="60"/>
    </x:row>
    <x:row r="404">
      <x:c r="J404" s="123"/>
      <x:c r="K404" s="60"/>
      <x:c r="O404" s="60"/>
    </x:row>
    <x:row r="405">
      <x:c r="J405" s="123"/>
      <x:c r="K405" s="60"/>
      <x:c r="O405" s="60"/>
    </x:row>
    <x:row r="406">
      <x:c r="J406" s="123"/>
      <x:c r="K406" s="60"/>
      <x:c r="O406" s="60"/>
    </x:row>
    <x:row r="407">
      <x:c r="J407" s="123"/>
      <x:c r="K407" s="60"/>
      <x:c r="O407" s="60"/>
    </x:row>
    <x:row r="408">
      <x:c r="J408" s="123"/>
      <x:c r="K408" s="60"/>
      <x:c r="O408" s="60"/>
    </x:row>
    <x:row r="409">
      <x:c r="J409" s="123"/>
      <x:c r="K409" s="60"/>
      <x:c r="O409" s="60"/>
    </x:row>
    <x:row r="410">
      <x:c r="J410" s="123"/>
      <x:c r="K410" s="60"/>
      <x:c r="O410" s="60"/>
    </x:row>
    <x:row r="411">
      <x:c r="J411" s="123"/>
      <x:c r="K411" s="60"/>
      <x:c r="O411" s="60"/>
    </x:row>
    <x:row r="412">
      <x:c r="J412" s="123"/>
      <x:c r="K412" s="60"/>
      <x:c r="O412" s="60"/>
    </x:row>
    <x:row r="413">
      <x:c r="J413" s="123"/>
      <x:c r="K413" s="60"/>
      <x:c r="O413" s="60"/>
    </x:row>
    <x:row r="414">
      <x:c r="J414" s="123"/>
      <x:c r="K414" s="60"/>
      <x:c r="O414" s="60"/>
    </x:row>
    <x:row r="415">
      <x:c r="J415" s="123"/>
      <x:c r="K415" s="60"/>
      <x:c r="O415" s="60"/>
    </x:row>
    <x:row r="416">
      <x:c r="J416" s="123"/>
      <x:c r="K416" s="60"/>
      <x:c r="O416" s="60"/>
    </x:row>
    <x:row r="417">
      <x:c r="J417" s="123"/>
      <x:c r="K417" s="60"/>
      <x:c r="O417" s="60"/>
    </x:row>
    <x:row r="418">
      <x:c r="J418" s="123"/>
      <x:c r="K418" s="60"/>
      <x:c r="O418" s="60"/>
    </x:row>
    <x:row r="419">
      <x:c r="J419" s="123"/>
      <x:c r="K419" s="60"/>
      <x:c r="O419" s="60"/>
    </x:row>
    <x:row r="420">
      <x:c r="J420" s="123"/>
      <x:c r="K420" s="60"/>
      <x:c r="O420" s="60"/>
    </x:row>
    <x:row r="421">
      <x:c r="J421" s="123"/>
      <x:c r="K421" s="60"/>
      <x:c r="O421" s="60"/>
    </x:row>
    <x:row r="422">
      <x:c r="J422" s="123"/>
      <x:c r="K422" s="60"/>
      <x:c r="O422" s="60"/>
    </x:row>
    <x:row r="423">
      <x:c r="J423" s="123"/>
      <x:c r="K423" s="60"/>
      <x:c r="O423" s="60"/>
    </x:row>
    <x:row r="424">
      <x:c r="J424" s="123"/>
      <x:c r="K424" s="60"/>
      <x:c r="O424" s="60"/>
    </x:row>
    <x:row r="425">
      <x:c r="J425" s="123"/>
      <x:c r="K425" s="60"/>
      <x:c r="O425" s="60"/>
    </x:row>
    <x:row r="426">
      <x:c r="J426" s="123"/>
      <x:c r="K426" s="60"/>
      <x:c r="O426" s="60"/>
    </x:row>
    <x:row r="427">
      <x:c r="J427" s="123"/>
      <x:c r="K427" s="60"/>
      <x:c r="O427" s="60"/>
    </x:row>
    <x:row r="428">
      <x:c r="J428" s="123"/>
      <x:c r="K428" s="60"/>
      <x:c r="O428" s="60"/>
    </x:row>
    <x:row r="429">
      <x:c r="J429" s="123"/>
      <x:c r="K429" s="60"/>
      <x:c r="O429" s="60"/>
    </x:row>
    <x:row r="430">
      <x:c r="J430" s="123"/>
      <x:c r="K430" s="60"/>
      <x:c r="O430" s="60"/>
    </x:row>
    <x:row r="431">
      <x:c r="J431" s="123"/>
      <x:c r="K431" s="60"/>
      <x:c r="O431" s="60"/>
    </x:row>
    <x:row r="432">
      <x:c r="J432" s="123"/>
      <x:c r="K432" s="60"/>
      <x:c r="O432" s="60"/>
    </x:row>
    <x:row r="433">
      <x:c r="J433" s="123"/>
      <x:c r="K433" s="60"/>
      <x:c r="O433" s="60"/>
    </x:row>
    <x:row r="434">
      <x:c r="J434" s="123"/>
      <x:c r="K434" s="60"/>
      <x:c r="O434" s="60"/>
    </x:row>
    <x:row r="435">
      <x:c r="J435" s="123"/>
      <x:c r="K435" s="60"/>
      <x:c r="O435" s="60"/>
    </x:row>
    <x:row r="436">
      <x:c r="J436" s="123"/>
      <x:c r="K436" s="60"/>
      <x:c r="O436" s="60"/>
    </x:row>
    <x:row r="437">
      <x:c r="J437" s="123"/>
      <x:c r="K437" s="60"/>
      <x:c r="O437" s="60"/>
    </x:row>
    <x:row r="438">
      <x:c r="J438" s="123"/>
      <x:c r="K438" s="60"/>
      <x:c r="O438" s="60"/>
    </x:row>
    <x:row r="439">
      <x:c r="J439" s="123"/>
      <x:c r="K439" s="60"/>
      <x:c r="O439" s="60"/>
    </x:row>
    <x:row r="440">
      <x:c r="J440" s="123"/>
      <x:c r="K440" s="60"/>
      <x:c r="O440" s="60"/>
    </x:row>
    <x:row r="441">
      <x:c r="J441" s="123"/>
      <x:c r="K441" s="60"/>
      <x:c r="O441" s="60"/>
    </x:row>
    <x:row r="442">
      <x:c r="J442" s="123"/>
      <x:c r="K442" s="60"/>
      <x:c r="O442" s="60"/>
    </x:row>
    <x:row r="443">
      <x:c r="J443" s="123"/>
      <x:c r="K443" s="60"/>
      <x:c r="O443" s="60"/>
    </x:row>
    <x:row r="444">
      <x:c r="J444" s="123"/>
      <x:c r="K444" s="60"/>
      <x:c r="O444" s="60"/>
    </x:row>
    <x:row r="445">
      <x:c r="J445" s="123"/>
      <x:c r="K445" s="60"/>
      <x:c r="O445" s="60"/>
    </x:row>
    <x:row r="446">
      <x:c r="J446" s="123"/>
      <x:c r="K446" s="60"/>
      <x:c r="O446" s="60"/>
    </x:row>
    <x:row r="447">
      <x:c r="J447" s="123"/>
      <x:c r="K447" s="60"/>
      <x:c r="O447" s="60"/>
    </x:row>
    <x:row r="448">
      <x:c r="J448" s="123"/>
      <x:c r="K448" s="60"/>
      <x:c r="O448" s="60"/>
    </x:row>
    <x:row r="449">
      <x:c r="J449" s="123"/>
      <x:c r="K449" s="60"/>
      <x:c r="O449" s="60"/>
    </x:row>
    <x:row r="450">
      <x:c r="J450" s="123"/>
      <x:c r="K450" s="60"/>
      <x:c r="O450" s="60"/>
    </x:row>
    <x:row r="451">
      <x:c r="J451" s="123"/>
      <x:c r="K451" s="60"/>
      <x:c r="O451" s="60"/>
    </x:row>
    <x:row r="452">
      <x:c r="J452" s="123"/>
      <x:c r="K452" s="60"/>
      <x:c r="O452" s="60"/>
    </x:row>
    <x:row r="453">
      <x:c r="J453" s="123"/>
      <x:c r="K453" s="60"/>
      <x:c r="O453" s="60"/>
    </x:row>
    <x:row r="454">
      <x:c r="J454" s="123"/>
      <x:c r="K454" s="60"/>
      <x:c r="O454" s="60"/>
    </x:row>
    <x:row r="455">
      <x:c r="J455" s="123"/>
      <x:c r="K455" s="60"/>
      <x:c r="O455" s="60"/>
    </x:row>
    <x:row r="456">
      <x:c r="J456" s="123"/>
      <x:c r="K456" s="60"/>
      <x:c r="O456" s="60"/>
    </x:row>
    <x:row r="457">
      <x:c r="J457" s="123"/>
      <x:c r="K457" s="60"/>
      <x:c r="O457" s="60"/>
    </x:row>
    <x:row r="458">
      <x:c r="J458" s="123"/>
      <x:c r="K458" s="60"/>
      <x:c r="O458" s="60"/>
    </x:row>
    <x:row r="459">
      <x:c r="J459" s="123"/>
      <x:c r="K459" s="60"/>
      <x:c r="O459" s="60"/>
    </x:row>
    <x:row r="460">
      <x:c r="J460" s="123"/>
      <x:c r="K460" s="60"/>
      <x:c r="O460" s="60"/>
    </x:row>
    <x:row r="461">
      <x:c r="J461" s="123"/>
      <x:c r="K461" s="60"/>
      <x:c r="O461" s="60"/>
    </x:row>
    <x:row r="462">
      <x:c r="J462" s="123"/>
      <x:c r="K462" s="60"/>
      <x:c r="O462" s="60"/>
    </x:row>
    <x:row r="463">
      <x:c r="J463" s="123"/>
      <x:c r="K463" s="60"/>
      <x:c r="O463" s="60"/>
    </x:row>
    <x:row r="464">
      <x:c r="J464" s="123"/>
      <x:c r="K464" s="60"/>
      <x:c r="O464" s="60"/>
    </x:row>
    <x:row r="465">
      <x:c r="J465" s="123"/>
      <x:c r="K465" s="60"/>
      <x:c r="O465" s="60"/>
    </x:row>
    <x:row r="466">
      <x:c r="J466" s="123"/>
      <x:c r="K466" s="60"/>
      <x:c r="O466" s="60"/>
    </x:row>
    <x:row r="467">
      <x:c r="J467" s="123"/>
      <x:c r="K467" s="60"/>
      <x:c r="O467" s="60"/>
    </x:row>
    <x:row r="468">
      <x:c r="J468" s="123"/>
      <x:c r="K468" s="60"/>
      <x:c r="O468" s="60"/>
    </x:row>
    <x:row r="469">
      <x:c r="J469" s="123"/>
      <x:c r="K469" s="60"/>
      <x:c r="O469" s="60"/>
    </x:row>
    <x:row r="470">
      <x:c r="J470" s="123"/>
      <x:c r="K470" s="60"/>
      <x:c r="O470" s="60"/>
    </x:row>
    <x:row r="471">
      <x:c r="J471" s="123"/>
      <x:c r="K471" s="60"/>
      <x:c r="O471" s="60"/>
    </x:row>
    <x:row r="472">
      <x:c r="J472" s="123"/>
      <x:c r="K472" s="60"/>
      <x:c r="O472" s="60"/>
    </x:row>
    <x:row r="473">
      <x:c r="J473" s="123"/>
      <x:c r="K473" s="60"/>
      <x:c r="O473" s="60"/>
    </x:row>
    <x:row r="474">
      <x:c r="J474" s="123"/>
      <x:c r="K474" s="60"/>
      <x:c r="O474" s="60"/>
    </x:row>
    <x:row r="475">
      <x:c r="J475" s="123"/>
      <x:c r="K475" s="60"/>
      <x:c r="O475" s="60"/>
    </x:row>
    <x:row r="476">
      <x:c r="J476" s="123"/>
      <x:c r="K476" s="60"/>
      <x:c r="O476" s="60"/>
    </x:row>
    <x:row r="477">
      <x:c r="J477" s="123"/>
      <x:c r="K477" s="60"/>
      <x:c r="O477" s="60"/>
    </x:row>
    <x:row r="478">
      <x:c r="J478" s="123"/>
      <x:c r="K478" s="60"/>
      <x:c r="O478" s="60"/>
    </x:row>
    <x:row r="479">
      <x:c r="J479" s="123"/>
      <x:c r="K479" s="60"/>
      <x:c r="O479" s="60"/>
    </x:row>
    <x:row r="480">
      <x:c r="J480" s="123"/>
      <x:c r="K480" s="60"/>
      <x:c r="O480" s="60"/>
    </x:row>
    <x:row r="481">
      <x:c r="J481" s="123"/>
      <x:c r="K481" s="60"/>
      <x:c r="O481" s="60"/>
    </x:row>
    <x:row r="482">
      <x:c r="J482" s="123"/>
      <x:c r="K482" s="60"/>
      <x:c r="O482" s="60"/>
    </x:row>
    <x:row r="483">
      <x:c r="J483" s="123"/>
      <x:c r="K483" s="60"/>
      <x:c r="O483" s="60"/>
    </x:row>
    <x:row r="484">
      <x:c r="J484" s="123"/>
      <x:c r="K484" s="60"/>
      <x:c r="O484" s="60"/>
    </x:row>
    <x:row r="485">
      <x:c r="J485" s="123"/>
      <x:c r="K485" s="60"/>
      <x:c r="O485" s="60"/>
    </x:row>
    <x:row r="486">
      <x:c r="J486" s="123"/>
      <x:c r="K486" s="60"/>
      <x:c r="O486" s="60"/>
    </x:row>
    <x:row r="487">
      <x:c r="J487" s="123"/>
      <x:c r="K487" s="60"/>
      <x:c r="O487" s="60"/>
    </x:row>
    <x:row r="488">
      <x:c r="J488" s="123"/>
      <x:c r="K488" s="60"/>
      <x:c r="O488" s="60"/>
    </x:row>
    <x:row r="489">
      <x:c r="J489" s="123"/>
      <x:c r="K489" s="60"/>
      <x:c r="O489" s="60"/>
    </x:row>
    <x:row r="490">
      <x:c r="J490" s="123"/>
      <x:c r="K490" s="60"/>
      <x:c r="O490" s="60"/>
    </x:row>
    <x:row r="491">
      <x:c r="J491" s="123"/>
      <x:c r="K491" s="60"/>
      <x:c r="O491" s="60"/>
    </x:row>
    <x:row r="492">
      <x:c r="J492" s="123"/>
      <x:c r="K492" s="60"/>
      <x:c r="O492" s="60"/>
    </x:row>
    <x:row r="493">
      <x:c r="J493" s="123"/>
      <x:c r="K493" s="60"/>
      <x:c r="O493" s="60"/>
    </x:row>
    <x:row r="494">
      <x:c r="J494" s="123"/>
      <x:c r="K494" s="60"/>
      <x:c r="O494" s="60"/>
    </x:row>
    <x:row r="495">
      <x:c r="J495" s="123"/>
      <x:c r="K495" s="60"/>
      <x:c r="O495" s="60"/>
    </x:row>
    <x:row r="496">
      <x:c r="J496" s="123"/>
      <x:c r="K496" s="60"/>
      <x:c r="O496" s="60"/>
    </x:row>
    <x:row r="497">
      <x:c r="J497" s="123"/>
      <x:c r="K497" s="60"/>
      <x:c r="O497" s="60"/>
    </x:row>
    <x:row r="498">
      <x:c r="J498" s="123"/>
      <x:c r="K498" s="60"/>
      <x:c r="O498" s="60"/>
    </x:row>
    <x:row r="499">
      <x:c r="J499" s="123"/>
      <x:c r="K499" s="60"/>
      <x:c r="O499" s="60"/>
    </x:row>
    <x:row r="500">
      <x:c r="J500" s="123"/>
      <x:c r="K500" s="60"/>
      <x:c r="O500" s="60"/>
    </x:row>
    <x:row r="501">
      <x:c r="J501" s="123"/>
      <x:c r="K501" s="60"/>
      <x:c r="O501" s="60"/>
    </x:row>
    <x:row r="502">
      <x:c r="J502" s="123"/>
      <x:c r="K502" s="60"/>
      <x:c r="O502" s="60"/>
    </x:row>
    <x:row r="503">
      <x:c r="J503" s="123"/>
      <x:c r="K503" s="60"/>
      <x:c r="O503" s="60"/>
    </x:row>
    <x:row r="504">
      <x:c r="J504" s="123"/>
      <x:c r="K504" s="60"/>
      <x:c r="O504" s="60"/>
    </x:row>
    <x:row r="505">
      <x:c r="J505" s="123"/>
      <x:c r="K505" s="60"/>
      <x:c r="O505" s="60"/>
    </x:row>
  </x:sheetData>
  <x:mergeCells>
    <x:mergeCell ref="A1:P2"/>
    <x:mergeCell ref="A3:P3"/>
  </x:mergeCells>
  <x:conditionalFormatting sqref="L6:L505">
    <x:cfRule type="expression" dxfId="8" priority="1">
      <x:formula>L6="Approve"</x:formula>
    </x:cfRule>
    <x:cfRule type="expression" dxfId="9" priority="2">
      <x:formula>L6="Reject"</x:formula>
    </x:cfRule>
    <x:cfRule type="expression" dxfId="10" priority="3">
      <x:formula>L6="Hold"</x:formula>
    </x:cfRule>
  </x:conditionalFormatting>
  <x:dataValidations count="2">
    <x:dataValidation type="list" sqref="I6:I505">
      <x:formula1>"New Tender,Field Update,Date Extension,Corrigendum,Closure,Cancellation,Award"</x:formula1>
    </x:dataValidation>
    <x:dataValidation type="list" sqref="L6:L505">
      <x:formula1>"Pending,Approve,Reject,Hold"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f097fa277b40f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40" hidden="0" customWidth="1"/>
    <x:col min="12" max="12" width="34" hidden="0" customWidth="1"/>
  </x:cols>
  <x:sheetData>
    <x:row r="1">
      <x:c r="A1" s="115" t="str">
        <x:v>Tender Snapshot Registry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</x:row>
    <x:row r="4">
      <x:c r="A4" s="122" t="str">
        <x:v>Snapshot ID</x:v>
      </x:c>
      <x:c r="B4" s="122" t="str">
        <x:v>Tender ID</x:v>
      </x:c>
      <x:c r="C4" s="122" t="str">
        <x:v>Agency</x:v>
      </x:c>
      <x:c r="D4" s="122" t="str">
        <x:v>Tender Number</x:v>
      </x:c>
      <x:c r="E4" s="122" t="str">
        <x:v>Captured On</x:v>
      </x:c>
      <x:c r="F4" s="122" t="str">
        <x:v>Source Type</x:v>
      </x:c>
      <x:c r="G4" s="122" t="str">
        <x:v>Source URL</x:v>
      </x:c>
      <x:c r="H4" s="122" t="str">
        <x:v>Status</x:v>
      </x:c>
      <x:c r="I4" s="122" t="str">
        <x:v>Submission Date</x:v>
      </x:c>
      <x:c r="J4" s="122" t="str">
        <x:v>Corrigendum Count</x:v>
      </x:c>
      <x:c r="K4" s="122" t="str">
        <x:v>Fingerprint</x:v>
      </x:c>
      <x:c r="L4" s="122" t="str">
        <x:v>Raw Snapshot File</x:v>
      </x:c>
    </x:row>
    <x:row r="5">
      <x:c r="E5" s="60"/>
      <x:c r="I5" s="52"/>
    </x:row>
    <x:row r="6">
      <x:c r="E6" s="60"/>
      <x:c r="I6" s="52"/>
    </x:row>
    <x:row r="7">
      <x:c r="E7" s="60"/>
      <x:c r="I7" s="52"/>
    </x:row>
    <x:row r="8">
      <x:c r="E8" s="60"/>
      <x:c r="I8" s="52"/>
    </x:row>
    <x:row r="9">
      <x:c r="E9" s="60"/>
      <x:c r="I9" s="52"/>
    </x:row>
    <x:row r="10">
      <x:c r="E10" s="60"/>
      <x:c r="I10" s="52"/>
    </x:row>
    <x:row r="11">
      <x:c r="E11" s="60"/>
      <x:c r="I11" s="52"/>
    </x:row>
    <x:row r="12">
      <x:c r="E12" s="60"/>
      <x:c r="I12" s="52"/>
    </x:row>
    <x:row r="13">
      <x:c r="E13" s="60"/>
      <x:c r="I13" s="52"/>
    </x:row>
    <x:row r="14">
      <x:c r="E14" s="60"/>
      <x:c r="I14" s="52"/>
    </x:row>
    <x:row r="15">
      <x:c r="E15" s="60"/>
      <x:c r="I15" s="52"/>
    </x:row>
    <x:row r="16">
      <x:c r="E16" s="60"/>
      <x:c r="I16" s="52"/>
    </x:row>
    <x:row r="17">
      <x:c r="E17" s="60"/>
      <x:c r="I17" s="52"/>
    </x:row>
    <x:row r="18">
      <x:c r="E18" s="60"/>
      <x:c r="I18" s="52"/>
    </x:row>
    <x:row r="19">
      <x:c r="E19" s="60"/>
      <x:c r="I19" s="52"/>
    </x:row>
    <x:row r="20">
      <x:c r="E20" s="60"/>
      <x:c r="I20" s="52"/>
    </x:row>
    <x:row r="21">
      <x:c r="E21" s="60"/>
      <x:c r="I21" s="52"/>
    </x:row>
    <x:row r="22">
      <x:c r="E22" s="60"/>
      <x:c r="I22" s="52"/>
    </x:row>
    <x:row r="23">
      <x:c r="E23" s="60"/>
      <x:c r="I23" s="52"/>
    </x:row>
    <x:row r="24">
      <x:c r="E24" s="60"/>
      <x:c r="I24" s="52"/>
    </x:row>
    <x:row r="25">
      <x:c r="E25" s="60"/>
      <x:c r="I25" s="52"/>
    </x:row>
    <x:row r="26">
      <x:c r="E26" s="60"/>
      <x:c r="I26" s="52"/>
    </x:row>
    <x:row r="27">
      <x:c r="E27" s="60"/>
      <x:c r="I27" s="52"/>
    </x:row>
    <x:row r="28">
      <x:c r="E28" s="60"/>
      <x:c r="I28" s="52"/>
    </x:row>
    <x:row r="29">
      <x:c r="E29" s="60"/>
      <x:c r="I29" s="52"/>
    </x:row>
    <x:row r="30">
      <x:c r="E30" s="60"/>
      <x:c r="I30" s="52"/>
    </x:row>
    <x:row r="31">
      <x:c r="E31" s="60"/>
      <x:c r="I31" s="52"/>
    </x:row>
    <x:row r="32">
      <x:c r="E32" s="60"/>
      <x:c r="I32" s="52"/>
    </x:row>
    <x:row r="33">
      <x:c r="E33" s="60"/>
      <x:c r="I33" s="52"/>
    </x:row>
    <x:row r="34">
      <x:c r="E34" s="60"/>
      <x:c r="I34" s="52"/>
    </x:row>
    <x:row r="35">
      <x:c r="E35" s="60"/>
      <x:c r="I35" s="52"/>
    </x:row>
    <x:row r="36">
      <x:c r="E36" s="60"/>
      <x:c r="I36" s="52"/>
    </x:row>
    <x:row r="37">
      <x:c r="E37" s="60"/>
      <x:c r="I37" s="52"/>
    </x:row>
    <x:row r="38">
      <x:c r="E38" s="60"/>
      <x:c r="I38" s="52"/>
    </x:row>
    <x:row r="39">
      <x:c r="E39" s="60"/>
      <x:c r="I39" s="52"/>
    </x:row>
    <x:row r="40">
      <x:c r="E40" s="60"/>
      <x:c r="I40" s="52"/>
    </x:row>
    <x:row r="41">
      <x:c r="E41" s="60"/>
      <x:c r="I41" s="52"/>
    </x:row>
    <x:row r="42">
      <x:c r="E42" s="60"/>
      <x:c r="I42" s="52"/>
    </x:row>
    <x:row r="43">
      <x:c r="E43" s="60"/>
      <x:c r="I43" s="52"/>
    </x:row>
    <x:row r="44">
      <x:c r="E44" s="60"/>
      <x:c r="I44" s="52"/>
    </x:row>
    <x:row r="45">
      <x:c r="E45" s="60"/>
      <x:c r="I45" s="52"/>
    </x:row>
    <x:row r="46">
      <x:c r="E46" s="60"/>
      <x:c r="I46" s="52"/>
    </x:row>
    <x:row r="47">
      <x:c r="E47" s="60"/>
      <x:c r="I47" s="52"/>
    </x:row>
    <x:row r="48">
      <x:c r="E48" s="60"/>
      <x:c r="I48" s="52"/>
    </x:row>
    <x:row r="49">
      <x:c r="E49" s="60"/>
      <x:c r="I49" s="52"/>
    </x:row>
    <x:row r="50">
      <x:c r="E50" s="60"/>
      <x:c r="I50" s="52"/>
    </x:row>
    <x:row r="51">
      <x:c r="E51" s="60"/>
      <x:c r="I51" s="52"/>
    </x:row>
    <x:row r="52">
      <x:c r="E52" s="60"/>
      <x:c r="I52" s="52"/>
    </x:row>
    <x:row r="53">
      <x:c r="E53" s="60"/>
      <x:c r="I53" s="52"/>
    </x:row>
    <x:row r="54">
      <x:c r="E54" s="60"/>
      <x:c r="I54" s="52"/>
    </x:row>
    <x:row r="55">
      <x:c r="E55" s="60"/>
      <x:c r="I55" s="52"/>
    </x:row>
    <x:row r="56">
      <x:c r="E56" s="60"/>
      <x:c r="I56" s="52"/>
    </x:row>
    <x:row r="57">
      <x:c r="E57" s="60"/>
      <x:c r="I57" s="52"/>
    </x:row>
    <x:row r="58">
      <x:c r="E58" s="60"/>
      <x:c r="I58" s="52"/>
    </x:row>
    <x:row r="59">
      <x:c r="E59" s="60"/>
      <x:c r="I59" s="52"/>
    </x:row>
    <x:row r="60">
      <x:c r="E60" s="60"/>
      <x:c r="I60" s="52"/>
    </x:row>
    <x:row r="61">
      <x:c r="E61" s="60"/>
      <x:c r="I61" s="52"/>
    </x:row>
    <x:row r="62">
      <x:c r="E62" s="60"/>
      <x:c r="I62" s="52"/>
    </x:row>
    <x:row r="63">
      <x:c r="E63" s="60"/>
      <x:c r="I63" s="52"/>
    </x:row>
    <x:row r="64">
      <x:c r="E64" s="60"/>
      <x:c r="I64" s="52"/>
    </x:row>
    <x:row r="65">
      <x:c r="E65" s="60"/>
      <x:c r="I65" s="52"/>
    </x:row>
    <x:row r="66">
      <x:c r="E66" s="60"/>
      <x:c r="I66" s="52"/>
    </x:row>
    <x:row r="67">
      <x:c r="E67" s="60"/>
      <x:c r="I67" s="52"/>
    </x:row>
    <x:row r="68">
      <x:c r="E68" s="60"/>
      <x:c r="I68" s="52"/>
    </x:row>
    <x:row r="69">
      <x:c r="E69" s="60"/>
      <x:c r="I69" s="52"/>
    </x:row>
    <x:row r="70">
      <x:c r="E70" s="60"/>
      <x:c r="I70" s="52"/>
    </x:row>
    <x:row r="71">
      <x:c r="E71" s="60"/>
      <x:c r="I71" s="52"/>
    </x:row>
    <x:row r="72">
      <x:c r="E72" s="60"/>
      <x:c r="I72" s="52"/>
    </x:row>
    <x:row r="73">
      <x:c r="E73" s="60"/>
      <x:c r="I73" s="52"/>
    </x:row>
    <x:row r="74">
      <x:c r="E74" s="60"/>
      <x:c r="I74" s="52"/>
    </x:row>
    <x:row r="75">
      <x:c r="E75" s="60"/>
      <x:c r="I75" s="52"/>
    </x:row>
    <x:row r="76">
      <x:c r="E76" s="60"/>
      <x:c r="I76" s="52"/>
    </x:row>
    <x:row r="77">
      <x:c r="E77" s="60"/>
      <x:c r="I77" s="52"/>
    </x:row>
    <x:row r="78">
      <x:c r="E78" s="60"/>
      <x:c r="I78" s="52"/>
    </x:row>
    <x:row r="79">
      <x:c r="E79" s="60"/>
      <x:c r="I79" s="52"/>
    </x:row>
    <x:row r="80">
      <x:c r="E80" s="60"/>
      <x:c r="I80" s="52"/>
    </x:row>
    <x:row r="81">
      <x:c r="E81" s="60"/>
      <x:c r="I81" s="52"/>
    </x:row>
    <x:row r="82">
      <x:c r="E82" s="60"/>
      <x:c r="I82" s="52"/>
    </x:row>
    <x:row r="83">
      <x:c r="E83" s="60"/>
      <x:c r="I83" s="52"/>
    </x:row>
    <x:row r="84">
      <x:c r="E84" s="60"/>
      <x:c r="I84" s="52"/>
    </x:row>
    <x:row r="85">
      <x:c r="E85" s="60"/>
      <x:c r="I85" s="52"/>
    </x:row>
    <x:row r="86">
      <x:c r="E86" s="60"/>
      <x:c r="I86" s="52"/>
    </x:row>
    <x:row r="87">
      <x:c r="E87" s="60"/>
      <x:c r="I87" s="52"/>
    </x:row>
    <x:row r="88">
      <x:c r="E88" s="60"/>
      <x:c r="I88" s="52"/>
    </x:row>
    <x:row r="89">
      <x:c r="E89" s="60"/>
      <x:c r="I89" s="52"/>
    </x:row>
    <x:row r="90">
      <x:c r="E90" s="60"/>
      <x:c r="I90" s="52"/>
    </x:row>
    <x:row r="91">
      <x:c r="E91" s="60"/>
      <x:c r="I91" s="52"/>
    </x:row>
    <x:row r="92">
      <x:c r="E92" s="60"/>
      <x:c r="I92" s="52"/>
    </x:row>
    <x:row r="93">
      <x:c r="E93" s="60"/>
      <x:c r="I93" s="52"/>
    </x:row>
    <x:row r="94">
      <x:c r="E94" s="60"/>
      <x:c r="I94" s="52"/>
    </x:row>
    <x:row r="95">
      <x:c r="E95" s="60"/>
      <x:c r="I95" s="52"/>
    </x:row>
    <x:row r="96">
      <x:c r="E96" s="60"/>
      <x:c r="I96" s="52"/>
    </x:row>
    <x:row r="97">
      <x:c r="E97" s="60"/>
      <x:c r="I97" s="52"/>
    </x:row>
    <x:row r="98">
      <x:c r="E98" s="60"/>
      <x:c r="I98" s="52"/>
    </x:row>
    <x:row r="99">
      <x:c r="E99" s="60"/>
      <x:c r="I99" s="52"/>
    </x:row>
    <x:row r="100">
      <x:c r="E100" s="60"/>
      <x:c r="I100" s="52"/>
    </x:row>
    <x:row r="101">
      <x:c r="E101" s="60"/>
      <x:c r="I101" s="52"/>
    </x:row>
    <x:row r="102">
      <x:c r="E102" s="60"/>
      <x:c r="I102" s="52"/>
    </x:row>
    <x:row r="103">
      <x:c r="E103" s="60"/>
      <x:c r="I103" s="52"/>
    </x:row>
    <x:row r="104">
      <x:c r="E104" s="60"/>
      <x:c r="I104" s="52"/>
    </x:row>
    <x:row r="105">
      <x:c r="E105" s="60"/>
      <x:c r="I105" s="52"/>
    </x:row>
    <x:row r="106">
      <x:c r="E106" s="60"/>
      <x:c r="I106" s="52"/>
    </x:row>
    <x:row r="107">
      <x:c r="E107" s="60"/>
      <x:c r="I107" s="52"/>
    </x:row>
    <x:row r="108">
      <x:c r="E108" s="60"/>
      <x:c r="I108" s="52"/>
    </x:row>
    <x:row r="109">
      <x:c r="E109" s="60"/>
      <x:c r="I109" s="52"/>
    </x:row>
    <x:row r="110">
      <x:c r="E110" s="60"/>
      <x:c r="I110" s="52"/>
    </x:row>
    <x:row r="111">
      <x:c r="E111" s="60"/>
      <x:c r="I111" s="52"/>
    </x:row>
    <x:row r="112">
      <x:c r="E112" s="60"/>
      <x:c r="I112" s="52"/>
    </x:row>
    <x:row r="113">
      <x:c r="E113" s="60"/>
      <x:c r="I113" s="52"/>
    </x:row>
    <x:row r="114">
      <x:c r="E114" s="60"/>
      <x:c r="I114" s="52"/>
    </x:row>
    <x:row r="115">
      <x:c r="E115" s="60"/>
      <x:c r="I115" s="52"/>
    </x:row>
    <x:row r="116">
      <x:c r="E116" s="60"/>
      <x:c r="I116" s="52"/>
    </x:row>
    <x:row r="117">
      <x:c r="E117" s="60"/>
      <x:c r="I117" s="52"/>
    </x:row>
    <x:row r="118">
      <x:c r="E118" s="60"/>
      <x:c r="I118" s="52"/>
    </x:row>
    <x:row r="119">
      <x:c r="E119" s="60"/>
      <x:c r="I119" s="52"/>
    </x:row>
    <x:row r="120">
      <x:c r="E120" s="60"/>
      <x:c r="I120" s="52"/>
    </x:row>
    <x:row r="121">
      <x:c r="E121" s="60"/>
      <x:c r="I121" s="52"/>
    </x:row>
    <x:row r="122">
      <x:c r="E122" s="60"/>
      <x:c r="I122" s="52"/>
    </x:row>
    <x:row r="123">
      <x:c r="E123" s="60"/>
      <x:c r="I123" s="52"/>
    </x:row>
    <x:row r="124">
      <x:c r="E124" s="60"/>
      <x:c r="I124" s="52"/>
    </x:row>
    <x:row r="125">
      <x:c r="E125" s="60"/>
      <x:c r="I125" s="52"/>
    </x:row>
    <x:row r="126">
      <x:c r="E126" s="60"/>
      <x:c r="I126" s="52"/>
    </x:row>
    <x:row r="127">
      <x:c r="E127" s="60"/>
      <x:c r="I127" s="52"/>
    </x:row>
    <x:row r="128">
      <x:c r="E128" s="60"/>
      <x:c r="I128" s="52"/>
    </x:row>
    <x:row r="129">
      <x:c r="E129" s="60"/>
      <x:c r="I129" s="52"/>
    </x:row>
    <x:row r="130">
      <x:c r="E130" s="60"/>
      <x:c r="I130" s="52"/>
    </x:row>
    <x:row r="131">
      <x:c r="E131" s="60"/>
      <x:c r="I131" s="52"/>
    </x:row>
    <x:row r="132">
      <x:c r="E132" s="60"/>
      <x:c r="I132" s="52"/>
    </x:row>
    <x:row r="133">
      <x:c r="E133" s="60"/>
      <x:c r="I133" s="52"/>
    </x:row>
    <x:row r="134">
      <x:c r="E134" s="60"/>
      <x:c r="I134" s="52"/>
    </x:row>
    <x:row r="135">
      <x:c r="E135" s="60"/>
      <x:c r="I135" s="52"/>
    </x:row>
    <x:row r="136">
      <x:c r="E136" s="60"/>
      <x:c r="I136" s="52"/>
    </x:row>
    <x:row r="137">
      <x:c r="E137" s="60"/>
      <x:c r="I137" s="52"/>
    </x:row>
    <x:row r="138">
      <x:c r="E138" s="60"/>
      <x:c r="I138" s="52"/>
    </x:row>
    <x:row r="139">
      <x:c r="E139" s="60"/>
      <x:c r="I139" s="52"/>
    </x:row>
    <x:row r="140">
      <x:c r="E140" s="60"/>
      <x:c r="I140" s="52"/>
    </x:row>
    <x:row r="141">
      <x:c r="E141" s="60"/>
      <x:c r="I141" s="52"/>
    </x:row>
    <x:row r="142">
      <x:c r="E142" s="60"/>
      <x:c r="I142" s="52"/>
    </x:row>
    <x:row r="143">
      <x:c r="E143" s="60"/>
      <x:c r="I143" s="52"/>
    </x:row>
    <x:row r="144">
      <x:c r="E144" s="60"/>
      <x:c r="I144" s="52"/>
    </x:row>
    <x:row r="145">
      <x:c r="E145" s="60"/>
      <x:c r="I145" s="52"/>
    </x:row>
    <x:row r="146">
      <x:c r="E146" s="60"/>
      <x:c r="I146" s="52"/>
    </x:row>
    <x:row r="147">
      <x:c r="E147" s="60"/>
      <x:c r="I147" s="52"/>
    </x:row>
    <x:row r="148">
      <x:c r="E148" s="60"/>
      <x:c r="I148" s="52"/>
    </x:row>
    <x:row r="149">
      <x:c r="E149" s="60"/>
      <x:c r="I149" s="52"/>
    </x:row>
    <x:row r="150">
      <x:c r="E150" s="60"/>
      <x:c r="I150" s="52"/>
    </x:row>
    <x:row r="151">
      <x:c r="E151" s="60"/>
      <x:c r="I151" s="52"/>
    </x:row>
    <x:row r="152">
      <x:c r="E152" s="60"/>
      <x:c r="I152" s="52"/>
    </x:row>
    <x:row r="153">
      <x:c r="E153" s="60"/>
      <x:c r="I153" s="52"/>
    </x:row>
    <x:row r="154">
      <x:c r="E154" s="60"/>
      <x:c r="I154" s="52"/>
    </x:row>
    <x:row r="155">
      <x:c r="E155" s="60"/>
      <x:c r="I155" s="52"/>
    </x:row>
    <x:row r="156">
      <x:c r="E156" s="60"/>
      <x:c r="I156" s="52"/>
    </x:row>
    <x:row r="157">
      <x:c r="E157" s="60"/>
      <x:c r="I157" s="52"/>
    </x:row>
    <x:row r="158">
      <x:c r="E158" s="60"/>
      <x:c r="I158" s="52"/>
    </x:row>
    <x:row r="159">
      <x:c r="E159" s="60"/>
      <x:c r="I159" s="52"/>
    </x:row>
    <x:row r="160">
      <x:c r="E160" s="60"/>
      <x:c r="I160" s="52"/>
    </x:row>
    <x:row r="161">
      <x:c r="E161" s="60"/>
      <x:c r="I161" s="52"/>
    </x:row>
    <x:row r="162">
      <x:c r="E162" s="60"/>
      <x:c r="I162" s="52"/>
    </x:row>
    <x:row r="163">
      <x:c r="E163" s="60"/>
      <x:c r="I163" s="52"/>
    </x:row>
    <x:row r="164">
      <x:c r="E164" s="60"/>
      <x:c r="I164" s="52"/>
    </x:row>
    <x:row r="165">
      <x:c r="E165" s="60"/>
      <x:c r="I165" s="52"/>
    </x:row>
    <x:row r="166">
      <x:c r="E166" s="60"/>
      <x:c r="I166" s="52"/>
    </x:row>
    <x:row r="167">
      <x:c r="E167" s="60"/>
      <x:c r="I167" s="52"/>
    </x:row>
    <x:row r="168">
      <x:c r="E168" s="60"/>
      <x:c r="I168" s="52"/>
    </x:row>
    <x:row r="169">
      <x:c r="E169" s="60"/>
      <x:c r="I169" s="52"/>
    </x:row>
    <x:row r="170">
      <x:c r="E170" s="60"/>
      <x:c r="I170" s="52"/>
    </x:row>
    <x:row r="171">
      <x:c r="E171" s="60"/>
      <x:c r="I171" s="52"/>
    </x:row>
    <x:row r="172">
      <x:c r="E172" s="60"/>
      <x:c r="I172" s="52"/>
    </x:row>
    <x:row r="173">
      <x:c r="E173" s="60"/>
      <x:c r="I173" s="52"/>
    </x:row>
    <x:row r="174">
      <x:c r="E174" s="60"/>
      <x:c r="I174" s="52"/>
    </x:row>
    <x:row r="175">
      <x:c r="E175" s="60"/>
      <x:c r="I175" s="52"/>
    </x:row>
    <x:row r="176">
      <x:c r="E176" s="60"/>
      <x:c r="I176" s="52"/>
    </x:row>
    <x:row r="177">
      <x:c r="E177" s="60"/>
      <x:c r="I177" s="52"/>
    </x:row>
    <x:row r="178">
      <x:c r="E178" s="60"/>
      <x:c r="I178" s="52"/>
    </x:row>
    <x:row r="179">
      <x:c r="E179" s="60"/>
      <x:c r="I179" s="52"/>
    </x:row>
    <x:row r="180">
      <x:c r="E180" s="60"/>
      <x:c r="I180" s="52"/>
    </x:row>
    <x:row r="181">
      <x:c r="E181" s="60"/>
      <x:c r="I181" s="52"/>
    </x:row>
    <x:row r="182">
      <x:c r="E182" s="60"/>
      <x:c r="I182" s="52"/>
    </x:row>
    <x:row r="183">
      <x:c r="E183" s="60"/>
      <x:c r="I183" s="52"/>
    </x:row>
    <x:row r="184">
      <x:c r="E184" s="60"/>
      <x:c r="I184" s="52"/>
    </x:row>
    <x:row r="185">
      <x:c r="E185" s="60"/>
      <x:c r="I185" s="52"/>
    </x:row>
    <x:row r="186">
      <x:c r="E186" s="60"/>
      <x:c r="I186" s="52"/>
    </x:row>
    <x:row r="187">
      <x:c r="E187" s="60"/>
      <x:c r="I187" s="52"/>
    </x:row>
    <x:row r="188">
      <x:c r="E188" s="60"/>
      <x:c r="I188" s="52"/>
    </x:row>
    <x:row r="189">
      <x:c r="E189" s="60"/>
      <x:c r="I189" s="52"/>
    </x:row>
    <x:row r="190">
      <x:c r="E190" s="60"/>
      <x:c r="I190" s="52"/>
    </x:row>
    <x:row r="191">
      <x:c r="E191" s="60"/>
      <x:c r="I191" s="52"/>
    </x:row>
    <x:row r="192">
      <x:c r="E192" s="60"/>
      <x:c r="I192" s="52"/>
    </x:row>
    <x:row r="193">
      <x:c r="E193" s="60"/>
      <x:c r="I193" s="52"/>
    </x:row>
    <x:row r="194">
      <x:c r="E194" s="60"/>
      <x:c r="I194" s="52"/>
    </x:row>
    <x:row r="195">
      <x:c r="E195" s="60"/>
      <x:c r="I195" s="52"/>
    </x:row>
    <x:row r="196">
      <x:c r="E196" s="60"/>
      <x:c r="I196" s="52"/>
    </x:row>
    <x:row r="197">
      <x:c r="E197" s="60"/>
      <x:c r="I197" s="52"/>
    </x:row>
    <x:row r="198">
      <x:c r="E198" s="60"/>
      <x:c r="I198" s="52"/>
    </x:row>
    <x:row r="199">
      <x:c r="E199" s="60"/>
      <x:c r="I199" s="52"/>
    </x:row>
    <x:row r="200">
      <x:c r="E200" s="60"/>
      <x:c r="I200" s="52"/>
    </x:row>
    <x:row r="201">
      <x:c r="E201" s="60"/>
      <x:c r="I201" s="52"/>
    </x:row>
    <x:row r="202">
      <x:c r="E202" s="60"/>
      <x:c r="I202" s="52"/>
    </x:row>
    <x:row r="203">
      <x:c r="E203" s="60"/>
      <x:c r="I203" s="52"/>
    </x:row>
    <x:row r="204">
      <x:c r="E204" s="60"/>
      <x:c r="I204" s="52"/>
    </x:row>
    <x:row r="205">
      <x:c r="E205" s="60"/>
      <x:c r="I205" s="52"/>
    </x:row>
    <x:row r="206">
      <x:c r="E206" s="60"/>
      <x:c r="I206" s="52"/>
    </x:row>
    <x:row r="207">
      <x:c r="E207" s="60"/>
      <x:c r="I207" s="52"/>
    </x:row>
    <x:row r="208">
      <x:c r="E208" s="60"/>
      <x:c r="I208" s="52"/>
    </x:row>
    <x:row r="209">
      <x:c r="E209" s="60"/>
      <x:c r="I209" s="52"/>
    </x:row>
    <x:row r="210">
      <x:c r="E210" s="60"/>
      <x:c r="I210" s="52"/>
    </x:row>
    <x:row r="211">
      <x:c r="E211" s="60"/>
      <x:c r="I211" s="52"/>
    </x:row>
    <x:row r="212">
      <x:c r="E212" s="60"/>
      <x:c r="I212" s="52"/>
    </x:row>
    <x:row r="213">
      <x:c r="E213" s="60"/>
      <x:c r="I213" s="52"/>
    </x:row>
    <x:row r="214">
      <x:c r="E214" s="60"/>
      <x:c r="I214" s="52"/>
    </x:row>
    <x:row r="215">
      <x:c r="E215" s="60"/>
      <x:c r="I215" s="52"/>
    </x:row>
    <x:row r="216">
      <x:c r="E216" s="60"/>
      <x:c r="I216" s="52"/>
    </x:row>
    <x:row r="217">
      <x:c r="E217" s="60"/>
      <x:c r="I217" s="52"/>
    </x:row>
    <x:row r="218">
      <x:c r="E218" s="60"/>
      <x:c r="I218" s="52"/>
    </x:row>
    <x:row r="219">
      <x:c r="E219" s="60"/>
      <x:c r="I219" s="52"/>
    </x:row>
    <x:row r="220">
      <x:c r="E220" s="60"/>
      <x:c r="I220" s="52"/>
    </x:row>
    <x:row r="221">
      <x:c r="E221" s="60"/>
      <x:c r="I221" s="52"/>
    </x:row>
    <x:row r="222">
      <x:c r="E222" s="60"/>
      <x:c r="I222" s="52"/>
    </x:row>
    <x:row r="223">
      <x:c r="E223" s="60"/>
      <x:c r="I223" s="52"/>
    </x:row>
    <x:row r="224">
      <x:c r="E224" s="60"/>
      <x:c r="I224" s="52"/>
    </x:row>
    <x:row r="225">
      <x:c r="E225" s="60"/>
      <x:c r="I225" s="52"/>
    </x:row>
    <x:row r="226">
      <x:c r="E226" s="60"/>
      <x:c r="I226" s="52"/>
    </x:row>
    <x:row r="227">
      <x:c r="E227" s="60"/>
      <x:c r="I227" s="52"/>
    </x:row>
    <x:row r="228">
      <x:c r="E228" s="60"/>
      <x:c r="I228" s="52"/>
    </x:row>
    <x:row r="229">
      <x:c r="E229" s="60"/>
      <x:c r="I229" s="52"/>
    </x:row>
    <x:row r="230">
      <x:c r="E230" s="60"/>
      <x:c r="I230" s="52"/>
    </x:row>
    <x:row r="231">
      <x:c r="E231" s="60"/>
      <x:c r="I231" s="52"/>
    </x:row>
    <x:row r="232">
      <x:c r="E232" s="60"/>
      <x:c r="I232" s="52"/>
    </x:row>
    <x:row r="233">
      <x:c r="E233" s="60"/>
      <x:c r="I233" s="52"/>
    </x:row>
    <x:row r="234">
      <x:c r="E234" s="60"/>
      <x:c r="I234" s="52"/>
    </x:row>
    <x:row r="235">
      <x:c r="E235" s="60"/>
      <x:c r="I235" s="52"/>
    </x:row>
    <x:row r="236">
      <x:c r="E236" s="60"/>
      <x:c r="I236" s="52"/>
    </x:row>
    <x:row r="237">
      <x:c r="E237" s="60"/>
      <x:c r="I237" s="52"/>
    </x:row>
    <x:row r="238">
      <x:c r="E238" s="60"/>
      <x:c r="I238" s="52"/>
    </x:row>
    <x:row r="239">
      <x:c r="E239" s="60"/>
      <x:c r="I239" s="52"/>
    </x:row>
    <x:row r="240">
      <x:c r="E240" s="60"/>
      <x:c r="I240" s="52"/>
    </x:row>
    <x:row r="241">
      <x:c r="E241" s="60"/>
      <x:c r="I241" s="52"/>
    </x:row>
    <x:row r="242">
      <x:c r="E242" s="60"/>
      <x:c r="I242" s="52"/>
    </x:row>
    <x:row r="243">
      <x:c r="E243" s="60"/>
      <x:c r="I243" s="52"/>
    </x:row>
    <x:row r="244">
      <x:c r="E244" s="60"/>
      <x:c r="I244" s="52"/>
    </x:row>
    <x:row r="245">
      <x:c r="E245" s="60"/>
      <x:c r="I245" s="52"/>
    </x:row>
    <x:row r="246">
      <x:c r="E246" s="60"/>
      <x:c r="I246" s="52"/>
    </x:row>
    <x:row r="247">
      <x:c r="E247" s="60"/>
      <x:c r="I247" s="52"/>
    </x:row>
    <x:row r="248">
      <x:c r="E248" s="60"/>
      <x:c r="I248" s="52"/>
    </x:row>
    <x:row r="249">
      <x:c r="E249" s="60"/>
      <x:c r="I249" s="52"/>
    </x:row>
    <x:row r="250">
      <x:c r="E250" s="60"/>
      <x:c r="I250" s="52"/>
    </x:row>
    <x:row r="251">
      <x:c r="E251" s="60"/>
      <x:c r="I251" s="52"/>
    </x:row>
    <x:row r="252">
      <x:c r="E252" s="60"/>
      <x:c r="I252" s="52"/>
    </x:row>
    <x:row r="253">
      <x:c r="E253" s="60"/>
      <x:c r="I253" s="52"/>
    </x:row>
    <x:row r="254">
      <x:c r="E254" s="60"/>
      <x:c r="I254" s="52"/>
    </x:row>
    <x:row r="255">
      <x:c r="E255" s="60"/>
      <x:c r="I255" s="52"/>
    </x:row>
    <x:row r="256">
      <x:c r="E256" s="60"/>
      <x:c r="I256" s="52"/>
    </x:row>
    <x:row r="257">
      <x:c r="E257" s="60"/>
      <x:c r="I257" s="52"/>
    </x:row>
    <x:row r="258">
      <x:c r="E258" s="60"/>
      <x:c r="I258" s="52"/>
    </x:row>
    <x:row r="259">
      <x:c r="E259" s="60"/>
      <x:c r="I259" s="52"/>
    </x:row>
    <x:row r="260">
      <x:c r="E260" s="60"/>
      <x:c r="I260" s="52"/>
    </x:row>
    <x:row r="261">
      <x:c r="E261" s="60"/>
      <x:c r="I261" s="52"/>
    </x:row>
    <x:row r="262">
      <x:c r="E262" s="60"/>
      <x:c r="I262" s="52"/>
    </x:row>
    <x:row r="263">
      <x:c r="E263" s="60"/>
      <x:c r="I263" s="52"/>
    </x:row>
    <x:row r="264">
      <x:c r="E264" s="60"/>
      <x:c r="I264" s="52"/>
    </x:row>
    <x:row r="265">
      <x:c r="E265" s="60"/>
      <x:c r="I265" s="52"/>
    </x:row>
    <x:row r="266">
      <x:c r="E266" s="60"/>
      <x:c r="I266" s="52"/>
    </x:row>
    <x:row r="267">
      <x:c r="E267" s="60"/>
      <x:c r="I267" s="52"/>
    </x:row>
    <x:row r="268">
      <x:c r="E268" s="60"/>
      <x:c r="I268" s="52"/>
    </x:row>
    <x:row r="269">
      <x:c r="E269" s="60"/>
      <x:c r="I269" s="52"/>
    </x:row>
    <x:row r="270">
      <x:c r="E270" s="60"/>
      <x:c r="I270" s="52"/>
    </x:row>
    <x:row r="271">
      <x:c r="E271" s="60"/>
      <x:c r="I271" s="52"/>
    </x:row>
    <x:row r="272">
      <x:c r="E272" s="60"/>
      <x:c r="I272" s="52"/>
    </x:row>
    <x:row r="273">
      <x:c r="E273" s="60"/>
      <x:c r="I273" s="52"/>
    </x:row>
    <x:row r="274">
      <x:c r="E274" s="60"/>
      <x:c r="I274" s="52"/>
    </x:row>
    <x:row r="275">
      <x:c r="E275" s="60"/>
      <x:c r="I275" s="52"/>
    </x:row>
    <x:row r="276">
      <x:c r="E276" s="60"/>
      <x:c r="I276" s="52"/>
    </x:row>
    <x:row r="277">
      <x:c r="E277" s="60"/>
      <x:c r="I277" s="52"/>
    </x:row>
    <x:row r="278">
      <x:c r="E278" s="60"/>
      <x:c r="I278" s="52"/>
    </x:row>
    <x:row r="279">
      <x:c r="E279" s="60"/>
      <x:c r="I279" s="52"/>
    </x:row>
    <x:row r="280">
      <x:c r="E280" s="60"/>
      <x:c r="I280" s="52"/>
    </x:row>
    <x:row r="281">
      <x:c r="E281" s="60"/>
      <x:c r="I281" s="52"/>
    </x:row>
    <x:row r="282">
      <x:c r="E282" s="60"/>
      <x:c r="I282" s="52"/>
    </x:row>
    <x:row r="283">
      <x:c r="E283" s="60"/>
      <x:c r="I283" s="52"/>
    </x:row>
    <x:row r="284">
      <x:c r="E284" s="60"/>
      <x:c r="I284" s="52"/>
    </x:row>
    <x:row r="285">
      <x:c r="E285" s="60"/>
      <x:c r="I285" s="52"/>
    </x:row>
    <x:row r="286">
      <x:c r="E286" s="60"/>
      <x:c r="I286" s="52"/>
    </x:row>
    <x:row r="287">
      <x:c r="E287" s="60"/>
      <x:c r="I287" s="52"/>
    </x:row>
    <x:row r="288">
      <x:c r="E288" s="60"/>
      <x:c r="I288" s="52"/>
    </x:row>
    <x:row r="289">
      <x:c r="E289" s="60"/>
      <x:c r="I289" s="52"/>
    </x:row>
    <x:row r="290">
      <x:c r="E290" s="60"/>
      <x:c r="I290" s="52"/>
    </x:row>
    <x:row r="291">
      <x:c r="E291" s="60"/>
      <x:c r="I291" s="52"/>
    </x:row>
    <x:row r="292">
      <x:c r="E292" s="60"/>
      <x:c r="I292" s="52"/>
    </x:row>
    <x:row r="293">
      <x:c r="E293" s="60"/>
      <x:c r="I293" s="52"/>
    </x:row>
    <x:row r="294">
      <x:c r="E294" s="60"/>
      <x:c r="I294" s="52"/>
    </x:row>
    <x:row r="295">
      <x:c r="E295" s="60"/>
      <x:c r="I295" s="52"/>
    </x:row>
    <x:row r="296">
      <x:c r="E296" s="60"/>
      <x:c r="I296" s="52"/>
    </x:row>
    <x:row r="297">
      <x:c r="E297" s="60"/>
      <x:c r="I297" s="52"/>
    </x:row>
    <x:row r="298">
      <x:c r="E298" s="60"/>
      <x:c r="I298" s="52"/>
    </x:row>
    <x:row r="299">
      <x:c r="E299" s="60"/>
      <x:c r="I299" s="52"/>
    </x:row>
    <x:row r="300">
      <x:c r="E300" s="60"/>
      <x:c r="I300" s="52"/>
    </x:row>
    <x:row r="301">
      <x:c r="E301" s="60"/>
      <x:c r="I301" s="52"/>
    </x:row>
    <x:row r="302">
      <x:c r="E302" s="60"/>
      <x:c r="I302" s="52"/>
    </x:row>
    <x:row r="303">
      <x:c r="E303" s="60"/>
      <x:c r="I303" s="52"/>
    </x:row>
    <x:row r="304">
      <x:c r="E304" s="60"/>
      <x:c r="I304" s="52"/>
    </x:row>
    <x:row r="305">
      <x:c r="E305" s="60"/>
      <x:c r="I305" s="52"/>
    </x:row>
    <x:row r="306">
      <x:c r="E306" s="60"/>
      <x:c r="I306" s="52"/>
    </x:row>
    <x:row r="307">
      <x:c r="E307" s="60"/>
      <x:c r="I307" s="52"/>
    </x:row>
    <x:row r="308">
      <x:c r="E308" s="60"/>
      <x:c r="I308" s="52"/>
    </x:row>
    <x:row r="309">
      <x:c r="E309" s="60"/>
      <x:c r="I309" s="52"/>
    </x:row>
    <x:row r="310">
      <x:c r="E310" s="60"/>
      <x:c r="I310" s="52"/>
    </x:row>
    <x:row r="311">
      <x:c r="E311" s="60"/>
      <x:c r="I311" s="52"/>
    </x:row>
    <x:row r="312">
      <x:c r="E312" s="60"/>
      <x:c r="I312" s="52"/>
    </x:row>
    <x:row r="313">
      <x:c r="E313" s="60"/>
      <x:c r="I313" s="52"/>
    </x:row>
    <x:row r="314">
      <x:c r="E314" s="60"/>
      <x:c r="I314" s="52"/>
    </x:row>
    <x:row r="315">
      <x:c r="E315" s="60"/>
      <x:c r="I315" s="52"/>
    </x:row>
    <x:row r="316">
      <x:c r="E316" s="60"/>
      <x:c r="I316" s="52"/>
    </x:row>
    <x:row r="317">
      <x:c r="E317" s="60"/>
      <x:c r="I317" s="52"/>
    </x:row>
    <x:row r="318">
      <x:c r="E318" s="60"/>
      <x:c r="I318" s="52"/>
    </x:row>
    <x:row r="319">
      <x:c r="E319" s="60"/>
      <x:c r="I319" s="52"/>
    </x:row>
    <x:row r="320">
      <x:c r="E320" s="60"/>
      <x:c r="I320" s="52"/>
    </x:row>
    <x:row r="321">
      <x:c r="E321" s="60"/>
      <x:c r="I321" s="52"/>
    </x:row>
    <x:row r="322">
      <x:c r="E322" s="60"/>
      <x:c r="I322" s="52"/>
    </x:row>
    <x:row r="323">
      <x:c r="E323" s="60"/>
      <x:c r="I323" s="52"/>
    </x:row>
    <x:row r="324">
      <x:c r="E324" s="60"/>
      <x:c r="I324" s="52"/>
    </x:row>
    <x:row r="325">
      <x:c r="E325" s="60"/>
      <x:c r="I325" s="52"/>
    </x:row>
    <x:row r="326">
      <x:c r="E326" s="60"/>
      <x:c r="I326" s="52"/>
    </x:row>
    <x:row r="327">
      <x:c r="E327" s="60"/>
      <x:c r="I327" s="52"/>
    </x:row>
    <x:row r="328">
      <x:c r="E328" s="60"/>
      <x:c r="I328" s="52"/>
    </x:row>
    <x:row r="329">
      <x:c r="E329" s="60"/>
      <x:c r="I329" s="52"/>
    </x:row>
    <x:row r="330">
      <x:c r="E330" s="60"/>
      <x:c r="I330" s="52"/>
    </x:row>
    <x:row r="331">
      <x:c r="E331" s="60"/>
      <x:c r="I331" s="52"/>
    </x:row>
    <x:row r="332">
      <x:c r="E332" s="60"/>
      <x:c r="I332" s="52"/>
    </x:row>
    <x:row r="333">
      <x:c r="E333" s="60"/>
      <x:c r="I333" s="52"/>
    </x:row>
    <x:row r="334">
      <x:c r="E334" s="60"/>
      <x:c r="I334" s="52"/>
    </x:row>
    <x:row r="335">
      <x:c r="E335" s="60"/>
      <x:c r="I335" s="52"/>
    </x:row>
    <x:row r="336">
      <x:c r="E336" s="60"/>
      <x:c r="I336" s="52"/>
    </x:row>
    <x:row r="337">
      <x:c r="E337" s="60"/>
      <x:c r="I337" s="52"/>
    </x:row>
    <x:row r="338">
      <x:c r="E338" s="60"/>
      <x:c r="I338" s="52"/>
    </x:row>
    <x:row r="339">
      <x:c r="E339" s="60"/>
      <x:c r="I339" s="52"/>
    </x:row>
    <x:row r="340">
      <x:c r="E340" s="60"/>
      <x:c r="I340" s="52"/>
    </x:row>
    <x:row r="341">
      <x:c r="E341" s="60"/>
      <x:c r="I341" s="52"/>
    </x:row>
    <x:row r="342">
      <x:c r="E342" s="60"/>
      <x:c r="I342" s="52"/>
    </x:row>
    <x:row r="343">
      <x:c r="E343" s="60"/>
      <x:c r="I343" s="52"/>
    </x:row>
    <x:row r="344">
      <x:c r="E344" s="60"/>
      <x:c r="I344" s="52"/>
    </x:row>
    <x:row r="345">
      <x:c r="E345" s="60"/>
      <x:c r="I345" s="52"/>
    </x:row>
    <x:row r="346">
      <x:c r="E346" s="60"/>
      <x:c r="I346" s="52"/>
    </x:row>
    <x:row r="347">
      <x:c r="E347" s="60"/>
      <x:c r="I347" s="52"/>
    </x:row>
    <x:row r="348">
      <x:c r="E348" s="60"/>
      <x:c r="I348" s="52"/>
    </x:row>
    <x:row r="349">
      <x:c r="E349" s="60"/>
      <x:c r="I349" s="52"/>
    </x:row>
    <x:row r="350">
      <x:c r="E350" s="60"/>
      <x:c r="I350" s="52"/>
    </x:row>
    <x:row r="351">
      <x:c r="E351" s="60"/>
      <x:c r="I351" s="52"/>
    </x:row>
    <x:row r="352">
      <x:c r="E352" s="60"/>
      <x:c r="I352" s="52"/>
    </x:row>
    <x:row r="353">
      <x:c r="E353" s="60"/>
      <x:c r="I353" s="52"/>
    </x:row>
    <x:row r="354">
      <x:c r="E354" s="60"/>
      <x:c r="I354" s="52"/>
    </x:row>
    <x:row r="355">
      <x:c r="E355" s="60"/>
      <x:c r="I355" s="52"/>
    </x:row>
    <x:row r="356">
      <x:c r="E356" s="60"/>
      <x:c r="I356" s="52"/>
    </x:row>
    <x:row r="357">
      <x:c r="E357" s="60"/>
      <x:c r="I357" s="52"/>
    </x:row>
    <x:row r="358">
      <x:c r="E358" s="60"/>
      <x:c r="I358" s="52"/>
    </x:row>
    <x:row r="359">
      <x:c r="E359" s="60"/>
      <x:c r="I359" s="52"/>
    </x:row>
    <x:row r="360">
      <x:c r="E360" s="60"/>
      <x:c r="I360" s="52"/>
    </x:row>
    <x:row r="361">
      <x:c r="E361" s="60"/>
      <x:c r="I361" s="52"/>
    </x:row>
    <x:row r="362">
      <x:c r="E362" s="60"/>
      <x:c r="I362" s="52"/>
    </x:row>
    <x:row r="363">
      <x:c r="E363" s="60"/>
      <x:c r="I363" s="52"/>
    </x:row>
    <x:row r="364">
      <x:c r="E364" s="60"/>
      <x:c r="I364" s="52"/>
    </x:row>
    <x:row r="365">
      <x:c r="E365" s="60"/>
      <x:c r="I365" s="52"/>
    </x:row>
    <x:row r="366">
      <x:c r="E366" s="60"/>
      <x:c r="I366" s="52"/>
    </x:row>
    <x:row r="367">
      <x:c r="E367" s="60"/>
      <x:c r="I367" s="52"/>
    </x:row>
    <x:row r="368">
      <x:c r="E368" s="60"/>
      <x:c r="I368" s="52"/>
    </x:row>
    <x:row r="369">
      <x:c r="E369" s="60"/>
      <x:c r="I369" s="52"/>
    </x:row>
    <x:row r="370">
      <x:c r="E370" s="60"/>
      <x:c r="I370" s="52"/>
    </x:row>
    <x:row r="371">
      <x:c r="E371" s="60"/>
      <x:c r="I371" s="52"/>
    </x:row>
    <x:row r="372">
      <x:c r="E372" s="60"/>
      <x:c r="I372" s="52"/>
    </x:row>
    <x:row r="373">
      <x:c r="E373" s="60"/>
      <x:c r="I373" s="52"/>
    </x:row>
    <x:row r="374">
      <x:c r="E374" s="60"/>
      <x:c r="I374" s="52"/>
    </x:row>
    <x:row r="375">
      <x:c r="E375" s="60"/>
      <x:c r="I375" s="52"/>
    </x:row>
    <x:row r="376">
      <x:c r="E376" s="60"/>
      <x:c r="I376" s="52"/>
    </x:row>
    <x:row r="377">
      <x:c r="E377" s="60"/>
      <x:c r="I377" s="52"/>
    </x:row>
    <x:row r="378">
      <x:c r="E378" s="60"/>
      <x:c r="I378" s="52"/>
    </x:row>
    <x:row r="379">
      <x:c r="E379" s="60"/>
      <x:c r="I379" s="52"/>
    </x:row>
    <x:row r="380">
      <x:c r="E380" s="60"/>
      <x:c r="I380" s="52"/>
    </x:row>
    <x:row r="381">
      <x:c r="E381" s="60"/>
      <x:c r="I381" s="52"/>
    </x:row>
    <x:row r="382">
      <x:c r="E382" s="60"/>
      <x:c r="I382" s="52"/>
    </x:row>
    <x:row r="383">
      <x:c r="E383" s="60"/>
      <x:c r="I383" s="52"/>
    </x:row>
    <x:row r="384">
      <x:c r="E384" s="60"/>
      <x:c r="I384" s="52"/>
    </x:row>
    <x:row r="385">
      <x:c r="E385" s="60"/>
      <x:c r="I385" s="52"/>
    </x:row>
    <x:row r="386">
      <x:c r="E386" s="60"/>
      <x:c r="I386" s="52"/>
    </x:row>
    <x:row r="387">
      <x:c r="E387" s="60"/>
      <x:c r="I387" s="52"/>
    </x:row>
    <x:row r="388">
      <x:c r="E388" s="60"/>
      <x:c r="I388" s="52"/>
    </x:row>
    <x:row r="389">
      <x:c r="E389" s="60"/>
      <x:c r="I389" s="52"/>
    </x:row>
    <x:row r="390">
      <x:c r="E390" s="60"/>
      <x:c r="I390" s="52"/>
    </x:row>
    <x:row r="391">
      <x:c r="E391" s="60"/>
      <x:c r="I391" s="52"/>
    </x:row>
    <x:row r="392">
      <x:c r="E392" s="60"/>
      <x:c r="I392" s="52"/>
    </x:row>
    <x:row r="393">
      <x:c r="E393" s="60"/>
      <x:c r="I393" s="52"/>
    </x:row>
    <x:row r="394">
      <x:c r="E394" s="60"/>
      <x:c r="I394" s="52"/>
    </x:row>
    <x:row r="395">
      <x:c r="E395" s="60"/>
      <x:c r="I395" s="52"/>
    </x:row>
    <x:row r="396">
      <x:c r="E396" s="60"/>
      <x:c r="I396" s="52"/>
    </x:row>
    <x:row r="397">
      <x:c r="E397" s="60"/>
      <x:c r="I397" s="52"/>
    </x:row>
    <x:row r="398">
      <x:c r="E398" s="60"/>
      <x:c r="I398" s="52"/>
    </x:row>
    <x:row r="399">
      <x:c r="E399" s="60"/>
      <x:c r="I399" s="52"/>
    </x:row>
    <x:row r="400">
      <x:c r="E400" s="60"/>
      <x:c r="I400" s="52"/>
    </x:row>
    <x:row r="401">
      <x:c r="E401" s="60"/>
      <x:c r="I401" s="52"/>
    </x:row>
    <x:row r="402">
      <x:c r="E402" s="60"/>
      <x:c r="I402" s="52"/>
    </x:row>
    <x:row r="403">
      <x:c r="E403" s="60"/>
      <x:c r="I403" s="52"/>
    </x:row>
    <x:row r="404">
      <x:c r="E404" s="60"/>
      <x:c r="I404" s="52"/>
    </x:row>
    <x:row r="405">
      <x:c r="E405" s="60"/>
      <x:c r="I405" s="52"/>
    </x:row>
    <x:row r="406">
      <x:c r="E406" s="60"/>
      <x:c r="I406" s="52"/>
    </x:row>
    <x:row r="407">
      <x:c r="E407" s="60"/>
      <x:c r="I407" s="52"/>
    </x:row>
    <x:row r="408">
      <x:c r="E408" s="60"/>
      <x:c r="I408" s="52"/>
    </x:row>
    <x:row r="409">
      <x:c r="E409" s="60"/>
      <x:c r="I409" s="52"/>
    </x:row>
    <x:row r="410">
      <x:c r="E410" s="60"/>
      <x:c r="I410" s="52"/>
    </x:row>
    <x:row r="411">
      <x:c r="E411" s="60"/>
      <x:c r="I411" s="52"/>
    </x:row>
    <x:row r="412">
      <x:c r="E412" s="60"/>
      <x:c r="I412" s="52"/>
    </x:row>
    <x:row r="413">
      <x:c r="E413" s="60"/>
      <x:c r="I413" s="52"/>
    </x:row>
    <x:row r="414">
      <x:c r="E414" s="60"/>
      <x:c r="I414" s="52"/>
    </x:row>
    <x:row r="415">
      <x:c r="E415" s="60"/>
      <x:c r="I415" s="52"/>
    </x:row>
    <x:row r="416">
      <x:c r="E416" s="60"/>
      <x:c r="I416" s="52"/>
    </x:row>
    <x:row r="417">
      <x:c r="E417" s="60"/>
      <x:c r="I417" s="52"/>
    </x:row>
    <x:row r="418">
      <x:c r="E418" s="60"/>
      <x:c r="I418" s="52"/>
    </x:row>
    <x:row r="419">
      <x:c r="E419" s="60"/>
      <x:c r="I419" s="52"/>
    </x:row>
    <x:row r="420">
      <x:c r="E420" s="60"/>
      <x:c r="I420" s="52"/>
    </x:row>
    <x:row r="421">
      <x:c r="E421" s="60"/>
      <x:c r="I421" s="52"/>
    </x:row>
    <x:row r="422">
      <x:c r="E422" s="60"/>
      <x:c r="I422" s="52"/>
    </x:row>
    <x:row r="423">
      <x:c r="E423" s="60"/>
      <x:c r="I423" s="52"/>
    </x:row>
    <x:row r="424">
      <x:c r="E424" s="60"/>
      <x:c r="I424" s="52"/>
    </x:row>
    <x:row r="425">
      <x:c r="E425" s="60"/>
      <x:c r="I425" s="52"/>
    </x:row>
    <x:row r="426">
      <x:c r="E426" s="60"/>
      <x:c r="I426" s="52"/>
    </x:row>
    <x:row r="427">
      <x:c r="E427" s="60"/>
      <x:c r="I427" s="52"/>
    </x:row>
    <x:row r="428">
      <x:c r="E428" s="60"/>
      <x:c r="I428" s="52"/>
    </x:row>
    <x:row r="429">
      <x:c r="E429" s="60"/>
      <x:c r="I429" s="52"/>
    </x:row>
    <x:row r="430">
      <x:c r="E430" s="60"/>
      <x:c r="I430" s="52"/>
    </x:row>
    <x:row r="431">
      <x:c r="E431" s="60"/>
      <x:c r="I431" s="52"/>
    </x:row>
    <x:row r="432">
      <x:c r="E432" s="60"/>
      <x:c r="I432" s="52"/>
    </x:row>
    <x:row r="433">
      <x:c r="E433" s="60"/>
      <x:c r="I433" s="52"/>
    </x:row>
    <x:row r="434">
      <x:c r="E434" s="60"/>
      <x:c r="I434" s="52"/>
    </x:row>
    <x:row r="435">
      <x:c r="E435" s="60"/>
      <x:c r="I435" s="52"/>
    </x:row>
    <x:row r="436">
      <x:c r="E436" s="60"/>
      <x:c r="I436" s="52"/>
    </x:row>
    <x:row r="437">
      <x:c r="E437" s="60"/>
      <x:c r="I437" s="52"/>
    </x:row>
    <x:row r="438">
      <x:c r="E438" s="60"/>
      <x:c r="I438" s="52"/>
    </x:row>
    <x:row r="439">
      <x:c r="E439" s="60"/>
      <x:c r="I439" s="52"/>
    </x:row>
    <x:row r="440">
      <x:c r="E440" s="60"/>
      <x:c r="I440" s="52"/>
    </x:row>
    <x:row r="441">
      <x:c r="E441" s="60"/>
      <x:c r="I441" s="52"/>
    </x:row>
    <x:row r="442">
      <x:c r="E442" s="60"/>
      <x:c r="I442" s="52"/>
    </x:row>
    <x:row r="443">
      <x:c r="E443" s="60"/>
      <x:c r="I443" s="52"/>
    </x:row>
    <x:row r="444">
      <x:c r="E444" s="60"/>
      <x:c r="I444" s="52"/>
    </x:row>
    <x:row r="445">
      <x:c r="E445" s="60"/>
      <x:c r="I445" s="52"/>
    </x:row>
    <x:row r="446">
      <x:c r="E446" s="60"/>
      <x:c r="I446" s="52"/>
    </x:row>
    <x:row r="447">
      <x:c r="E447" s="60"/>
      <x:c r="I447" s="52"/>
    </x:row>
    <x:row r="448">
      <x:c r="E448" s="60"/>
      <x:c r="I448" s="52"/>
    </x:row>
    <x:row r="449">
      <x:c r="E449" s="60"/>
      <x:c r="I449" s="52"/>
    </x:row>
    <x:row r="450">
      <x:c r="E450" s="60"/>
      <x:c r="I450" s="52"/>
    </x:row>
    <x:row r="451">
      <x:c r="E451" s="60"/>
      <x:c r="I451" s="52"/>
    </x:row>
    <x:row r="452">
      <x:c r="E452" s="60"/>
      <x:c r="I452" s="52"/>
    </x:row>
    <x:row r="453">
      <x:c r="E453" s="60"/>
      <x:c r="I453" s="52"/>
    </x:row>
    <x:row r="454">
      <x:c r="E454" s="60"/>
      <x:c r="I454" s="52"/>
    </x:row>
    <x:row r="455">
      <x:c r="E455" s="60"/>
      <x:c r="I455" s="52"/>
    </x:row>
    <x:row r="456">
      <x:c r="E456" s="60"/>
      <x:c r="I456" s="52"/>
    </x:row>
    <x:row r="457">
      <x:c r="E457" s="60"/>
      <x:c r="I457" s="52"/>
    </x:row>
    <x:row r="458">
      <x:c r="E458" s="60"/>
      <x:c r="I458" s="52"/>
    </x:row>
    <x:row r="459">
      <x:c r="E459" s="60"/>
      <x:c r="I459" s="52"/>
    </x:row>
    <x:row r="460">
      <x:c r="E460" s="60"/>
      <x:c r="I460" s="52"/>
    </x:row>
    <x:row r="461">
      <x:c r="E461" s="60"/>
      <x:c r="I461" s="52"/>
    </x:row>
    <x:row r="462">
      <x:c r="E462" s="60"/>
      <x:c r="I462" s="52"/>
    </x:row>
    <x:row r="463">
      <x:c r="E463" s="60"/>
      <x:c r="I463" s="52"/>
    </x:row>
    <x:row r="464">
      <x:c r="E464" s="60"/>
      <x:c r="I464" s="52"/>
    </x:row>
    <x:row r="465">
      <x:c r="E465" s="60"/>
      <x:c r="I465" s="52"/>
    </x:row>
    <x:row r="466">
      <x:c r="E466" s="60"/>
      <x:c r="I466" s="52"/>
    </x:row>
    <x:row r="467">
      <x:c r="E467" s="60"/>
      <x:c r="I467" s="52"/>
    </x:row>
    <x:row r="468">
      <x:c r="E468" s="60"/>
      <x:c r="I468" s="52"/>
    </x:row>
    <x:row r="469">
      <x:c r="E469" s="60"/>
      <x:c r="I469" s="52"/>
    </x:row>
    <x:row r="470">
      <x:c r="E470" s="60"/>
      <x:c r="I470" s="52"/>
    </x:row>
    <x:row r="471">
      <x:c r="E471" s="60"/>
      <x:c r="I471" s="52"/>
    </x:row>
    <x:row r="472">
      <x:c r="E472" s="60"/>
      <x:c r="I472" s="52"/>
    </x:row>
    <x:row r="473">
      <x:c r="E473" s="60"/>
      <x:c r="I473" s="52"/>
    </x:row>
    <x:row r="474">
      <x:c r="E474" s="60"/>
      <x:c r="I474" s="52"/>
    </x:row>
    <x:row r="475">
      <x:c r="E475" s="60"/>
      <x:c r="I475" s="52"/>
    </x:row>
    <x:row r="476">
      <x:c r="E476" s="60"/>
      <x:c r="I476" s="52"/>
    </x:row>
    <x:row r="477">
      <x:c r="E477" s="60"/>
      <x:c r="I477" s="52"/>
    </x:row>
    <x:row r="478">
      <x:c r="E478" s="60"/>
      <x:c r="I478" s="52"/>
    </x:row>
    <x:row r="479">
      <x:c r="E479" s="60"/>
      <x:c r="I479" s="52"/>
    </x:row>
    <x:row r="480">
      <x:c r="E480" s="60"/>
      <x:c r="I480" s="52"/>
    </x:row>
    <x:row r="481">
      <x:c r="E481" s="60"/>
      <x:c r="I481" s="52"/>
    </x:row>
    <x:row r="482">
      <x:c r="E482" s="60"/>
      <x:c r="I482" s="52"/>
    </x:row>
    <x:row r="483">
      <x:c r="E483" s="60"/>
      <x:c r="I483" s="52"/>
    </x:row>
    <x:row r="484">
      <x:c r="E484" s="60"/>
      <x:c r="I484" s="52"/>
    </x:row>
    <x:row r="485">
      <x:c r="E485" s="60"/>
      <x:c r="I485" s="52"/>
    </x:row>
    <x:row r="486">
      <x:c r="E486" s="60"/>
      <x:c r="I486" s="52"/>
    </x:row>
    <x:row r="487">
      <x:c r="E487" s="60"/>
      <x:c r="I487" s="52"/>
    </x:row>
    <x:row r="488">
      <x:c r="E488" s="60"/>
      <x:c r="I488" s="52"/>
    </x:row>
    <x:row r="489">
      <x:c r="E489" s="60"/>
      <x:c r="I489" s="52"/>
    </x:row>
    <x:row r="490">
      <x:c r="E490" s="60"/>
      <x:c r="I490" s="52"/>
    </x:row>
    <x:row r="491">
      <x:c r="E491" s="60"/>
      <x:c r="I491" s="52"/>
    </x:row>
    <x:row r="492">
      <x:c r="E492" s="60"/>
      <x:c r="I492" s="52"/>
    </x:row>
    <x:row r="493">
      <x:c r="E493" s="60"/>
      <x:c r="I493" s="52"/>
    </x:row>
    <x:row r="494">
      <x:c r="E494" s="60"/>
      <x:c r="I494" s="52"/>
    </x:row>
    <x:row r="495">
      <x:c r="E495" s="60"/>
      <x:c r="I495" s="52"/>
    </x:row>
    <x:row r="496">
      <x:c r="E496" s="60"/>
      <x:c r="I496" s="52"/>
    </x:row>
    <x:row r="497">
      <x:c r="E497" s="60"/>
      <x:c r="I497" s="52"/>
    </x:row>
    <x:row r="498">
      <x:c r="E498" s="60"/>
      <x:c r="I498" s="52"/>
    </x:row>
    <x:row r="499">
      <x:c r="E499" s="60"/>
      <x:c r="I499" s="52"/>
    </x:row>
    <x:row r="500">
      <x:c r="E500" s="60"/>
      <x:c r="I500" s="52"/>
    </x:row>
    <x:row r="501">
      <x:c r="E501" s="60"/>
      <x:c r="I501" s="52"/>
    </x:row>
    <x:row r="502">
      <x:c r="E502" s="60"/>
      <x:c r="I502" s="52"/>
    </x:row>
    <x:row r="503">
      <x:c r="E503" s="60"/>
      <x:c r="I503" s="52"/>
    </x:row>
    <x:row r="504">
      <x:c r="E504" s="60"/>
      <x:c r="I504" s="52"/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d3adee060fdf4ac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0" hidden="0" customWidth="1"/>
  </x:cols>
  <x:sheetData>
    <x:row r="1">
      <x:c r="A1" s="130" t="str">
        <x:v>Automated Import &amp; Write-Back Control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32" t="str">
        <x:v>Use connector CSV/JSON outputs as import batches. Validation and duplicate checks occur before records are written to Master Tenders.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</x:row>
    <x:row r="5">
      <x:c r="A5" s="137" t="str">
        <x:v>Import Setting</x:v>
      </x:c>
      <x:c r="B5" s="137" t="str">
        <x:v>Value</x:v>
      </x:c>
      <x:c r="C5" s="137" t="str">
        <x:v>Description</x:v>
      </x:c>
      <x:c r="D5" s="137" t="str">
        <x:v>Required</x:v>
      </x:c>
    </x:row>
    <x:row r="6">
      <x:c r="A6" t="str">
        <x:v>Import folder</x:v>
      </x:c>
      <x:c r="B6" t="str">
        <x:v>imports</x:v>
      </x:c>
      <x:c r="C6" t="str">
        <x:v>Folder containing connector output files</x:v>
      </x:c>
      <x:c r="D6" t="str">
        <x:v>Yes</x:v>
      </x:c>
    </x:row>
    <x:row r="7">
      <x:c r="A7" t="str">
        <x:v>Archive folder</x:v>
      </x:c>
      <x:c r="B7" t="str">
        <x:v>archive</x:v>
      </x:c>
      <x:c r="C7" t="str">
        <x:v>Processed files are moved here</x:v>
      </x:c>
      <x:c r="D7" t="str">
        <x:v>Yes</x:v>
      </x:c>
    </x:row>
    <x:row r="8">
      <x:c r="A8" t="str">
        <x:v>Rejected folder</x:v>
      </x:c>
      <x:c r="B8" t="str">
        <x:v>rejected</x:v>
      </x:c>
      <x:c r="C8" t="str">
        <x:v>Invalid files and rows</x:v>
      </x:c>
      <x:c r="D8" t="str">
        <x:v>Yes</x:v>
      </x:c>
    </x:row>
    <x:row r="9">
      <x:c r="A9" t="str">
        <x:v>Supported formats</x:v>
      </x:c>
      <x:c r="B9" t="str">
        <x:v>CSV, JSON</x:v>
      </x:c>
      <x:c r="C9" t="str">
        <x:v>CSV or JSON array records</x:v>
      </x:c>
      <x:c r="D9" t="str">
        <x:v>Yes</x:v>
      </x:c>
    </x:row>
    <x:row r="10">
      <x:c r="A10" t="str">
        <x:v>Duplicate policy</x:v>
      </x:c>
      <x:c r="B10" t="str">
        <x:v>Update existing</x:v>
      </x:c>
      <x:c r="C10" t="str">
        <x:v>Skip or update matching Agency + Tender Number</x:v>
      </x:c>
      <x:c r="D10" t="str">
        <x:v>Yes</x:v>
      </x:c>
    </x:row>
    <x:row r="11">
      <x:c r="A11" t="str">
        <x:v>Apply approved reviews</x:v>
      </x:c>
      <x:c r="B11" t="str">
        <x:v>Yes</x:v>
      </x:c>
      <x:c r="C11" t="str">
        <x:v>Apply Change Review rows marked Approve</x:v>
      </x:c>
      <x:c r="D11" t="str">
        <x:v>Yes</x:v>
      </x:c>
    </x:row>
    <x:row r="14">
      <x:c r="A14" s="137" t="str">
        <x:v>Batch ID</x:v>
      </x:c>
      <x:c r="B14" s="137" t="str">
        <x:v>File Name</x:v>
      </x:c>
      <x:c r="C14" s="137" t="str">
        <x:v>File Type</x:v>
      </x:c>
      <x:c r="D14" s="137" t="str">
        <x:v>Agency</x:v>
      </x:c>
      <x:c r="E14" s="137" t="str">
        <x:v>Received On</x:v>
      </x:c>
      <x:c r="F14" s="137" t="str">
        <x:v>Records Read</x:v>
      </x:c>
      <x:c r="G14" s="137" t="str">
        <x:v>Valid</x:v>
      </x:c>
      <x:c r="H14" s="137" t="str">
        <x:v>Rejected</x:v>
      </x:c>
      <x:c r="I14" s="137" t="str">
        <x:v>New</x:v>
      </x:c>
      <x:c r="J14" s="137" t="str">
        <x:v>Updated</x:v>
      </x:c>
      <x:c r="K14" s="137" t="str">
        <x:v>Review Items</x:v>
      </x:c>
      <x:c r="L14" s="137" t="str">
        <x:v>Batch Status</x:v>
      </x:c>
    </x:row>
    <x:row r="15">
      <x:c r="E15" s="60"/>
    </x:row>
    <x:row r="16">
      <x:c r="E16" s="60"/>
    </x:row>
    <x:row r="17">
      <x:c r="E17" s="60"/>
    </x:row>
    <x:row r="18">
      <x:c r="E18" s="60"/>
    </x:row>
    <x:row r="19">
      <x:c r="E19" s="60"/>
    </x:row>
    <x:row r="20">
      <x:c r="E20" s="60"/>
    </x:row>
    <x:row r="21">
      <x:c r="E21" s="60"/>
    </x:row>
    <x:row r="22">
      <x:c r="E22" s="60"/>
    </x:row>
    <x:row r="23">
      <x:c r="E23" s="60"/>
    </x:row>
    <x:row r="24">
      <x:c r="E24" s="60"/>
    </x:row>
    <x:row r="25">
      <x:c r="E25" s="60"/>
    </x:row>
    <x:row r="26">
      <x:c r="E26" s="60"/>
    </x:row>
    <x:row r="27">
      <x:c r="E27" s="60"/>
    </x:row>
    <x:row r="28">
      <x:c r="E28" s="60"/>
    </x:row>
    <x:row r="29">
      <x:c r="E29" s="60"/>
    </x:row>
    <x:row r="30">
      <x:c r="E30" s="60"/>
    </x:row>
    <x:row r="31">
      <x:c r="E31" s="60"/>
    </x:row>
    <x:row r="32">
      <x:c r="E32" s="60"/>
    </x:row>
    <x:row r="33">
      <x:c r="E33" s="60"/>
    </x:row>
    <x:row r="34">
      <x:c r="E34" s="60"/>
    </x:row>
    <x:row r="35">
      <x:c r="E35" s="60"/>
    </x:row>
    <x:row r="36">
      <x:c r="E36" s="60"/>
    </x:row>
    <x:row r="37">
      <x:c r="E37" s="60"/>
    </x:row>
    <x:row r="38">
      <x:c r="E38" s="60"/>
    </x:row>
    <x:row r="39">
      <x:c r="E39" s="60"/>
    </x:row>
    <x:row r="40">
      <x:c r="E40" s="60"/>
    </x:row>
    <x:row r="41">
      <x:c r="E41" s="60"/>
    </x:row>
    <x:row r="42">
      <x:c r="E42" s="60"/>
    </x:row>
    <x:row r="43">
      <x:c r="E43" s="60"/>
    </x:row>
    <x:row r="44">
      <x:c r="E44" s="60"/>
    </x:row>
    <x:row r="45">
      <x:c r="E45" s="60"/>
    </x:row>
    <x:row r="46">
      <x:c r="E46" s="60"/>
    </x:row>
    <x:row r="47">
      <x:c r="E47" s="60"/>
    </x:row>
    <x:row r="48">
      <x:c r="E48" s="60"/>
    </x:row>
    <x:row r="49">
      <x:c r="E49" s="60"/>
    </x:row>
    <x:row r="50">
      <x:c r="E50" s="60"/>
    </x:row>
    <x:row r="51">
      <x:c r="E51" s="60"/>
    </x:row>
    <x:row r="52">
      <x:c r="E52" s="60"/>
    </x:row>
    <x:row r="53">
      <x:c r="E53" s="60"/>
    </x:row>
    <x:row r="54">
      <x:c r="E54" s="60"/>
    </x:row>
    <x:row r="55">
      <x:c r="E55" s="60"/>
    </x:row>
    <x:row r="56">
      <x:c r="E56" s="60"/>
    </x:row>
    <x:row r="57">
      <x:c r="E57" s="60"/>
    </x:row>
    <x:row r="58">
      <x:c r="E58" s="60"/>
    </x:row>
    <x:row r="59">
      <x:c r="E59" s="60"/>
    </x:row>
    <x:row r="60">
      <x:c r="E60" s="60"/>
    </x:row>
    <x:row r="61">
      <x:c r="E61" s="60"/>
    </x:row>
    <x:row r="62">
      <x:c r="E62" s="60"/>
    </x:row>
    <x:row r="63">
      <x:c r="E63" s="60"/>
    </x:row>
    <x:row r="64">
      <x:c r="E64" s="60"/>
    </x:row>
    <x:row r="65">
      <x:c r="E65" s="60"/>
    </x:row>
    <x:row r="66">
      <x:c r="E66" s="60"/>
    </x:row>
    <x:row r="67">
      <x:c r="E67" s="60"/>
    </x:row>
    <x:row r="68">
      <x:c r="E68" s="60"/>
    </x:row>
    <x:row r="69">
      <x:c r="E69" s="60"/>
    </x:row>
    <x:row r="70">
      <x:c r="E70" s="60"/>
    </x:row>
    <x:row r="71">
      <x:c r="E71" s="60"/>
    </x:row>
    <x:row r="72">
      <x:c r="E72" s="60"/>
    </x:row>
    <x:row r="73">
      <x:c r="E73" s="60"/>
    </x:row>
    <x:row r="74">
      <x:c r="E74" s="60"/>
    </x:row>
    <x:row r="75">
      <x:c r="E75" s="60"/>
    </x:row>
    <x:row r="76">
      <x:c r="E76" s="60"/>
    </x:row>
    <x:row r="77">
      <x:c r="E77" s="60"/>
    </x:row>
    <x:row r="78">
      <x:c r="E78" s="60"/>
    </x:row>
    <x:row r="79">
      <x:c r="E79" s="60"/>
    </x:row>
    <x:row r="80">
      <x:c r="E80" s="60"/>
    </x:row>
    <x:row r="81">
      <x:c r="E81" s="60"/>
    </x:row>
    <x:row r="82">
      <x:c r="E82" s="60"/>
    </x:row>
    <x:row r="83">
      <x:c r="E83" s="60"/>
    </x:row>
    <x:row r="84">
      <x:c r="E84" s="60"/>
    </x:row>
    <x:row r="85">
      <x:c r="E85" s="60"/>
    </x:row>
    <x:row r="86">
      <x:c r="E86" s="60"/>
    </x:row>
    <x:row r="87">
      <x:c r="E87" s="60"/>
    </x:row>
    <x:row r="88">
      <x:c r="E88" s="60"/>
    </x:row>
    <x:row r="89">
      <x:c r="E89" s="60"/>
    </x:row>
    <x:row r="90">
      <x:c r="E90" s="60"/>
    </x:row>
    <x:row r="91">
      <x:c r="E91" s="60"/>
    </x:row>
    <x:row r="92">
      <x:c r="E92" s="60"/>
    </x:row>
    <x:row r="93">
      <x:c r="E93" s="60"/>
    </x:row>
    <x:row r="94">
      <x:c r="E94" s="60"/>
    </x:row>
    <x:row r="95">
      <x:c r="E95" s="60"/>
    </x:row>
    <x:row r="96">
      <x:c r="E96" s="60"/>
    </x:row>
    <x:row r="97">
      <x:c r="E97" s="60"/>
    </x:row>
    <x:row r="98">
      <x:c r="E98" s="60"/>
    </x:row>
    <x:row r="99">
      <x:c r="E99" s="60"/>
    </x:row>
    <x:row r="100">
      <x:c r="E100" s="60"/>
    </x:row>
    <x:row r="101">
      <x:c r="E101" s="60"/>
    </x:row>
    <x:row r="102">
      <x:c r="E102" s="60"/>
    </x:row>
    <x:row r="103">
      <x:c r="E103" s="60"/>
    </x:row>
    <x:row r="104">
      <x:c r="E104" s="60"/>
    </x:row>
    <x:row r="105">
      <x:c r="E105" s="60"/>
    </x:row>
    <x:row r="106">
      <x:c r="E106" s="60"/>
    </x:row>
    <x:row r="107">
      <x:c r="E107" s="60"/>
    </x:row>
    <x:row r="108">
      <x:c r="E108" s="60"/>
    </x:row>
    <x:row r="109">
      <x:c r="E109" s="60"/>
    </x:row>
    <x:row r="110">
      <x:c r="E110" s="60"/>
    </x:row>
    <x:row r="111">
      <x:c r="E111" s="60"/>
    </x:row>
    <x:row r="112">
      <x:c r="E112" s="60"/>
    </x:row>
    <x:row r="113">
      <x:c r="E113" s="60"/>
    </x:row>
    <x:row r="114">
      <x:c r="E114" s="60"/>
    </x:row>
    <x:row r="115">
      <x:c r="E115" s="60"/>
    </x:row>
    <x:row r="116">
      <x:c r="E116" s="60"/>
    </x:row>
    <x:row r="117">
      <x:c r="E117" s="60"/>
    </x:row>
    <x:row r="118">
      <x:c r="E118" s="60"/>
    </x:row>
    <x:row r="119">
      <x:c r="E119" s="60"/>
    </x:row>
    <x:row r="120">
      <x:c r="E120" s="60"/>
    </x:row>
    <x:row r="121">
      <x:c r="E121" s="60"/>
    </x:row>
    <x:row r="122">
      <x:c r="E122" s="60"/>
    </x:row>
    <x:row r="123">
      <x:c r="E123" s="60"/>
    </x:row>
    <x:row r="124">
      <x:c r="E124" s="60"/>
    </x:row>
    <x:row r="125">
      <x:c r="E125" s="60"/>
    </x:row>
    <x:row r="126">
      <x:c r="E126" s="60"/>
    </x:row>
    <x:row r="127">
      <x:c r="E127" s="60"/>
    </x:row>
    <x:row r="128">
      <x:c r="E128" s="60"/>
    </x:row>
    <x:row r="129">
      <x:c r="E129" s="60"/>
    </x:row>
    <x:row r="130">
      <x:c r="E130" s="60"/>
    </x:row>
    <x:row r="131">
      <x:c r="E131" s="60"/>
    </x:row>
    <x:row r="132">
      <x:c r="E132" s="60"/>
    </x:row>
    <x:row r="133">
      <x:c r="E133" s="60"/>
    </x:row>
    <x:row r="134">
      <x:c r="E134" s="60"/>
    </x:row>
    <x:row r="135">
      <x:c r="E135" s="60"/>
    </x:row>
    <x:row r="136">
      <x:c r="E136" s="60"/>
    </x:row>
    <x:row r="137">
      <x:c r="E137" s="60"/>
    </x:row>
    <x:row r="138">
      <x:c r="E138" s="60"/>
    </x:row>
    <x:row r="139">
      <x:c r="E139" s="60"/>
    </x:row>
    <x:row r="140">
      <x:c r="E140" s="60"/>
    </x:row>
    <x:row r="141">
      <x:c r="E141" s="60"/>
    </x:row>
    <x:row r="142">
      <x:c r="E142" s="60"/>
    </x:row>
    <x:row r="143">
      <x:c r="E143" s="60"/>
    </x:row>
    <x:row r="144">
      <x:c r="E144" s="60"/>
    </x:row>
    <x:row r="145">
      <x:c r="E145" s="60"/>
    </x:row>
    <x:row r="146">
      <x:c r="E146" s="60"/>
    </x:row>
    <x:row r="147">
      <x:c r="E147" s="60"/>
    </x:row>
    <x:row r="148">
      <x:c r="E148" s="60"/>
    </x:row>
    <x:row r="149">
      <x:c r="E149" s="60"/>
    </x:row>
    <x:row r="150">
      <x:c r="E150" s="60"/>
    </x:row>
    <x:row r="151">
      <x:c r="E151" s="60"/>
    </x:row>
    <x:row r="152">
      <x:c r="E152" s="60"/>
    </x:row>
    <x:row r="153">
      <x:c r="E153" s="60"/>
    </x:row>
    <x:row r="154">
      <x:c r="E154" s="60"/>
    </x:row>
    <x:row r="155">
      <x:c r="E155" s="60"/>
    </x:row>
    <x:row r="156">
      <x:c r="E156" s="60"/>
    </x:row>
    <x:row r="157">
      <x:c r="E157" s="60"/>
    </x:row>
    <x:row r="158">
      <x:c r="E158" s="60"/>
    </x:row>
    <x:row r="159">
      <x:c r="E159" s="60"/>
    </x:row>
    <x:row r="160">
      <x:c r="E160" s="60"/>
    </x:row>
    <x:row r="161">
      <x:c r="E161" s="60"/>
    </x:row>
    <x:row r="162">
      <x:c r="E162" s="60"/>
    </x:row>
    <x:row r="163">
      <x:c r="E163" s="60"/>
    </x:row>
    <x:row r="164">
      <x:c r="E164" s="60"/>
    </x:row>
    <x:row r="165">
      <x:c r="E165" s="60"/>
    </x:row>
    <x:row r="166">
      <x:c r="E166" s="60"/>
    </x:row>
    <x:row r="167">
      <x:c r="E167" s="60"/>
    </x:row>
    <x:row r="168">
      <x:c r="E168" s="60"/>
    </x:row>
    <x:row r="169">
      <x:c r="E169" s="60"/>
    </x:row>
    <x:row r="170">
      <x:c r="E170" s="60"/>
    </x:row>
    <x:row r="171">
      <x:c r="E171" s="60"/>
    </x:row>
    <x:row r="172">
      <x:c r="E172" s="60"/>
    </x:row>
    <x:row r="173">
      <x:c r="E173" s="60"/>
    </x:row>
    <x:row r="174">
      <x:c r="E174" s="60"/>
    </x:row>
    <x:row r="175">
      <x:c r="E175" s="60"/>
    </x:row>
    <x:row r="176">
      <x:c r="E176" s="60"/>
    </x:row>
    <x:row r="177">
      <x:c r="E177" s="60"/>
    </x:row>
    <x:row r="178">
      <x:c r="E178" s="60"/>
    </x:row>
    <x:row r="179">
      <x:c r="E179" s="60"/>
    </x:row>
    <x:row r="180">
      <x:c r="E180" s="60"/>
    </x:row>
    <x:row r="181">
      <x:c r="E181" s="60"/>
    </x:row>
    <x:row r="182">
      <x:c r="E182" s="60"/>
    </x:row>
    <x:row r="183">
      <x:c r="E183" s="60"/>
    </x:row>
    <x:row r="184">
      <x:c r="E184" s="60"/>
    </x:row>
    <x:row r="185">
      <x:c r="E185" s="60"/>
    </x:row>
    <x:row r="186">
      <x:c r="E186" s="60"/>
    </x:row>
    <x:row r="187">
      <x:c r="E187" s="60"/>
    </x:row>
    <x:row r="188">
      <x:c r="E188" s="60"/>
    </x:row>
    <x:row r="189">
      <x:c r="E189" s="60"/>
    </x:row>
    <x:row r="190">
      <x:c r="E190" s="60"/>
    </x:row>
    <x:row r="191">
      <x:c r="E191" s="60"/>
    </x:row>
    <x:row r="192">
      <x:c r="E192" s="60"/>
    </x:row>
    <x:row r="193">
      <x:c r="E193" s="60"/>
    </x:row>
    <x:row r="194">
      <x:c r="E194" s="60"/>
    </x:row>
    <x:row r="195">
      <x:c r="E195" s="60"/>
    </x:row>
    <x:row r="196">
      <x:c r="E196" s="60"/>
    </x:row>
    <x:row r="197">
      <x:c r="E197" s="60"/>
    </x:row>
    <x:row r="198">
      <x:c r="E198" s="60"/>
    </x:row>
    <x:row r="199">
      <x:c r="E199" s="60"/>
    </x:row>
    <x:row r="200">
      <x:c r="E200" s="60"/>
    </x:row>
    <x:row r="201">
      <x:c r="E201" s="60"/>
    </x:row>
    <x:row r="202">
      <x:c r="E202" s="60"/>
    </x:row>
    <x:row r="203">
      <x:c r="E203" s="60"/>
    </x:row>
    <x:row r="204">
      <x:c r="E204" s="60"/>
    </x:row>
    <x:row r="205">
      <x:c r="E205" s="60"/>
    </x:row>
    <x:row r="206">
      <x:c r="E206" s="60"/>
    </x:row>
    <x:row r="207">
      <x:c r="E207" s="60"/>
    </x:row>
    <x:row r="208">
      <x:c r="E208" s="60"/>
    </x:row>
    <x:row r="209">
      <x:c r="E209" s="60"/>
    </x:row>
    <x:row r="210">
      <x:c r="E210" s="60"/>
    </x:row>
    <x:row r="211">
      <x:c r="E211" s="60"/>
    </x:row>
    <x:row r="212">
      <x:c r="E212" s="60"/>
    </x:row>
    <x:row r="213">
      <x:c r="E213" s="60"/>
    </x:row>
    <x:row r="214">
      <x:c r="E214" s="60"/>
    </x:row>
    <x:row r="215">
      <x:c r="E215" s="60"/>
    </x:row>
    <x:row r="216">
      <x:c r="E216" s="60"/>
    </x:row>
    <x:row r="217">
      <x:c r="E217" s="60"/>
    </x:row>
    <x:row r="218">
      <x:c r="E218" s="60"/>
    </x:row>
    <x:row r="219">
      <x:c r="E219" s="60"/>
    </x:row>
    <x:row r="220">
      <x:c r="E220" s="60"/>
    </x:row>
    <x:row r="221">
      <x:c r="E221" s="60"/>
    </x:row>
    <x:row r="222">
      <x:c r="E222" s="60"/>
    </x:row>
    <x:row r="223">
      <x:c r="E223" s="60"/>
    </x:row>
    <x:row r="224">
      <x:c r="E224" s="60"/>
    </x:row>
    <x:row r="225">
      <x:c r="E225" s="60"/>
    </x:row>
    <x:row r="226">
      <x:c r="E226" s="60"/>
    </x:row>
    <x:row r="227">
      <x:c r="E227" s="60"/>
    </x:row>
    <x:row r="228">
      <x:c r="E228" s="60"/>
    </x:row>
    <x:row r="229">
      <x:c r="E229" s="60"/>
    </x:row>
    <x:row r="230">
      <x:c r="E230" s="60"/>
    </x:row>
    <x:row r="231">
      <x:c r="E231" s="60"/>
    </x:row>
    <x:row r="232">
      <x:c r="E232" s="60"/>
    </x:row>
    <x:row r="233">
      <x:c r="E233" s="60"/>
    </x:row>
    <x:row r="234">
      <x:c r="E234" s="60"/>
    </x:row>
    <x:row r="235">
      <x:c r="E235" s="60"/>
    </x:row>
    <x:row r="236">
      <x:c r="E236" s="60"/>
    </x:row>
    <x:row r="237">
      <x:c r="E237" s="60"/>
    </x:row>
    <x:row r="238">
      <x:c r="E238" s="60"/>
    </x:row>
    <x:row r="239">
      <x:c r="E239" s="60"/>
    </x:row>
    <x:row r="240">
      <x:c r="E240" s="60"/>
    </x:row>
    <x:row r="241">
      <x:c r="E241" s="60"/>
    </x:row>
    <x:row r="242">
      <x:c r="E242" s="60"/>
    </x:row>
    <x:row r="243">
      <x:c r="E243" s="60"/>
    </x:row>
    <x:row r="244">
      <x:c r="E244" s="60"/>
    </x:row>
    <x:row r="245">
      <x:c r="E245" s="60"/>
    </x:row>
    <x:row r="246">
      <x:c r="E246" s="60"/>
    </x:row>
    <x:row r="247">
      <x:c r="E247" s="60"/>
    </x:row>
    <x:row r="248">
      <x:c r="E248" s="60"/>
    </x:row>
    <x:row r="249">
      <x:c r="E249" s="60"/>
    </x:row>
    <x:row r="250">
      <x:c r="E250" s="60"/>
    </x:row>
    <x:row r="251">
      <x:c r="E251" s="60"/>
    </x:row>
    <x:row r="252">
      <x:c r="E252" s="60"/>
    </x:row>
    <x:row r="253">
      <x:c r="E253" s="60"/>
    </x:row>
    <x:row r="254">
      <x:c r="E254" s="60"/>
    </x:row>
    <x:row r="255">
      <x:c r="E255" s="60"/>
    </x:row>
    <x:row r="256">
      <x:c r="E256" s="60"/>
    </x:row>
    <x:row r="257">
      <x:c r="E257" s="60"/>
    </x:row>
    <x:row r="258">
      <x:c r="E258" s="60"/>
    </x:row>
    <x:row r="259">
      <x:c r="E259" s="60"/>
    </x:row>
    <x:row r="260">
      <x:c r="E260" s="60"/>
    </x:row>
    <x:row r="261">
      <x:c r="E261" s="60"/>
    </x:row>
    <x:row r="262">
      <x:c r="E262" s="60"/>
    </x:row>
    <x:row r="263">
      <x:c r="E263" s="60"/>
    </x:row>
    <x:row r="264">
      <x:c r="E264" s="60"/>
    </x:row>
    <x:row r="265">
      <x:c r="E265" s="60"/>
    </x:row>
    <x:row r="266">
      <x:c r="E266" s="60"/>
    </x:row>
    <x:row r="267">
      <x:c r="E267" s="60"/>
    </x:row>
    <x:row r="268">
      <x:c r="E268" s="60"/>
    </x:row>
    <x:row r="269">
      <x:c r="E269" s="60"/>
    </x:row>
    <x:row r="270">
      <x:c r="E270" s="60"/>
    </x:row>
    <x:row r="271">
      <x:c r="E271" s="60"/>
    </x:row>
    <x:row r="272">
      <x:c r="E272" s="60"/>
    </x:row>
    <x:row r="273">
      <x:c r="E273" s="60"/>
    </x:row>
    <x:row r="274">
      <x:c r="E274" s="60"/>
    </x:row>
    <x:row r="275">
      <x:c r="E275" s="60"/>
    </x:row>
    <x:row r="276">
      <x:c r="E276" s="60"/>
    </x:row>
    <x:row r="277">
      <x:c r="E277" s="60"/>
    </x:row>
    <x:row r="278">
      <x:c r="E278" s="60"/>
    </x:row>
    <x:row r="279">
      <x:c r="E279" s="60"/>
    </x:row>
    <x:row r="280">
      <x:c r="E280" s="60"/>
    </x:row>
    <x:row r="281">
      <x:c r="E281" s="60"/>
    </x:row>
    <x:row r="282">
      <x:c r="E282" s="60"/>
    </x:row>
    <x:row r="283">
      <x:c r="E283" s="60"/>
    </x:row>
    <x:row r="284">
      <x:c r="E284" s="60"/>
    </x:row>
    <x:row r="285">
      <x:c r="E285" s="60"/>
    </x:row>
    <x:row r="286">
      <x:c r="E286" s="60"/>
    </x:row>
    <x:row r="287">
      <x:c r="E287" s="60"/>
    </x:row>
    <x:row r="288">
      <x:c r="E288" s="60"/>
    </x:row>
    <x:row r="289">
      <x:c r="E289" s="60"/>
    </x:row>
    <x:row r="290">
      <x:c r="E290" s="60"/>
    </x:row>
    <x:row r="291">
      <x:c r="E291" s="60"/>
    </x:row>
    <x:row r="292">
      <x:c r="E292" s="60"/>
    </x:row>
    <x:row r="293">
      <x:c r="E293" s="60"/>
    </x:row>
    <x:row r="294">
      <x:c r="E294" s="60"/>
    </x:row>
    <x:row r="295">
      <x:c r="E295" s="60"/>
    </x:row>
    <x:row r="296">
      <x:c r="E296" s="60"/>
    </x:row>
    <x:row r="297">
      <x:c r="E297" s="60"/>
    </x:row>
    <x:row r="298">
      <x:c r="E298" s="60"/>
    </x:row>
    <x:row r="299">
      <x:c r="E299" s="60"/>
    </x:row>
    <x:row r="300">
      <x:c r="E300" s="60"/>
    </x:row>
    <x:row r="301">
      <x:c r="E301" s="60"/>
    </x:row>
    <x:row r="302">
      <x:c r="E302" s="60"/>
    </x:row>
    <x:row r="303">
      <x:c r="E303" s="60"/>
    </x:row>
    <x:row r="304">
      <x:c r="E304" s="60"/>
    </x:row>
    <x:row r="305">
      <x:c r="E305" s="60"/>
    </x:row>
    <x:row r="306">
      <x:c r="E306" s="60"/>
    </x:row>
    <x:row r="307">
      <x:c r="E307" s="60"/>
    </x:row>
    <x:row r="308">
      <x:c r="E308" s="60"/>
    </x:row>
    <x:row r="309">
      <x:c r="E309" s="60"/>
    </x:row>
    <x:row r="310">
      <x:c r="E310" s="60"/>
    </x:row>
    <x:row r="311">
      <x:c r="E311" s="60"/>
    </x:row>
    <x:row r="312">
      <x:c r="E312" s="60"/>
    </x:row>
    <x:row r="313">
      <x:c r="E313" s="60"/>
    </x:row>
    <x:row r="314">
      <x:c r="E314" s="60"/>
    </x:row>
    <x:row r="315">
      <x:c r="E315" s="60"/>
    </x:row>
    <x:row r="316">
      <x:c r="E316" s="60"/>
    </x:row>
    <x:row r="317">
      <x:c r="E317" s="60"/>
    </x:row>
    <x:row r="318">
      <x:c r="E318" s="60"/>
    </x:row>
    <x:row r="319">
      <x:c r="E319" s="60"/>
    </x:row>
    <x:row r="320">
      <x:c r="E320" s="60"/>
    </x:row>
    <x:row r="321">
      <x:c r="E321" s="60"/>
    </x:row>
    <x:row r="322">
      <x:c r="E322" s="60"/>
    </x:row>
    <x:row r="323">
      <x:c r="E323" s="60"/>
    </x:row>
    <x:row r="324">
      <x:c r="E324" s="60"/>
    </x:row>
    <x:row r="325">
      <x:c r="E325" s="60"/>
    </x:row>
    <x:row r="326">
      <x:c r="E326" s="60"/>
    </x:row>
    <x:row r="327">
      <x:c r="E327" s="60"/>
    </x:row>
    <x:row r="328">
      <x:c r="E328" s="60"/>
    </x:row>
    <x:row r="329">
      <x:c r="E329" s="60"/>
    </x:row>
    <x:row r="330">
      <x:c r="E330" s="60"/>
    </x:row>
    <x:row r="331">
      <x:c r="E331" s="60"/>
    </x:row>
    <x:row r="332">
      <x:c r="E332" s="60"/>
    </x:row>
    <x:row r="333">
      <x:c r="E333" s="60"/>
    </x:row>
    <x:row r="334">
      <x:c r="E334" s="60"/>
    </x:row>
    <x:row r="335">
      <x:c r="E335" s="60"/>
    </x:row>
    <x:row r="336">
      <x:c r="E336" s="60"/>
    </x:row>
    <x:row r="337">
      <x:c r="E337" s="60"/>
    </x:row>
    <x:row r="338">
      <x:c r="E338" s="60"/>
    </x:row>
    <x:row r="339">
      <x:c r="E339" s="60"/>
    </x:row>
    <x:row r="340">
      <x:c r="E340" s="60"/>
    </x:row>
    <x:row r="341">
      <x:c r="E341" s="60"/>
    </x:row>
    <x:row r="342">
      <x:c r="E342" s="60"/>
    </x:row>
    <x:row r="343">
      <x:c r="E343" s="60"/>
    </x:row>
    <x:row r="344">
      <x:c r="E344" s="60"/>
    </x:row>
    <x:row r="345">
      <x:c r="E345" s="60"/>
    </x:row>
    <x:row r="346">
      <x:c r="E346" s="60"/>
    </x:row>
    <x:row r="347">
      <x:c r="E347" s="60"/>
    </x:row>
    <x:row r="348">
      <x:c r="E348" s="60"/>
    </x:row>
    <x:row r="349">
      <x:c r="E349" s="60"/>
    </x:row>
    <x:row r="350">
      <x:c r="E350" s="60"/>
    </x:row>
    <x:row r="351">
      <x:c r="E351" s="60"/>
    </x:row>
    <x:row r="352">
      <x:c r="E352" s="60"/>
    </x:row>
    <x:row r="353">
      <x:c r="E353" s="60"/>
    </x:row>
    <x:row r="354">
      <x:c r="E354" s="60"/>
    </x:row>
    <x:row r="355">
      <x:c r="E355" s="60"/>
    </x:row>
    <x:row r="356">
      <x:c r="E356" s="60"/>
    </x:row>
    <x:row r="357">
      <x:c r="E357" s="60"/>
    </x:row>
    <x:row r="358">
      <x:c r="E358" s="60"/>
    </x:row>
    <x:row r="359">
      <x:c r="E359" s="60"/>
    </x:row>
    <x:row r="360">
      <x:c r="E360" s="60"/>
    </x:row>
    <x:row r="361">
      <x:c r="E361" s="60"/>
    </x:row>
    <x:row r="362">
      <x:c r="E362" s="60"/>
    </x:row>
    <x:row r="363">
      <x:c r="E363" s="60"/>
    </x:row>
    <x:row r="364">
      <x:c r="E364" s="60"/>
    </x:row>
    <x:row r="365">
      <x:c r="E365" s="60"/>
    </x:row>
    <x:row r="366">
      <x:c r="E366" s="60"/>
    </x:row>
    <x:row r="367">
      <x:c r="E367" s="60"/>
    </x:row>
    <x:row r="368">
      <x:c r="E368" s="60"/>
    </x:row>
    <x:row r="369">
      <x:c r="E369" s="60"/>
    </x:row>
    <x:row r="370">
      <x:c r="E370" s="60"/>
    </x:row>
    <x:row r="371">
      <x:c r="E371" s="60"/>
    </x:row>
    <x:row r="372">
      <x:c r="E372" s="60"/>
    </x:row>
    <x:row r="373">
      <x:c r="E373" s="60"/>
    </x:row>
    <x:row r="374">
      <x:c r="E374" s="60"/>
    </x:row>
    <x:row r="375">
      <x:c r="E375" s="60"/>
    </x:row>
    <x:row r="376">
      <x:c r="E376" s="60"/>
    </x:row>
    <x:row r="377">
      <x:c r="E377" s="60"/>
    </x:row>
    <x:row r="378">
      <x:c r="E378" s="60"/>
    </x:row>
    <x:row r="379">
      <x:c r="E379" s="60"/>
    </x:row>
    <x:row r="380">
      <x:c r="E380" s="60"/>
    </x:row>
    <x:row r="381">
      <x:c r="E381" s="60"/>
    </x:row>
    <x:row r="382">
      <x:c r="E382" s="60"/>
    </x:row>
    <x:row r="383">
      <x:c r="E383" s="60"/>
    </x:row>
    <x:row r="384">
      <x:c r="E384" s="60"/>
    </x:row>
    <x:row r="385">
      <x:c r="E385" s="60"/>
    </x:row>
    <x:row r="386">
      <x:c r="E386" s="60"/>
    </x:row>
    <x:row r="387">
      <x:c r="E387" s="60"/>
    </x:row>
    <x:row r="388">
      <x:c r="E388" s="60"/>
    </x:row>
    <x:row r="389">
      <x:c r="E389" s="60"/>
    </x:row>
    <x:row r="390">
      <x:c r="E390" s="60"/>
    </x:row>
    <x:row r="391">
      <x:c r="E391" s="60"/>
    </x:row>
    <x:row r="392">
      <x:c r="E392" s="60"/>
    </x:row>
    <x:row r="393">
      <x:c r="E393" s="60"/>
    </x:row>
    <x:row r="394">
      <x:c r="E394" s="60"/>
    </x:row>
    <x:row r="395">
      <x:c r="E395" s="60"/>
    </x:row>
    <x:row r="396">
      <x:c r="E396" s="60"/>
    </x:row>
    <x:row r="397">
      <x:c r="E397" s="60"/>
    </x:row>
    <x:row r="398">
      <x:c r="E398" s="60"/>
    </x:row>
    <x:row r="399">
      <x:c r="E399" s="60"/>
    </x:row>
    <x:row r="400">
      <x:c r="E400" s="60"/>
    </x:row>
    <x:row r="401">
      <x:c r="E401" s="60"/>
    </x:row>
    <x:row r="402">
      <x:c r="E402" s="60"/>
    </x:row>
    <x:row r="403">
      <x:c r="E403" s="60"/>
    </x:row>
    <x:row r="404">
      <x:c r="E404" s="60"/>
    </x:row>
    <x:row r="405">
      <x:c r="E405" s="60"/>
    </x:row>
    <x:row r="406">
      <x:c r="E406" s="60"/>
    </x:row>
    <x:row r="407">
      <x:c r="E407" s="60"/>
    </x:row>
    <x:row r="408">
      <x:c r="E408" s="60"/>
    </x:row>
    <x:row r="409">
      <x:c r="E409" s="60"/>
    </x:row>
    <x:row r="410">
      <x:c r="E410" s="60"/>
    </x:row>
    <x:row r="411">
      <x:c r="E411" s="60"/>
    </x:row>
    <x:row r="412">
      <x:c r="E412" s="60"/>
    </x:row>
    <x:row r="413">
      <x:c r="E413" s="60"/>
    </x:row>
    <x:row r="414">
      <x:c r="E414" s="60"/>
    </x:row>
    <x:row r="415">
      <x:c r="E415" s="60"/>
    </x:row>
    <x:row r="416">
      <x:c r="E416" s="60"/>
    </x:row>
    <x:row r="417">
      <x:c r="E417" s="60"/>
    </x:row>
    <x:row r="418">
      <x:c r="E418" s="60"/>
    </x:row>
    <x:row r="419">
      <x:c r="E419" s="60"/>
    </x:row>
    <x:row r="420">
      <x:c r="E420" s="60"/>
    </x:row>
    <x:row r="421">
      <x:c r="E421" s="60"/>
    </x:row>
    <x:row r="422">
      <x:c r="E422" s="60"/>
    </x:row>
    <x:row r="423">
      <x:c r="E423" s="60"/>
    </x:row>
    <x:row r="424">
      <x:c r="E424" s="60"/>
    </x:row>
    <x:row r="425">
      <x:c r="E425" s="60"/>
    </x:row>
    <x:row r="426">
      <x:c r="E426" s="60"/>
    </x:row>
    <x:row r="427">
      <x:c r="E427" s="60"/>
    </x:row>
    <x:row r="428">
      <x:c r="E428" s="60"/>
    </x:row>
    <x:row r="429">
      <x:c r="E429" s="60"/>
    </x:row>
    <x:row r="430">
      <x:c r="E430" s="60"/>
    </x:row>
    <x:row r="431">
      <x:c r="E431" s="60"/>
    </x:row>
    <x:row r="432">
      <x:c r="E432" s="60"/>
    </x:row>
    <x:row r="433">
      <x:c r="E433" s="60"/>
    </x:row>
    <x:row r="434">
      <x:c r="E434" s="60"/>
    </x:row>
    <x:row r="435">
      <x:c r="E435" s="60"/>
    </x:row>
    <x:row r="436">
      <x:c r="E436" s="60"/>
    </x:row>
    <x:row r="437">
      <x:c r="E437" s="60"/>
    </x:row>
    <x:row r="438">
      <x:c r="E438" s="60"/>
    </x:row>
    <x:row r="439">
      <x:c r="E439" s="60"/>
    </x:row>
    <x:row r="440">
      <x:c r="E440" s="60"/>
    </x:row>
    <x:row r="441">
      <x:c r="E441" s="60"/>
    </x:row>
    <x:row r="442">
      <x:c r="E442" s="60"/>
    </x:row>
    <x:row r="443">
      <x:c r="E443" s="60"/>
    </x:row>
    <x:row r="444">
      <x:c r="E444" s="60"/>
    </x:row>
    <x:row r="445">
      <x:c r="E445" s="60"/>
    </x:row>
    <x:row r="446">
      <x:c r="E446" s="60"/>
    </x:row>
    <x:row r="447">
      <x:c r="E447" s="60"/>
    </x:row>
    <x:row r="448">
      <x:c r="E448" s="60"/>
    </x:row>
    <x:row r="449">
      <x:c r="E449" s="60"/>
    </x:row>
    <x:row r="450">
      <x:c r="E450" s="60"/>
    </x:row>
    <x:row r="451">
      <x:c r="E451" s="60"/>
    </x:row>
    <x:row r="452">
      <x:c r="E452" s="60"/>
    </x:row>
    <x:row r="453">
      <x:c r="E453" s="60"/>
    </x:row>
    <x:row r="454">
      <x:c r="E454" s="60"/>
    </x:row>
    <x:row r="455">
      <x:c r="E455" s="60"/>
    </x:row>
    <x:row r="456">
      <x:c r="E456" s="60"/>
    </x:row>
    <x:row r="457">
      <x:c r="E457" s="60"/>
    </x:row>
    <x:row r="458">
      <x:c r="E458" s="60"/>
    </x:row>
    <x:row r="459">
      <x:c r="E459" s="60"/>
    </x:row>
    <x:row r="460">
      <x:c r="E460" s="60"/>
    </x:row>
    <x:row r="461">
      <x:c r="E461" s="60"/>
    </x:row>
    <x:row r="462">
      <x:c r="E462" s="60"/>
    </x:row>
    <x:row r="463">
      <x:c r="E463" s="60"/>
    </x:row>
    <x:row r="464">
      <x:c r="E464" s="60"/>
    </x:row>
    <x:row r="465">
      <x:c r="E465" s="60"/>
    </x:row>
    <x:row r="466">
      <x:c r="E466" s="60"/>
    </x:row>
    <x:row r="467">
      <x:c r="E467" s="60"/>
    </x:row>
    <x:row r="468">
      <x:c r="E468" s="60"/>
    </x:row>
    <x:row r="469">
      <x:c r="E469" s="60"/>
    </x:row>
    <x:row r="470">
      <x:c r="E470" s="60"/>
    </x:row>
    <x:row r="471">
      <x:c r="E471" s="60"/>
    </x:row>
    <x:row r="472">
      <x:c r="E472" s="60"/>
    </x:row>
    <x:row r="473">
      <x:c r="E473" s="60"/>
    </x:row>
    <x:row r="474">
      <x:c r="E474" s="60"/>
    </x:row>
    <x:row r="475">
      <x:c r="E475" s="60"/>
    </x:row>
    <x:row r="476">
      <x:c r="E476" s="60"/>
    </x:row>
    <x:row r="477">
      <x:c r="E477" s="60"/>
    </x:row>
    <x:row r="478">
      <x:c r="E478" s="60"/>
    </x:row>
    <x:row r="479">
      <x:c r="E479" s="60"/>
    </x:row>
    <x:row r="480">
      <x:c r="E480" s="60"/>
    </x:row>
    <x:row r="481">
      <x:c r="E481" s="60"/>
    </x:row>
    <x:row r="482">
      <x:c r="E482" s="60"/>
    </x:row>
    <x:row r="483">
      <x:c r="E483" s="60"/>
    </x:row>
    <x:row r="484">
      <x:c r="E484" s="60"/>
    </x:row>
    <x:row r="485">
      <x:c r="E485" s="60"/>
    </x:row>
    <x:row r="486">
      <x:c r="E486" s="60"/>
    </x:row>
    <x:row r="487">
      <x:c r="E487" s="60"/>
    </x:row>
    <x:row r="488">
      <x:c r="E488" s="60"/>
    </x:row>
    <x:row r="489">
      <x:c r="E489" s="60"/>
    </x:row>
    <x:row r="490">
      <x:c r="E490" s="60"/>
    </x:row>
    <x:row r="491">
      <x:c r="E491" s="60"/>
    </x:row>
    <x:row r="492">
      <x:c r="E492" s="60"/>
    </x:row>
    <x:row r="493">
      <x:c r="E493" s="60"/>
    </x:row>
    <x:row r="494">
      <x:c r="E494" s="60"/>
    </x:row>
    <x:row r="495">
      <x:c r="E495" s="60"/>
    </x:row>
    <x:row r="496">
      <x:c r="E496" s="60"/>
    </x:row>
    <x:row r="497">
      <x:c r="E497" s="60"/>
    </x:row>
    <x:row r="498">
      <x:c r="E498" s="60"/>
    </x:row>
    <x:row r="499">
      <x:c r="E499" s="60"/>
    </x:row>
    <x:row r="500">
      <x:c r="E500" s="60"/>
    </x:row>
    <x:row r="501">
      <x:c r="E501" s="60"/>
    </x:row>
    <x:row r="502">
      <x:c r="E502" s="60"/>
    </x:row>
    <x:row r="503">
      <x:c r="E503" s="60"/>
    </x:row>
    <x:row r="504">
      <x:c r="E504" s="60"/>
    </x:row>
    <x:row r="505">
      <x:c r="E505" s="60"/>
    </x:row>
    <x:row r="506">
      <x:c r="E506" s="60"/>
    </x:row>
    <x:row r="507">
      <x:c r="E507" s="60"/>
    </x:row>
    <x:row r="508">
      <x:c r="E508" s="60"/>
    </x:row>
    <x:row r="509">
      <x:c r="E509" s="60"/>
    </x:row>
    <x:row r="510">
      <x:c r="E510" s="60"/>
    </x:row>
    <x:row r="511">
      <x:c r="E511" s="60"/>
    </x:row>
    <x:row r="512">
      <x:c r="E512" s="60"/>
    </x:row>
    <x:row r="513">
      <x:c r="E513" s="60"/>
    </x:row>
    <x:row r="514">
      <x:c r="E514" s="60"/>
    </x:row>
  </x:sheetData>
  <x:mergeCells>
    <x:mergeCell ref="A1:L2"/>
    <x:mergeCell ref="A3:L3"/>
  </x:mergeCells>
  <x:dataValidations count="2">
    <x:dataValidation type="list" sqref="B10:B11">
      <x:formula1>"Skip and log,Update existing,Yes,No"</x:formula1>
    </x:dataValidation>
    <x:dataValidation type="list" sqref="L15:L514">
      <x:formula1>"Pending,Validated,Imported,Partially Imported,Rejected,Archived"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4524d4f8d4da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20" hidden="0" customWidth="1"/>
    <x:col min="7" max="7" width="28" hidden="0" customWidth="1"/>
    <x:col min="8" max="8" width="34" hidden="0" customWidth="1"/>
    <x:col min="9" max="9" width="14" hidden="0" customWidth="1"/>
    <x:col min="10" max="10" width="16" hidden="0" customWidth="1"/>
    <x:col min="11" max="11" width="30" hidden="0" customWidth="1"/>
  </x:cols>
  <x:sheetData>
    <x:row r="1">
      <x:c r="A1" s="130" t="str">
        <x:v>Import Validation Errors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7" t="str">
        <x:v>Error ID</x:v>
      </x:c>
      <x:c r="B4" s="137" t="str">
        <x:v>Batch ID</x:v>
      </x:c>
      <x:c r="C4" s="137" t="str">
        <x:v>Row Number</x:v>
      </x:c>
      <x:c r="D4" s="137" t="str">
        <x:v>Agency</x:v>
      </x:c>
      <x:c r="E4" s="137" t="str">
        <x:v>Tender Number</x:v>
      </x:c>
      <x:c r="F4" s="137" t="str">
        <x:v>Field</x:v>
      </x:c>
      <x:c r="G4" s="137" t="str">
        <x:v>Invalid Value</x:v>
      </x:c>
      <x:c r="H4" s="137" t="str">
        <x:v>Validation Rule</x:v>
      </x:c>
      <x:c r="I4" s="137" t="str">
        <x:v>Severity</x:v>
      </x:c>
      <x:c r="J4" s="137" t="str">
        <x:v>Resolution</x:v>
      </x:c>
      <x:c r="K4" s="137" t="str">
        <x:v>Notes</x:v>
      </x:c>
    </x:row>
  </x:sheetData>
  <x:mergeCells>
    <x:mergeCell ref="A1:K2"/>
  </x:mergeCells>
  <x:conditionalFormatting sqref="I5:I504">
    <x:cfRule type="expression" dxfId="11" priority="1">
      <x:formula>I5="Critical"</x:formula>
    </x:cfRule>
    <x:cfRule type="expression" dxfId="12" priority="2">
      <x:formula>I5="Warning"</x:formula>
    </x:cfRule>
  </x:conditionalFormatting>
  <x:dataValidations count="2">
    <x:dataValidation type="list" sqref="I5:I504">
      <x:formula1>"Warning,Error,Critical"</x:formula1>
    </x:dataValidation>
    <x:dataValidation type="list" sqref="J5:J504">
      <x:formula1>"Pending,Corrected,Ignored,Rejected"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d367b6a83141b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0" hidden="0" customWidth="1"/>
    <x:col min="9" max="9" width="26" hidden="0" customWidth="1"/>
    <x:col min="10" max="10" width="26" hidden="0" customWidth="1"/>
    <x:col min="11" max="11" width="14" hidden="0" customWidth="1"/>
    <x:col min="12" max="12" width="14" hidden="0" customWidth="1"/>
    <x:col min="13" max="13" width="32" hidden="0" customWidth="1"/>
  </x:cols>
  <x:sheetData>
    <x:row r="1">
      <x:c r="A1" s="130" t="str">
        <x:v>Master Database Write-Back Audit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</x:row>
    <x:row r="4">
      <x:c r="A4" s="137" t="str">
        <x:v>Audit ID</x:v>
      </x:c>
      <x:c r="B4" s="137" t="str">
        <x:v>Timestamp</x:v>
      </x:c>
      <x:c r="C4" s="137" t="str">
        <x:v>Operation</x:v>
      </x:c>
      <x:c r="D4" s="137" t="str">
        <x:v>Tender ID</x:v>
      </x:c>
      <x:c r="E4" s="137" t="str">
        <x:v>Agency</x:v>
      </x:c>
      <x:c r="F4" s="137" t="str">
        <x:v>Tender Number</x:v>
      </x:c>
      <x:c r="G4" s="137" t="str">
        <x:v>Source Batch / Review</x:v>
      </x:c>
      <x:c r="H4" s="137" t="str">
        <x:v>Field</x:v>
      </x:c>
      <x:c r="I4" s="137" t="str">
        <x:v>Old Value</x:v>
      </x:c>
      <x:c r="J4" s="137" t="str">
        <x:v>New Value</x:v>
      </x:c>
      <x:c r="K4" s="137" t="str">
        <x:v>Result</x:v>
      </x:c>
      <x:c r="L4" s="137" t="str">
        <x:v>Workbook Row</x:v>
      </x:c>
      <x:c r="M4" s="137" t="str">
        <x:v>Notes</x:v>
      </x:c>
    </x:row>
    <x:row r="5">
      <x:c r="B5" s="60"/>
    </x:row>
    <x:row r="6">
      <x:c r="B6" s="60"/>
    </x:row>
    <x:row r="7">
      <x:c r="B7" s="60"/>
    </x:row>
    <x:row r="8">
      <x:c r="B8" s="60"/>
    </x:row>
    <x:row r="9">
      <x:c r="B9" s="60"/>
    </x:row>
    <x:row r="10">
      <x:c r="B10" s="60"/>
    </x:row>
    <x:row r="11">
      <x:c r="B11" s="60"/>
    </x:row>
    <x:row r="12">
      <x:c r="B12" s="60"/>
    </x:row>
    <x:row r="13">
      <x:c r="B13" s="60"/>
    </x:row>
    <x:row r="14">
      <x:c r="B14" s="60"/>
    </x:row>
    <x:row r="15">
      <x:c r="B15" s="60"/>
    </x:row>
    <x:row r="16">
      <x:c r="B16" s="60"/>
    </x:row>
    <x:row r="17">
      <x:c r="B17" s="60"/>
    </x:row>
    <x:row r="18">
      <x:c r="B18" s="60"/>
    </x:row>
    <x:row r="19">
      <x:c r="B19" s="60"/>
    </x:row>
    <x:row r="20">
      <x:c r="B20" s="60"/>
    </x:row>
    <x:row r="21">
      <x:c r="B21" s="60"/>
    </x:row>
    <x:row r="22">
      <x:c r="B22" s="60"/>
    </x:row>
    <x:row r="23">
      <x:c r="B23" s="60"/>
    </x:row>
    <x:row r="24">
      <x:c r="B24" s="60"/>
    </x:row>
    <x:row r="25">
      <x:c r="B25" s="60"/>
    </x:row>
    <x:row r="26">
      <x:c r="B26" s="60"/>
    </x:row>
    <x:row r="27">
      <x:c r="B27" s="60"/>
    </x:row>
    <x:row r="28">
      <x:c r="B28" s="60"/>
    </x:row>
    <x:row r="29">
      <x:c r="B29" s="60"/>
    </x:row>
    <x:row r="30">
      <x:c r="B30" s="60"/>
    </x:row>
    <x:row r="31">
      <x:c r="B31" s="60"/>
    </x:row>
    <x:row r="32">
      <x:c r="B32" s="60"/>
    </x:row>
    <x:row r="33">
      <x:c r="B33" s="60"/>
    </x:row>
    <x:row r="34">
      <x:c r="B34" s="60"/>
    </x:row>
    <x:row r="35">
      <x:c r="B35" s="60"/>
    </x:row>
    <x:row r="36">
      <x:c r="B36" s="60"/>
    </x:row>
    <x:row r="37">
      <x:c r="B37" s="60"/>
    </x:row>
    <x:row r="38">
      <x:c r="B38" s="60"/>
    </x:row>
    <x:row r="39">
      <x:c r="B39" s="60"/>
    </x:row>
    <x:row r="40">
      <x:c r="B40" s="60"/>
    </x:row>
    <x:row r="41">
      <x:c r="B41" s="60"/>
    </x:row>
    <x:row r="42">
      <x:c r="B42" s="60"/>
    </x:row>
    <x:row r="43">
      <x:c r="B43" s="60"/>
    </x:row>
    <x:row r="44">
      <x:c r="B44" s="60"/>
    </x:row>
    <x:row r="45">
      <x:c r="B45" s="60"/>
    </x:row>
    <x:row r="46">
      <x:c r="B46" s="60"/>
    </x:row>
    <x:row r="47">
      <x:c r="B47" s="60"/>
    </x:row>
    <x:row r="48">
      <x:c r="B48" s="60"/>
    </x:row>
    <x:row r="49">
      <x:c r="B49" s="60"/>
    </x:row>
    <x:row r="50">
      <x:c r="B50" s="60"/>
    </x:row>
    <x:row r="51">
      <x:c r="B51" s="60"/>
    </x:row>
    <x:row r="52">
      <x:c r="B52" s="60"/>
    </x:row>
    <x:row r="53">
      <x:c r="B53" s="60"/>
    </x:row>
    <x:row r="54">
      <x:c r="B54" s="60"/>
    </x:row>
    <x:row r="55">
      <x:c r="B55" s="60"/>
    </x:row>
    <x:row r="56">
      <x:c r="B56" s="60"/>
    </x:row>
    <x:row r="57">
      <x:c r="B57" s="60"/>
    </x:row>
    <x:row r="58">
      <x:c r="B58" s="60"/>
    </x:row>
    <x:row r="59">
      <x:c r="B59" s="60"/>
    </x:row>
    <x:row r="60">
      <x:c r="B60" s="60"/>
    </x:row>
    <x:row r="61">
      <x:c r="B61" s="60"/>
    </x:row>
    <x:row r="62">
      <x:c r="B62" s="60"/>
    </x:row>
    <x:row r="63">
      <x:c r="B63" s="60"/>
    </x:row>
    <x:row r="64">
      <x:c r="B64" s="60"/>
    </x:row>
    <x:row r="65">
      <x:c r="B65" s="60"/>
    </x:row>
    <x:row r="66">
      <x:c r="B66" s="60"/>
    </x:row>
    <x:row r="67">
      <x:c r="B67" s="60"/>
    </x:row>
    <x:row r="68">
      <x:c r="B68" s="60"/>
    </x:row>
    <x:row r="69">
      <x:c r="B69" s="60"/>
    </x:row>
    <x:row r="70">
      <x:c r="B70" s="60"/>
    </x:row>
    <x:row r="71">
      <x:c r="B71" s="60"/>
    </x:row>
    <x:row r="72">
      <x:c r="B72" s="60"/>
    </x:row>
    <x:row r="73">
      <x:c r="B73" s="60"/>
    </x:row>
    <x:row r="74">
      <x:c r="B74" s="60"/>
    </x:row>
    <x:row r="75">
      <x:c r="B75" s="60"/>
    </x:row>
    <x:row r="76">
      <x:c r="B76" s="60"/>
    </x:row>
    <x:row r="77">
      <x:c r="B77" s="60"/>
    </x:row>
    <x:row r="78">
      <x:c r="B78" s="60"/>
    </x:row>
    <x:row r="79">
      <x:c r="B79" s="60"/>
    </x:row>
    <x:row r="80">
      <x:c r="B80" s="60"/>
    </x:row>
    <x:row r="81">
      <x:c r="B81" s="60"/>
    </x:row>
    <x:row r="82">
      <x:c r="B82" s="60"/>
    </x:row>
    <x:row r="83">
      <x:c r="B83" s="60"/>
    </x:row>
    <x:row r="84">
      <x:c r="B84" s="60"/>
    </x:row>
    <x:row r="85">
      <x:c r="B85" s="60"/>
    </x:row>
    <x:row r="86">
      <x:c r="B86" s="60"/>
    </x:row>
    <x:row r="87">
      <x:c r="B87" s="60"/>
    </x:row>
    <x:row r="88">
      <x:c r="B88" s="60"/>
    </x:row>
    <x:row r="89">
      <x:c r="B89" s="60"/>
    </x:row>
    <x:row r="90">
      <x:c r="B90" s="60"/>
    </x:row>
    <x:row r="91">
      <x:c r="B91" s="60"/>
    </x:row>
    <x:row r="92">
      <x:c r="B92" s="60"/>
    </x:row>
    <x:row r="93">
      <x:c r="B93" s="60"/>
    </x:row>
    <x:row r="94">
      <x:c r="B94" s="60"/>
    </x:row>
    <x:row r="95">
      <x:c r="B95" s="60"/>
    </x:row>
    <x:row r="96">
      <x:c r="B96" s="60"/>
    </x:row>
    <x:row r="97">
      <x:c r="B97" s="60"/>
    </x:row>
    <x:row r="98">
      <x:c r="B98" s="60"/>
    </x:row>
    <x:row r="99">
      <x:c r="B99" s="60"/>
    </x:row>
    <x:row r="100">
      <x:c r="B100" s="60"/>
    </x:row>
    <x:row r="101">
      <x:c r="B101" s="60"/>
    </x:row>
    <x:row r="102">
      <x:c r="B102" s="60"/>
    </x:row>
    <x:row r="103">
      <x:c r="B103" s="60"/>
    </x:row>
    <x:row r="104">
      <x:c r="B104" s="60"/>
    </x:row>
    <x:row r="105">
      <x:c r="B105" s="60"/>
    </x:row>
    <x:row r="106">
      <x:c r="B106" s="60"/>
    </x:row>
    <x:row r="107">
      <x:c r="B107" s="60"/>
    </x:row>
    <x:row r="108">
      <x:c r="B108" s="60"/>
    </x:row>
    <x:row r="109">
      <x:c r="B109" s="60"/>
    </x:row>
    <x:row r="110">
      <x:c r="B110" s="60"/>
    </x:row>
    <x:row r="111">
      <x:c r="B111" s="60"/>
    </x:row>
    <x:row r="112">
      <x:c r="B112" s="60"/>
    </x:row>
    <x:row r="113">
      <x:c r="B113" s="60"/>
    </x:row>
    <x:row r="114">
      <x:c r="B114" s="60"/>
    </x:row>
    <x:row r="115">
      <x:c r="B115" s="60"/>
    </x:row>
    <x:row r="116">
      <x:c r="B116" s="60"/>
    </x:row>
    <x:row r="117">
      <x:c r="B117" s="60"/>
    </x:row>
    <x:row r="118">
      <x:c r="B118" s="60"/>
    </x:row>
    <x:row r="119">
      <x:c r="B119" s="60"/>
    </x:row>
    <x:row r="120">
      <x:c r="B120" s="60"/>
    </x:row>
    <x:row r="121">
      <x:c r="B121" s="60"/>
    </x:row>
    <x:row r="122">
      <x:c r="B122" s="60"/>
    </x:row>
    <x:row r="123">
      <x:c r="B123" s="60"/>
    </x:row>
    <x:row r="124">
      <x:c r="B124" s="60"/>
    </x:row>
    <x:row r="125">
      <x:c r="B125" s="60"/>
    </x:row>
    <x:row r="126">
      <x:c r="B126" s="60"/>
    </x:row>
    <x:row r="127">
      <x:c r="B127" s="60"/>
    </x:row>
    <x:row r="128">
      <x:c r="B128" s="60"/>
    </x:row>
    <x:row r="129">
      <x:c r="B129" s="60"/>
    </x:row>
    <x:row r="130">
      <x:c r="B130" s="60"/>
    </x:row>
    <x:row r="131">
      <x:c r="B131" s="60"/>
    </x:row>
    <x:row r="132">
      <x:c r="B132" s="60"/>
    </x:row>
    <x:row r="133">
      <x:c r="B133" s="60"/>
    </x:row>
    <x:row r="134">
      <x:c r="B134" s="60"/>
    </x:row>
    <x:row r="135">
      <x:c r="B135" s="60"/>
    </x:row>
    <x:row r="136">
      <x:c r="B136" s="60"/>
    </x:row>
    <x:row r="137">
      <x:c r="B137" s="60"/>
    </x:row>
    <x:row r="138">
      <x:c r="B138" s="60"/>
    </x:row>
    <x:row r="139">
      <x:c r="B139" s="60"/>
    </x:row>
    <x:row r="140">
      <x:c r="B140" s="60"/>
    </x:row>
    <x:row r="141">
      <x:c r="B141" s="60"/>
    </x:row>
    <x:row r="142">
      <x:c r="B142" s="60"/>
    </x:row>
    <x:row r="143">
      <x:c r="B143" s="60"/>
    </x:row>
    <x:row r="144">
      <x:c r="B144" s="60"/>
    </x:row>
    <x:row r="145">
      <x:c r="B145" s="60"/>
    </x:row>
    <x:row r="146">
      <x:c r="B146" s="60"/>
    </x:row>
    <x:row r="147">
      <x:c r="B147" s="60"/>
    </x:row>
    <x:row r="148">
      <x:c r="B148" s="60"/>
    </x:row>
    <x:row r="149">
      <x:c r="B149" s="60"/>
    </x:row>
    <x:row r="150">
      <x:c r="B150" s="60"/>
    </x:row>
    <x:row r="151">
      <x:c r="B151" s="60"/>
    </x:row>
    <x:row r="152">
      <x:c r="B152" s="60"/>
    </x:row>
    <x:row r="153">
      <x:c r="B153" s="60"/>
    </x:row>
    <x:row r="154">
      <x:c r="B154" s="60"/>
    </x:row>
    <x:row r="155">
      <x:c r="B155" s="60"/>
    </x:row>
    <x:row r="156">
      <x:c r="B156" s="60"/>
    </x:row>
    <x:row r="157">
      <x:c r="B157" s="60"/>
    </x:row>
    <x:row r="158">
      <x:c r="B158" s="60"/>
    </x:row>
    <x:row r="159">
      <x:c r="B159" s="60"/>
    </x:row>
    <x:row r="160">
      <x:c r="B160" s="60"/>
    </x:row>
    <x:row r="161">
      <x:c r="B161" s="60"/>
    </x:row>
    <x:row r="162">
      <x:c r="B162" s="60"/>
    </x:row>
    <x:row r="163">
      <x:c r="B163" s="60"/>
    </x:row>
    <x:row r="164">
      <x:c r="B164" s="60"/>
    </x:row>
    <x:row r="165">
      <x:c r="B165" s="60"/>
    </x:row>
    <x:row r="166">
      <x:c r="B166" s="60"/>
    </x:row>
    <x:row r="167">
      <x:c r="B167" s="60"/>
    </x:row>
    <x:row r="168">
      <x:c r="B168" s="60"/>
    </x:row>
    <x:row r="169">
      <x:c r="B169" s="60"/>
    </x:row>
    <x:row r="170">
      <x:c r="B170" s="60"/>
    </x:row>
    <x:row r="171">
      <x:c r="B171" s="60"/>
    </x:row>
    <x:row r="172">
      <x:c r="B172" s="60"/>
    </x:row>
    <x:row r="173">
      <x:c r="B173" s="60"/>
    </x:row>
    <x:row r="174">
      <x:c r="B174" s="60"/>
    </x:row>
    <x:row r="175">
      <x:c r="B175" s="60"/>
    </x:row>
    <x:row r="176">
      <x:c r="B176" s="60"/>
    </x:row>
    <x:row r="177">
      <x:c r="B177" s="60"/>
    </x:row>
    <x:row r="178">
      <x:c r="B178" s="60"/>
    </x:row>
    <x:row r="179">
      <x:c r="B179" s="60"/>
    </x:row>
    <x:row r="180">
      <x:c r="B180" s="60"/>
    </x:row>
    <x:row r="181">
      <x:c r="B181" s="60"/>
    </x:row>
    <x:row r="182">
      <x:c r="B182" s="60"/>
    </x:row>
    <x:row r="183">
      <x:c r="B183" s="60"/>
    </x:row>
    <x:row r="184">
      <x:c r="B184" s="60"/>
    </x:row>
    <x:row r="185">
      <x:c r="B185" s="60"/>
    </x:row>
    <x:row r="186">
      <x:c r="B186" s="60"/>
    </x:row>
    <x:row r="187">
      <x:c r="B187" s="60"/>
    </x:row>
    <x:row r="188">
      <x:c r="B188" s="60"/>
    </x:row>
    <x:row r="189">
      <x:c r="B189" s="60"/>
    </x:row>
    <x:row r="190">
      <x:c r="B190" s="60"/>
    </x:row>
    <x:row r="191">
      <x:c r="B191" s="60"/>
    </x:row>
    <x:row r="192">
      <x:c r="B192" s="60"/>
    </x:row>
    <x:row r="193">
      <x:c r="B193" s="60"/>
    </x:row>
    <x:row r="194">
      <x:c r="B194" s="60"/>
    </x:row>
    <x:row r="195">
      <x:c r="B195" s="60"/>
    </x:row>
    <x:row r="196">
      <x:c r="B196" s="60"/>
    </x:row>
    <x:row r="197">
      <x:c r="B197" s="60"/>
    </x:row>
    <x:row r="198">
      <x:c r="B198" s="60"/>
    </x:row>
    <x:row r="199">
      <x:c r="B199" s="60"/>
    </x:row>
    <x:row r="200">
      <x:c r="B200" s="60"/>
    </x:row>
    <x:row r="201">
      <x:c r="B201" s="60"/>
    </x:row>
    <x:row r="202">
      <x:c r="B202" s="60"/>
    </x:row>
    <x:row r="203">
      <x:c r="B203" s="60"/>
    </x:row>
    <x:row r="204">
      <x:c r="B204" s="60"/>
    </x:row>
    <x:row r="205">
      <x:c r="B205" s="60"/>
    </x:row>
    <x:row r="206">
      <x:c r="B206" s="60"/>
    </x:row>
    <x:row r="207">
      <x:c r="B207" s="60"/>
    </x:row>
    <x:row r="208">
      <x:c r="B208" s="60"/>
    </x:row>
    <x:row r="209">
      <x:c r="B209" s="60"/>
    </x:row>
    <x:row r="210">
      <x:c r="B210" s="60"/>
    </x:row>
    <x:row r="211">
      <x:c r="B211" s="60"/>
    </x:row>
    <x:row r="212">
      <x:c r="B212" s="60"/>
    </x:row>
    <x:row r="213">
      <x:c r="B213" s="60"/>
    </x:row>
    <x:row r="214">
      <x:c r="B214" s="60"/>
    </x:row>
    <x:row r="215">
      <x:c r="B215" s="60"/>
    </x:row>
    <x:row r="216">
      <x:c r="B216" s="60"/>
    </x:row>
    <x:row r="217">
      <x:c r="B217" s="60"/>
    </x:row>
    <x:row r="218">
      <x:c r="B218" s="60"/>
    </x:row>
    <x:row r="219">
      <x:c r="B219" s="60"/>
    </x:row>
    <x:row r="220">
      <x:c r="B220" s="60"/>
    </x:row>
    <x:row r="221">
      <x:c r="B221" s="60"/>
    </x:row>
    <x:row r="222">
      <x:c r="B222" s="60"/>
    </x:row>
    <x:row r="223">
      <x:c r="B223" s="60"/>
    </x:row>
    <x:row r="224">
      <x:c r="B224" s="60"/>
    </x:row>
    <x:row r="225">
      <x:c r="B225" s="60"/>
    </x:row>
    <x:row r="226">
      <x:c r="B226" s="60"/>
    </x:row>
    <x:row r="227">
      <x:c r="B227" s="60"/>
    </x:row>
    <x:row r="228">
      <x:c r="B228" s="60"/>
    </x:row>
    <x:row r="229">
      <x:c r="B229" s="60"/>
    </x:row>
    <x:row r="230">
      <x:c r="B230" s="60"/>
    </x:row>
    <x:row r="231">
      <x:c r="B231" s="60"/>
    </x:row>
    <x:row r="232">
      <x:c r="B232" s="60"/>
    </x:row>
    <x:row r="233">
      <x:c r="B233" s="60"/>
    </x:row>
    <x:row r="234">
      <x:c r="B234" s="60"/>
    </x:row>
    <x:row r="235">
      <x:c r="B235" s="60"/>
    </x:row>
    <x:row r="236">
      <x:c r="B236" s="60"/>
    </x:row>
    <x:row r="237">
      <x:c r="B237" s="60"/>
    </x:row>
    <x:row r="238">
      <x:c r="B238" s="60"/>
    </x:row>
    <x:row r="239">
      <x:c r="B239" s="60"/>
    </x:row>
    <x:row r="240">
      <x:c r="B240" s="60"/>
    </x:row>
    <x:row r="241">
      <x:c r="B241" s="60"/>
    </x:row>
    <x:row r="242">
      <x:c r="B242" s="60"/>
    </x:row>
    <x:row r="243">
      <x:c r="B243" s="60"/>
    </x:row>
    <x:row r="244">
      <x:c r="B244" s="60"/>
    </x:row>
    <x:row r="245">
      <x:c r="B245" s="60"/>
    </x:row>
    <x:row r="246">
      <x:c r="B246" s="60"/>
    </x:row>
    <x:row r="247">
      <x:c r="B247" s="60"/>
    </x:row>
    <x:row r="248">
      <x:c r="B248" s="60"/>
    </x:row>
    <x:row r="249">
      <x:c r="B249" s="60"/>
    </x:row>
    <x:row r="250">
      <x:c r="B250" s="60"/>
    </x:row>
    <x:row r="251">
      <x:c r="B251" s="60"/>
    </x:row>
    <x:row r="252">
      <x:c r="B252" s="60"/>
    </x:row>
    <x:row r="253">
      <x:c r="B253" s="60"/>
    </x:row>
    <x:row r="254">
      <x:c r="B254" s="60"/>
    </x:row>
    <x:row r="255">
      <x:c r="B255" s="60"/>
    </x:row>
    <x:row r="256">
      <x:c r="B256" s="60"/>
    </x:row>
    <x:row r="257">
      <x:c r="B257" s="60"/>
    </x:row>
    <x:row r="258">
      <x:c r="B258" s="60"/>
    </x:row>
    <x:row r="259">
      <x:c r="B259" s="60"/>
    </x:row>
    <x:row r="260">
      <x:c r="B260" s="60"/>
    </x:row>
    <x:row r="261">
      <x:c r="B261" s="60"/>
    </x:row>
    <x:row r="262">
      <x:c r="B262" s="60"/>
    </x:row>
    <x:row r="263">
      <x:c r="B263" s="60"/>
    </x:row>
    <x:row r="264">
      <x:c r="B264" s="60"/>
    </x:row>
    <x:row r="265">
      <x:c r="B265" s="60"/>
    </x:row>
    <x:row r="266">
      <x:c r="B266" s="60"/>
    </x:row>
    <x:row r="267">
      <x:c r="B267" s="60"/>
    </x:row>
    <x:row r="268">
      <x:c r="B268" s="60"/>
    </x:row>
    <x:row r="269">
      <x:c r="B269" s="60"/>
    </x:row>
    <x:row r="270">
      <x:c r="B270" s="60"/>
    </x:row>
    <x:row r="271">
      <x:c r="B271" s="60"/>
    </x:row>
    <x:row r="272">
      <x:c r="B272" s="60"/>
    </x:row>
    <x:row r="273">
      <x:c r="B273" s="60"/>
    </x:row>
    <x:row r="274">
      <x:c r="B274" s="60"/>
    </x:row>
    <x:row r="275">
      <x:c r="B275" s="60"/>
    </x:row>
    <x:row r="276">
      <x:c r="B276" s="60"/>
    </x:row>
    <x:row r="277">
      <x:c r="B277" s="60"/>
    </x:row>
    <x:row r="278">
      <x:c r="B278" s="60"/>
    </x:row>
    <x:row r="279">
      <x:c r="B279" s="60"/>
    </x:row>
    <x:row r="280">
      <x:c r="B280" s="60"/>
    </x:row>
    <x:row r="281">
      <x:c r="B281" s="60"/>
    </x:row>
    <x:row r="282">
      <x:c r="B282" s="60"/>
    </x:row>
    <x:row r="283">
      <x:c r="B283" s="60"/>
    </x:row>
    <x:row r="284">
      <x:c r="B284" s="60"/>
    </x:row>
    <x:row r="285">
      <x:c r="B285" s="60"/>
    </x:row>
    <x:row r="286">
      <x:c r="B286" s="60"/>
    </x:row>
    <x:row r="287">
      <x:c r="B287" s="60"/>
    </x:row>
    <x:row r="288">
      <x:c r="B288" s="60"/>
    </x:row>
    <x:row r="289">
      <x:c r="B289" s="60"/>
    </x:row>
    <x:row r="290">
      <x:c r="B290" s="60"/>
    </x:row>
    <x:row r="291">
      <x:c r="B291" s="60"/>
    </x:row>
    <x:row r="292">
      <x:c r="B292" s="60"/>
    </x:row>
    <x:row r="293">
      <x:c r="B293" s="60"/>
    </x:row>
    <x:row r="294">
      <x:c r="B294" s="60"/>
    </x:row>
    <x:row r="295">
      <x:c r="B295" s="60"/>
    </x:row>
    <x:row r="296">
      <x:c r="B296" s="60"/>
    </x:row>
    <x:row r="297">
      <x:c r="B297" s="60"/>
    </x:row>
    <x:row r="298">
      <x:c r="B298" s="60"/>
    </x:row>
    <x:row r="299">
      <x:c r="B299" s="60"/>
    </x:row>
    <x:row r="300">
      <x:c r="B300" s="60"/>
    </x:row>
    <x:row r="301">
      <x:c r="B301" s="60"/>
    </x:row>
    <x:row r="302">
      <x:c r="B302" s="60"/>
    </x:row>
    <x:row r="303">
      <x:c r="B303" s="60"/>
    </x:row>
    <x:row r="304">
      <x:c r="B304" s="60"/>
    </x:row>
    <x:row r="305">
      <x:c r="B305" s="60"/>
    </x:row>
    <x:row r="306">
      <x:c r="B306" s="60"/>
    </x:row>
    <x:row r="307">
      <x:c r="B307" s="60"/>
    </x:row>
    <x:row r="308">
      <x:c r="B308" s="60"/>
    </x:row>
    <x:row r="309">
      <x:c r="B309" s="60"/>
    </x:row>
    <x:row r="310">
      <x:c r="B310" s="60"/>
    </x:row>
    <x:row r="311">
      <x:c r="B311" s="60"/>
    </x:row>
    <x:row r="312">
      <x:c r="B312" s="60"/>
    </x:row>
    <x:row r="313">
      <x:c r="B313" s="60"/>
    </x:row>
    <x:row r="314">
      <x:c r="B314" s="60"/>
    </x:row>
    <x:row r="315">
      <x:c r="B315" s="60"/>
    </x:row>
    <x:row r="316">
      <x:c r="B316" s="60"/>
    </x:row>
    <x:row r="317">
      <x:c r="B317" s="60"/>
    </x:row>
    <x:row r="318">
      <x:c r="B318" s="60"/>
    </x:row>
    <x:row r="319">
      <x:c r="B319" s="60"/>
    </x:row>
    <x:row r="320">
      <x:c r="B320" s="60"/>
    </x:row>
    <x:row r="321">
      <x:c r="B321" s="60"/>
    </x:row>
    <x:row r="322">
      <x:c r="B322" s="60"/>
    </x:row>
    <x:row r="323">
      <x:c r="B323" s="60"/>
    </x:row>
    <x:row r="324">
      <x:c r="B324" s="60"/>
    </x:row>
    <x:row r="325">
      <x:c r="B325" s="60"/>
    </x:row>
    <x:row r="326">
      <x:c r="B326" s="60"/>
    </x:row>
    <x:row r="327">
      <x:c r="B327" s="60"/>
    </x:row>
    <x:row r="328">
      <x:c r="B328" s="60"/>
    </x:row>
    <x:row r="329">
      <x:c r="B329" s="60"/>
    </x:row>
    <x:row r="330">
      <x:c r="B330" s="60"/>
    </x:row>
    <x:row r="331">
      <x:c r="B331" s="60"/>
    </x:row>
    <x:row r="332">
      <x:c r="B332" s="60"/>
    </x:row>
    <x:row r="333">
      <x:c r="B333" s="60"/>
    </x:row>
    <x:row r="334">
      <x:c r="B334" s="60"/>
    </x:row>
    <x:row r="335">
      <x:c r="B335" s="60"/>
    </x:row>
    <x:row r="336">
      <x:c r="B336" s="60"/>
    </x:row>
    <x:row r="337">
      <x:c r="B337" s="60"/>
    </x:row>
    <x:row r="338">
      <x:c r="B338" s="60"/>
    </x:row>
    <x:row r="339">
      <x:c r="B339" s="60"/>
    </x:row>
    <x:row r="340">
      <x:c r="B340" s="60"/>
    </x:row>
    <x:row r="341">
      <x:c r="B341" s="60"/>
    </x:row>
    <x:row r="342">
      <x:c r="B342" s="60"/>
    </x:row>
    <x:row r="343">
      <x:c r="B343" s="60"/>
    </x:row>
    <x:row r="344">
      <x:c r="B344" s="60"/>
    </x:row>
    <x:row r="345">
      <x:c r="B345" s="60"/>
    </x:row>
    <x:row r="346">
      <x:c r="B346" s="60"/>
    </x:row>
    <x:row r="347">
      <x:c r="B347" s="60"/>
    </x:row>
    <x:row r="348">
      <x:c r="B348" s="60"/>
    </x:row>
    <x:row r="349">
      <x:c r="B349" s="60"/>
    </x:row>
    <x:row r="350">
      <x:c r="B350" s="60"/>
    </x:row>
    <x:row r="351">
      <x:c r="B351" s="60"/>
    </x:row>
    <x:row r="352">
      <x:c r="B352" s="60"/>
    </x:row>
    <x:row r="353">
      <x:c r="B353" s="60"/>
    </x:row>
    <x:row r="354">
      <x:c r="B354" s="60"/>
    </x:row>
    <x:row r="355">
      <x:c r="B355" s="60"/>
    </x:row>
    <x:row r="356">
      <x:c r="B356" s="60"/>
    </x:row>
    <x:row r="357">
      <x:c r="B357" s="60"/>
    </x:row>
    <x:row r="358">
      <x:c r="B358" s="60"/>
    </x:row>
    <x:row r="359">
      <x:c r="B359" s="60"/>
    </x:row>
    <x:row r="360">
      <x:c r="B360" s="60"/>
    </x:row>
    <x:row r="361">
      <x:c r="B361" s="60"/>
    </x:row>
    <x:row r="362">
      <x:c r="B362" s="60"/>
    </x:row>
    <x:row r="363">
      <x:c r="B363" s="60"/>
    </x:row>
    <x:row r="364">
      <x:c r="B364" s="60"/>
    </x:row>
    <x:row r="365">
      <x:c r="B365" s="60"/>
    </x:row>
    <x:row r="366">
      <x:c r="B366" s="60"/>
    </x:row>
    <x:row r="367">
      <x:c r="B367" s="60"/>
    </x:row>
    <x:row r="368">
      <x:c r="B368" s="60"/>
    </x:row>
    <x:row r="369">
      <x:c r="B369" s="60"/>
    </x:row>
    <x:row r="370">
      <x:c r="B370" s="60"/>
    </x:row>
    <x:row r="371">
      <x:c r="B371" s="60"/>
    </x:row>
    <x:row r="372">
      <x:c r="B372" s="60"/>
    </x:row>
    <x:row r="373">
      <x:c r="B373" s="60"/>
    </x:row>
    <x:row r="374">
      <x:c r="B374" s="60"/>
    </x:row>
    <x:row r="375">
      <x:c r="B375" s="60"/>
    </x:row>
    <x:row r="376">
      <x:c r="B376" s="60"/>
    </x:row>
    <x:row r="377">
      <x:c r="B377" s="60"/>
    </x:row>
    <x:row r="378">
      <x:c r="B378" s="60"/>
    </x:row>
    <x:row r="379">
      <x:c r="B379" s="60"/>
    </x:row>
    <x:row r="380">
      <x:c r="B380" s="60"/>
    </x:row>
    <x:row r="381">
      <x:c r="B381" s="60"/>
    </x:row>
    <x:row r="382">
      <x:c r="B382" s="60"/>
    </x:row>
    <x:row r="383">
      <x:c r="B383" s="60"/>
    </x:row>
    <x:row r="384">
      <x:c r="B384" s="60"/>
    </x:row>
    <x:row r="385">
      <x:c r="B385" s="60"/>
    </x:row>
    <x:row r="386">
      <x:c r="B386" s="60"/>
    </x:row>
    <x:row r="387">
      <x:c r="B387" s="60"/>
    </x:row>
    <x:row r="388">
      <x:c r="B388" s="60"/>
    </x:row>
    <x:row r="389">
      <x:c r="B389" s="60"/>
    </x:row>
    <x:row r="390">
      <x:c r="B390" s="60"/>
    </x:row>
    <x:row r="391">
      <x:c r="B391" s="60"/>
    </x:row>
    <x:row r="392">
      <x:c r="B392" s="60"/>
    </x:row>
    <x:row r="393">
      <x:c r="B393" s="60"/>
    </x:row>
    <x:row r="394">
      <x:c r="B394" s="60"/>
    </x:row>
    <x:row r="395">
      <x:c r="B395" s="60"/>
    </x:row>
    <x:row r="396">
      <x:c r="B396" s="60"/>
    </x:row>
    <x:row r="397">
      <x:c r="B397" s="60"/>
    </x:row>
    <x:row r="398">
      <x:c r="B398" s="60"/>
    </x:row>
    <x:row r="399">
      <x:c r="B399" s="60"/>
    </x:row>
    <x:row r="400">
      <x:c r="B400" s="60"/>
    </x:row>
    <x:row r="401">
      <x:c r="B401" s="60"/>
    </x:row>
    <x:row r="402">
      <x:c r="B402" s="60"/>
    </x:row>
    <x:row r="403">
      <x:c r="B403" s="60"/>
    </x:row>
    <x:row r="404">
      <x:c r="B404" s="60"/>
    </x:row>
    <x:row r="405">
      <x:c r="B405" s="60"/>
    </x:row>
    <x:row r="406">
      <x:c r="B406" s="60"/>
    </x:row>
    <x:row r="407">
      <x:c r="B407" s="60"/>
    </x:row>
    <x:row r="408">
      <x:c r="B408" s="60"/>
    </x:row>
    <x:row r="409">
      <x:c r="B409" s="60"/>
    </x:row>
    <x:row r="410">
      <x:c r="B410" s="60"/>
    </x:row>
    <x:row r="411">
      <x:c r="B411" s="60"/>
    </x:row>
    <x:row r="412">
      <x:c r="B412" s="60"/>
    </x:row>
    <x:row r="413">
      <x:c r="B413" s="60"/>
    </x:row>
    <x:row r="414">
      <x:c r="B414" s="60"/>
    </x:row>
    <x:row r="415">
      <x:c r="B415" s="60"/>
    </x:row>
    <x:row r="416">
      <x:c r="B416" s="60"/>
    </x:row>
    <x:row r="417">
      <x:c r="B417" s="60"/>
    </x:row>
    <x:row r="418">
      <x:c r="B418" s="60"/>
    </x:row>
    <x:row r="419">
      <x:c r="B419" s="60"/>
    </x:row>
    <x:row r="420">
      <x:c r="B420" s="60"/>
    </x:row>
    <x:row r="421">
      <x:c r="B421" s="60"/>
    </x:row>
    <x:row r="422">
      <x:c r="B422" s="60"/>
    </x:row>
    <x:row r="423">
      <x:c r="B423" s="60"/>
    </x:row>
    <x:row r="424">
      <x:c r="B424" s="60"/>
    </x:row>
    <x:row r="425">
      <x:c r="B425" s="60"/>
    </x:row>
    <x:row r="426">
      <x:c r="B426" s="60"/>
    </x:row>
    <x:row r="427">
      <x:c r="B427" s="60"/>
    </x:row>
    <x:row r="428">
      <x:c r="B428" s="60"/>
    </x:row>
    <x:row r="429">
      <x:c r="B429" s="60"/>
    </x:row>
    <x:row r="430">
      <x:c r="B430" s="60"/>
    </x:row>
    <x:row r="431">
      <x:c r="B431" s="60"/>
    </x:row>
    <x:row r="432">
      <x:c r="B432" s="60"/>
    </x:row>
    <x:row r="433">
      <x:c r="B433" s="60"/>
    </x:row>
    <x:row r="434">
      <x:c r="B434" s="60"/>
    </x:row>
    <x:row r="435">
      <x:c r="B435" s="60"/>
    </x:row>
    <x:row r="436">
      <x:c r="B436" s="60"/>
    </x:row>
    <x:row r="437">
      <x:c r="B437" s="60"/>
    </x:row>
    <x:row r="438">
      <x:c r="B438" s="60"/>
    </x:row>
    <x:row r="439">
      <x:c r="B439" s="60"/>
    </x:row>
    <x:row r="440">
      <x:c r="B440" s="60"/>
    </x:row>
    <x:row r="441">
      <x:c r="B441" s="60"/>
    </x:row>
    <x:row r="442">
      <x:c r="B442" s="60"/>
    </x:row>
    <x:row r="443">
      <x:c r="B443" s="60"/>
    </x:row>
    <x:row r="444">
      <x:c r="B444" s="60"/>
    </x:row>
    <x:row r="445">
      <x:c r="B445" s="60"/>
    </x:row>
    <x:row r="446">
      <x:c r="B446" s="60"/>
    </x:row>
    <x:row r="447">
      <x:c r="B447" s="60"/>
    </x:row>
    <x:row r="448">
      <x:c r="B448" s="60"/>
    </x:row>
    <x:row r="449">
      <x:c r="B449" s="60"/>
    </x:row>
    <x:row r="450">
      <x:c r="B450" s="60"/>
    </x:row>
    <x:row r="451">
      <x:c r="B451" s="60"/>
    </x:row>
    <x:row r="452">
      <x:c r="B452" s="60"/>
    </x:row>
    <x:row r="453">
      <x:c r="B453" s="60"/>
    </x:row>
    <x:row r="454">
      <x:c r="B454" s="60"/>
    </x:row>
    <x:row r="455">
      <x:c r="B455" s="60"/>
    </x:row>
    <x:row r="456">
      <x:c r="B456" s="60"/>
    </x:row>
    <x:row r="457">
      <x:c r="B457" s="60"/>
    </x:row>
    <x:row r="458">
      <x:c r="B458" s="60"/>
    </x:row>
    <x:row r="459">
      <x:c r="B459" s="60"/>
    </x:row>
    <x:row r="460">
      <x:c r="B460" s="60"/>
    </x:row>
    <x:row r="461">
      <x:c r="B461" s="60"/>
    </x:row>
    <x:row r="462">
      <x:c r="B462" s="60"/>
    </x:row>
    <x:row r="463">
      <x:c r="B463" s="60"/>
    </x:row>
    <x:row r="464">
      <x:c r="B464" s="60"/>
    </x:row>
    <x:row r="465">
      <x:c r="B465" s="60"/>
    </x:row>
    <x:row r="466">
      <x:c r="B466" s="60"/>
    </x:row>
    <x:row r="467">
      <x:c r="B467" s="60"/>
    </x:row>
    <x:row r="468">
      <x:c r="B468" s="60"/>
    </x:row>
    <x:row r="469">
      <x:c r="B469" s="60"/>
    </x:row>
    <x:row r="470">
      <x:c r="B470" s="60"/>
    </x:row>
    <x:row r="471">
      <x:c r="B471" s="60"/>
    </x:row>
    <x:row r="472">
      <x:c r="B472" s="60"/>
    </x:row>
    <x:row r="473">
      <x:c r="B473" s="60"/>
    </x:row>
    <x:row r="474">
      <x:c r="B474" s="60"/>
    </x:row>
    <x:row r="475">
      <x:c r="B475" s="60"/>
    </x:row>
    <x:row r="476">
      <x:c r="B476" s="60"/>
    </x:row>
    <x:row r="477">
      <x:c r="B477" s="60"/>
    </x:row>
    <x:row r="478">
      <x:c r="B478" s="60"/>
    </x:row>
    <x:row r="479">
      <x:c r="B479" s="60"/>
    </x:row>
    <x:row r="480">
      <x:c r="B480" s="60"/>
    </x:row>
    <x:row r="481">
      <x:c r="B481" s="60"/>
    </x:row>
    <x:row r="482">
      <x:c r="B482" s="60"/>
    </x:row>
    <x:row r="483">
      <x:c r="B483" s="60"/>
    </x:row>
    <x:row r="484">
      <x:c r="B484" s="60"/>
    </x:row>
    <x:row r="485">
      <x:c r="B485" s="60"/>
    </x:row>
    <x:row r="486">
      <x:c r="B486" s="60"/>
    </x:row>
    <x:row r="487">
      <x:c r="B487" s="60"/>
    </x:row>
    <x:row r="488">
      <x:c r="B488" s="60"/>
    </x:row>
    <x:row r="489">
      <x:c r="B489" s="60"/>
    </x:row>
    <x:row r="490">
      <x:c r="B490" s="60"/>
    </x:row>
    <x:row r="491">
      <x:c r="B491" s="60"/>
    </x:row>
    <x:row r="492">
      <x:c r="B492" s="60"/>
    </x:row>
    <x:row r="493">
      <x:c r="B493" s="60"/>
    </x:row>
    <x:row r="494">
      <x:c r="B494" s="60"/>
    </x:row>
    <x:row r="495">
      <x:c r="B495" s="60"/>
    </x:row>
    <x:row r="496">
      <x:c r="B496" s="60"/>
    </x:row>
    <x:row r="497">
      <x:c r="B497" s="60"/>
    </x:row>
    <x:row r="498">
      <x:c r="B498" s="60"/>
    </x:row>
    <x:row r="499">
      <x:c r="B499" s="60"/>
    </x:row>
    <x:row r="500">
      <x:c r="B500" s="60"/>
    </x:row>
    <x:row r="501">
      <x:c r="B501" s="60"/>
    </x:row>
    <x:row r="502">
      <x:c r="B502" s="60"/>
    </x:row>
    <x:row r="503">
      <x:c r="B503" s="60"/>
    </x:row>
    <x:row r="504">
      <x:c r="B504" s="60"/>
    </x:row>
    <x:row r="505">
      <x:c r="B505" s="60"/>
    </x:row>
    <x:row r="506">
      <x:c r="B506" s="60"/>
    </x:row>
    <x:row r="507">
      <x:c r="B507" s="60"/>
    </x:row>
    <x:row r="508">
      <x:c r="B508" s="60"/>
    </x:row>
    <x:row r="509">
      <x:c r="B509" s="60"/>
    </x:row>
    <x:row r="510">
      <x:c r="B510" s="60"/>
    </x:row>
    <x:row r="511">
      <x:c r="B511" s="60"/>
    </x:row>
    <x:row r="512">
      <x:c r="B512" s="60"/>
    </x:row>
    <x:row r="513">
      <x:c r="B513" s="60"/>
    </x:row>
    <x:row r="514">
      <x:c r="B514" s="60"/>
    </x:row>
    <x:row r="515">
      <x:c r="B515" s="60"/>
    </x:row>
    <x:row r="516">
      <x:c r="B516" s="60"/>
    </x:row>
    <x:row r="517">
      <x:c r="B517" s="60"/>
    </x:row>
    <x:row r="518">
      <x:c r="B518" s="60"/>
    </x:row>
    <x:row r="519">
      <x:c r="B519" s="60"/>
    </x:row>
    <x:row r="520">
      <x:c r="B520" s="60"/>
    </x:row>
    <x:row r="521">
      <x:c r="B521" s="60"/>
    </x:row>
    <x:row r="522">
      <x:c r="B522" s="60"/>
    </x:row>
    <x:row r="523">
      <x:c r="B523" s="60"/>
    </x:row>
    <x:row r="524">
      <x:c r="B524" s="60"/>
    </x:row>
    <x:row r="525">
      <x:c r="B525" s="60"/>
    </x:row>
    <x:row r="526">
      <x:c r="B526" s="60"/>
    </x:row>
    <x:row r="527">
      <x:c r="B527" s="60"/>
    </x:row>
    <x:row r="528">
      <x:c r="B528" s="60"/>
    </x:row>
    <x:row r="529">
      <x:c r="B529" s="60"/>
    </x:row>
    <x:row r="530">
      <x:c r="B530" s="60"/>
    </x:row>
    <x:row r="531">
      <x:c r="B531" s="60"/>
    </x:row>
    <x:row r="532">
      <x:c r="B532" s="60"/>
    </x:row>
    <x:row r="533">
      <x:c r="B533" s="60"/>
    </x:row>
    <x:row r="534">
      <x:c r="B534" s="60"/>
    </x:row>
    <x:row r="535">
      <x:c r="B535" s="60"/>
    </x:row>
    <x:row r="536">
      <x:c r="B536" s="60"/>
    </x:row>
    <x:row r="537">
      <x:c r="B537" s="60"/>
    </x:row>
    <x:row r="538">
      <x:c r="B538" s="60"/>
    </x:row>
    <x:row r="539">
      <x:c r="B539" s="60"/>
    </x:row>
    <x:row r="540">
      <x:c r="B540" s="60"/>
    </x:row>
    <x:row r="541">
      <x:c r="B541" s="60"/>
    </x:row>
    <x:row r="542">
      <x:c r="B542" s="60"/>
    </x:row>
    <x:row r="543">
      <x:c r="B543" s="60"/>
    </x:row>
    <x:row r="544">
      <x:c r="B544" s="60"/>
    </x:row>
    <x:row r="545">
      <x:c r="B545" s="60"/>
    </x:row>
    <x:row r="546">
      <x:c r="B546" s="60"/>
    </x:row>
    <x:row r="547">
      <x:c r="B547" s="60"/>
    </x:row>
    <x:row r="548">
      <x:c r="B548" s="60"/>
    </x:row>
    <x:row r="549">
      <x:c r="B549" s="60"/>
    </x:row>
    <x:row r="550">
      <x:c r="B550" s="60"/>
    </x:row>
    <x:row r="551">
      <x:c r="B551" s="60"/>
    </x:row>
    <x:row r="552">
      <x:c r="B552" s="60"/>
    </x:row>
    <x:row r="553">
      <x:c r="B553" s="60"/>
    </x:row>
    <x:row r="554">
      <x:c r="B554" s="60"/>
    </x:row>
    <x:row r="555">
      <x:c r="B555" s="60"/>
    </x:row>
    <x:row r="556">
      <x:c r="B556" s="60"/>
    </x:row>
    <x:row r="557">
      <x:c r="B557" s="60"/>
    </x:row>
    <x:row r="558">
      <x:c r="B558" s="60"/>
    </x:row>
    <x:row r="559">
      <x:c r="B559" s="60"/>
    </x:row>
    <x:row r="560">
      <x:c r="B560" s="60"/>
    </x:row>
    <x:row r="561">
      <x:c r="B561" s="60"/>
    </x:row>
    <x:row r="562">
      <x:c r="B562" s="60"/>
    </x:row>
    <x:row r="563">
      <x:c r="B563" s="60"/>
    </x:row>
    <x:row r="564">
      <x:c r="B564" s="60"/>
    </x:row>
    <x:row r="565">
      <x:c r="B565" s="60"/>
    </x:row>
    <x:row r="566">
      <x:c r="B566" s="60"/>
    </x:row>
    <x:row r="567">
      <x:c r="B567" s="60"/>
    </x:row>
    <x:row r="568">
      <x:c r="B568" s="60"/>
    </x:row>
    <x:row r="569">
      <x:c r="B569" s="60"/>
    </x:row>
    <x:row r="570">
      <x:c r="B570" s="60"/>
    </x:row>
    <x:row r="571">
      <x:c r="B571" s="60"/>
    </x:row>
    <x:row r="572">
      <x:c r="B572" s="60"/>
    </x:row>
    <x:row r="573">
      <x:c r="B573" s="60"/>
    </x:row>
    <x:row r="574">
      <x:c r="B574" s="60"/>
    </x:row>
    <x:row r="575">
      <x:c r="B575" s="60"/>
    </x:row>
    <x:row r="576">
      <x:c r="B576" s="60"/>
    </x:row>
    <x:row r="577">
      <x:c r="B577" s="60"/>
    </x:row>
    <x:row r="578">
      <x:c r="B578" s="60"/>
    </x:row>
    <x:row r="579">
      <x:c r="B579" s="60"/>
    </x:row>
    <x:row r="580">
      <x:c r="B580" s="60"/>
    </x:row>
    <x:row r="581">
      <x:c r="B581" s="60"/>
    </x:row>
    <x:row r="582">
      <x:c r="B582" s="60"/>
    </x:row>
    <x:row r="583">
      <x:c r="B583" s="60"/>
    </x:row>
    <x:row r="584">
      <x:c r="B584" s="60"/>
    </x:row>
    <x:row r="585">
      <x:c r="B585" s="60"/>
    </x:row>
    <x:row r="586">
      <x:c r="B586" s="60"/>
    </x:row>
    <x:row r="587">
      <x:c r="B587" s="60"/>
    </x:row>
    <x:row r="588">
      <x:c r="B588" s="60"/>
    </x:row>
    <x:row r="589">
      <x:c r="B589" s="60"/>
    </x:row>
    <x:row r="590">
      <x:c r="B590" s="60"/>
    </x:row>
    <x:row r="591">
      <x:c r="B591" s="60"/>
    </x:row>
    <x:row r="592">
      <x:c r="B592" s="60"/>
    </x:row>
    <x:row r="593">
      <x:c r="B593" s="60"/>
    </x:row>
    <x:row r="594">
      <x:c r="B594" s="60"/>
    </x:row>
    <x:row r="595">
      <x:c r="B595" s="60"/>
    </x:row>
    <x:row r="596">
      <x:c r="B596" s="60"/>
    </x:row>
    <x:row r="597">
      <x:c r="B597" s="60"/>
    </x:row>
    <x:row r="598">
      <x:c r="B598" s="60"/>
    </x:row>
    <x:row r="599">
      <x:c r="B599" s="60"/>
    </x:row>
    <x:row r="600">
      <x:c r="B600" s="60"/>
    </x:row>
    <x:row r="601">
      <x:c r="B601" s="60"/>
    </x:row>
    <x:row r="602">
      <x:c r="B602" s="60"/>
    </x:row>
    <x:row r="603">
      <x:c r="B603" s="60"/>
    </x:row>
    <x:row r="604">
      <x:c r="B604" s="60"/>
    </x:row>
    <x:row r="605">
      <x:c r="B605" s="60"/>
    </x:row>
    <x:row r="606">
      <x:c r="B606" s="60"/>
    </x:row>
    <x:row r="607">
      <x:c r="B607" s="60"/>
    </x:row>
    <x:row r="608">
      <x:c r="B608" s="60"/>
    </x:row>
    <x:row r="609">
      <x:c r="B609" s="60"/>
    </x:row>
    <x:row r="610">
      <x:c r="B610" s="60"/>
    </x:row>
    <x:row r="611">
      <x:c r="B611" s="60"/>
    </x:row>
    <x:row r="612">
      <x:c r="B612" s="60"/>
    </x:row>
    <x:row r="613">
      <x:c r="B613" s="60"/>
    </x:row>
    <x:row r="614">
      <x:c r="B614" s="60"/>
    </x:row>
    <x:row r="615">
      <x:c r="B615" s="60"/>
    </x:row>
    <x:row r="616">
      <x:c r="B616" s="60"/>
    </x:row>
    <x:row r="617">
      <x:c r="B617" s="60"/>
    </x:row>
    <x:row r="618">
      <x:c r="B618" s="60"/>
    </x:row>
    <x:row r="619">
      <x:c r="B619" s="60"/>
    </x:row>
    <x:row r="620">
      <x:c r="B620" s="60"/>
    </x:row>
    <x:row r="621">
      <x:c r="B621" s="60"/>
    </x:row>
    <x:row r="622">
      <x:c r="B622" s="60"/>
    </x:row>
    <x:row r="623">
      <x:c r="B623" s="60"/>
    </x:row>
    <x:row r="624">
      <x:c r="B624" s="60"/>
    </x:row>
    <x:row r="625">
      <x:c r="B625" s="60"/>
    </x:row>
    <x:row r="626">
      <x:c r="B626" s="60"/>
    </x:row>
    <x:row r="627">
      <x:c r="B627" s="60"/>
    </x:row>
    <x:row r="628">
      <x:c r="B628" s="60"/>
    </x:row>
    <x:row r="629">
      <x:c r="B629" s="60"/>
    </x:row>
    <x:row r="630">
      <x:c r="B630" s="60"/>
    </x:row>
    <x:row r="631">
      <x:c r="B631" s="60"/>
    </x:row>
    <x:row r="632">
      <x:c r="B632" s="60"/>
    </x:row>
    <x:row r="633">
      <x:c r="B633" s="60"/>
    </x:row>
    <x:row r="634">
      <x:c r="B634" s="60"/>
    </x:row>
    <x:row r="635">
      <x:c r="B635" s="60"/>
    </x:row>
    <x:row r="636">
      <x:c r="B636" s="60"/>
    </x:row>
    <x:row r="637">
      <x:c r="B637" s="60"/>
    </x:row>
    <x:row r="638">
      <x:c r="B638" s="60"/>
    </x:row>
    <x:row r="639">
      <x:c r="B639" s="60"/>
    </x:row>
    <x:row r="640">
      <x:c r="B640" s="60"/>
    </x:row>
    <x:row r="641">
      <x:c r="B641" s="60"/>
    </x:row>
    <x:row r="642">
      <x:c r="B642" s="60"/>
    </x:row>
    <x:row r="643">
      <x:c r="B643" s="60"/>
    </x:row>
    <x:row r="644">
      <x:c r="B644" s="60"/>
    </x:row>
    <x:row r="645">
      <x:c r="B645" s="60"/>
    </x:row>
    <x:row r="646">
      <x:c r="B646" s="60"/>
    </x:row>
    <x:row r="647">
      <x:c r="B647" s="60"/>
    </x:row>
    <x:row r="648">
      <x:c r="B648" s="60"/>
    </x:row>
    <x:row r="649">
      <x:c r="B649" s="60"/>
    </x:row>
    <x:row r="650">
      <x:c r="B650" s="60"/>
    </x:row>
    <x:row r="651">
      <x:c r="B651" s="60"/>
    </x:row>
    <x:row r="652">
      <x:c r="B652" s="60"/>
    </x:row>
    <x:row r="653">
      <x:c r="B653" s="60"/>
    </x:row>
    <x:row r="654">
      <x:c r="B654" s="60"/>
    </x:row>
    <x:row r="655">
      <x:c r="B655" s="60"/>
    </x:row>
    <x:row r="656">
      <x:c r="B656" s="60"/>
    </x:row>
    <x:row r="657">
      <x:c r="B657" s="60"/>
    </x:row>
    <x:row r="658">
      <x:c r="B658" s="60"/>
    </x:row>
    <x:row r="659">
      <x:c r="B659" s="60"/>
    </x:row>
    <x:row r="660">
      <x:c r="B660" s="60"/>
    </x:row>
    <x:row r="661">
      <x:c r="B661" s="60"/>
    </x:row>
    <x:row r="662">
      <x:c r="B662" s="60"/>
    </x:row>
    <x:row r="663">
      <x:c r="B663" s="60"/>
    </x:row>
    <x:row r="664">
      <x:c r="B664" s="60"/>
    </x:row>
    <x:row r="665">
      <x:c r="B665" s="60"/>
    </x:row>
    <x:row r="666">
      <x:c r="B666" s="60"/>
    </x:row>
    <x:row r="667">
      <x:c r="B667" s="60"/>
    </x:row>
    <x:row r="668">
      <x:c r="B668" s="60"/>
    </x:row>
    <x:row r="669">
      <x:c r="B669" s="60"/>
    </x:row>
    <x:row r="670">
      <x:c r="B670" s="60"/>
    </x:row>
    <x:row r="671">
      <x:c r="B671" s="60"/>
    </x:row>
    <x:row r="672">
      <x:c r="B672" s="60"/>
    </x:row>
    <x:row r="673">
      <x:c r="B673" s="60"/>
    </x:row>
    <x:row r="674">
      <x:c r="B674" s="60"/>
    </x:row>
    <x:row r="675">
      <x:c r="B675" s="60"/>
    </x:row>
    <x:row r="676">
      <x:c r="B676" s="60"/>
    </x:row>
    <x:row r="677">
      <x:c r="B677" s="60"/>
    </x:row>
    <x:row r="678">
      <x:c r="B678" s="60"/>
    </x:row>
    <x:row r="679">
      <x:c r="B679" s="60"/>
    </x:row>
    <x:row r="680">
      <x:c r="B680" s="60"/>
    </x:row>
    <x:row r="681">
      <x:c r="B681" s="60"/>
    </x:row>
    <x:row r="682">
      <x:c r="B682" s="60"/>
    </x:row>
    <x:row r="683">
      <x:c r="B683" s="60"/>
    </x:row>
    <x:row r="684">
      <x:c r="B684" s="60"/>
    </x:row>
    <x:row r="685">
      <x:c r="B685" s="60"/>
    </x:row>
    <x:row r="686">
      <x:c r="B686" s="60"/>
    </x:row>
    <x:row r="687">
      <x:c r="B687" s="60"/>
    </x:row>
    <x:row r="688">
      <x:c r="B688" s="60"/>
    </x:row>
    <x:row r="689">
      <x:c r="B689" s="60"/>
    </x:row>
    <x:row r="690">
      <x:c r="B690" s="60"/>
    </x:row>
    <x:row r="691">
      <x:c r="B691" s="60"/>
    </x:row>
    <x:row r="692">
      <x:c r="B692" s="60"/>
    </x:row>
    <x:row r="693">
      <x:c r="B693" s="60"/>
    </x:row>
    <x:row r="694">
      <x:c r="B694" s="60"/>
    </x:row>
    <x:row r="695">
      <x:c r="B695" s="60"/>
    </x:row>
    <x:row r="696">
      <x:c r="B696" s="60"/>
    </x:row>
    <x:row r="697">
      <x:c r="B697" s="60"/>
    </x:row>
    <x:row r="698">
      <x:c r="B698" s="60"/>
    </x:row>
    <x:row r="699">
      <x:c r="B699" s="60"/>
    </x:row>
    <x:row r="700">
      <x:c r="B700" s="60"/>
    </x:row>
    <x:row r="701">
      <x:c r="B701" s="60"/>
    </x:row>
    <x:row r="702">
      <x:c r="B702" s="60"/>
    </x:row>
    <x:row r="703">
      <x:c r="B703" s="60"/>
    </x:row>
    <x:row r="704">
      <x:c r="B704" s="60"/>
    </x:row>
    <x:row r="705">
      <x:c r="B705" s="60"/>
    </x:row>
    <x:row r="706">
      <x:c r="B706" s="60"/>
    </x:row>
    <x:row r="707">
      <x:c r="B707" s="60"/>
    </x:row>
    <x:row r="708">
      <x:c r="B708" s="60"/>
    </x:row>
    <x:row r="709">
      <x:c r="B709" s="60"/>
    </x:row>
    <x:row r="710">
      <x:c r="B710" s="60"/>
    </x:row>
    <x:row r="711">
      <x:c r="B711" s="60"/>
    </x:row>
    <x:row r="712">
      <x:c r="B712" s="60"/>
    </x:row>
    <x:row r="713">
      <x:c r="B713" s="60"/>
    </x:row>
    <x:row r="714">
      <x:c r="B714" s="60"/>
    </x:row>
    <x:row r="715">
      <x:c r="B715" s="60"/>
    </x:row>
    <x:row r="716">
      <x:c r="B716" s="60"/>
    </x:row>
    <x:row r="717">
      <x:c r="B717" s="60"/>
    </x:row>
    <x:row r="718">
      <x:c r="B718" s="60"/>
    </x:row>
    <x:row r="719">
      <x:c r="B719" s="60"/>
    </x:row>
    <x:row r="720">
      <x:c r="B720" s="60"/>
    </x:row>
    <x:row r="721">
      <x:c r="B721" s="60"/>
    </x:row>
    <x:row r="722">
      <x:c r="B722" s="60"/>
    </x:row>
    <x:row r="723">
      <x:c r="B723" s="60"/>
    </x:row>
    <x:row r="724">
      <x:c r="B724" s="60"/>
    </x:row>
    <x:row r="725">
      <x:c r="B725" s="60"/>
    </x:row>
    <x:row r="726">
      <x:c r="B726" s="60"/>
    </x:row>
    <x:row r="727">
      <x:c r="B727" s="60"/>
    </x:row>
    <x:row r="728">
      <x:c r="B728" s="60"/>
    </x:row>
    <x:row r="729">
      <x:c r="B729" s="60"/>
    </x:row>
    <x:row r="730">
      <x:c r="B730" s="60"/>
    </x:row>
    <x:row r="731">
      <x:c r="B731" s="60"/>
    </x:row>
    <x:row r="732">
      <x:c r="B732" s="60"/>
    </x:row>
    <x:row r="733">
      <x:c r="B733" s="60"/>
    </x:row>
    <x:row r="734">
      <x:c r="B734" s="60"/>
    </x:row>
    <x:row r="735">
      <x:c r="B735" s="60"/>
    </x:row>
    <x:row r="736">
      <x:c r="B736" s="60"/>
    </x:row>
    <x:row r="737">
      <x:c r="B737" s="60"/>
    </x:row>
    <x:row r="738">
      <x:c r="B738" s="60"/>
    </x:row>
    <x:row r="739">
      <x:c r="B739" s="60"/>
    </x:row>
    <x:row r="740">
      <x:c r="B740" s="60"/>
    </x:row>
    <x:row r="741">
      <x:c r="B741" s="60"/>
    </x:row>
    <x:row r="742">
      <x:c r="B742" s="60"/>
    </x:row>
    <x:row r="743">
      <x:c r="B743" s="60"/>
    </x:row>
    <x:row r="744">
      <x:c r="B744" s="60"/>
    </x:row>
    <x:row r="745">
      <x:c r="B745" s="60"/>
    </x:row>
    <x:row r="746">
      <x:c r="B746" s="60"/>
    </x:row>
    <x:row r="747">
      <x:c r="B747" s="60"/>
    </x:row>
    <x:row r="748">
      <x:c r="B748" s="60"/>
    </x:row>
    <x:row r="749">
      <x:c r="B749" s="60"/>
    </x:row>
    <x:row r="750">
      <x:c r="B750" s="60"/>
    </x:row>
    <x:row r="751">
      <x:c r="B751" s="60"/>
    </x:row>
    <x:row r="752">
      <x:c r="B752" s="60"/>
    </x:row>
    <x:row r="753">
      <x:c r="B753" s="60"/>
    </x:row>
    <x:row r="754">
      <x:c r="B754" s="60"/>
    </x:row>
    <x:row r="755">
      <x:c r="B755" s="60"/>
    </x:row>
    <x:row r="756">
      <x:c r="B756" s="60"/>
    </x:row>
    <x:row r="757">
      <x:c r="B757" s="60"/>
    </x:row>
    <x:row r="758">
      <x:c r="B758" s="60"/>
    </x:row>
    <x:row r="759">
      <x:c r="B759" s="60"/>
    </x:row>
    <x:row r="760">
      <x:c r="B760" s="60"/>
    </x:row>
    <x:row r="761">
      <x:c r="B761" s="60"/>
    </x:row>
    <x:row r="762">
      <x:c r="B762" s="60"/>
    </x:row>
    <x:row r="763">
      <x:c r="B763" s="60"/>
    </x:row>
    <x:row r="764">
      <x:c r="B764" s="60"/>
    </x:row>
    <x:row r="765">
      <x:c r="B765" s="60"/>
    </x:row>
    <x:row r="766">
      <x:c r="B766" s="60"/>
    </x:row>
    <x:row r="767">
      <x:c r="B767" s="60"/>
    </x:row>
    <x:row r="768">
      <x:c r="B768" s="60"/>
    </x:row>
    <x:row r="769">
      <x:c r="B769" s="60"/>
    </x:row>
    <x:row r="770">
      <x:c r="B770" s="60"/>
    </x:row>
    <x:row r="771">
      <x:c r="B771" s="60"/>
    </x:row>
    <x:row r="772">
      <x:c r="B772" s="60"/>
    </x:row>
    <x:row r="773">
      <x:c r="B773" s="60"/>
    </x:row>
    <x:row r="774">
      <x:c r="B774" s="60"/>
    </x:row>
    <x:row r="775">
      <x:c r="B775" s="60"/>
    </x:row>
    <x:row r="776">
      <x:c r="B776" s="60"/>
    </x:row>
    <x:row r="777">
      <x:c r="B777" s="60"/>
    </x:row>
    <x:row r="778">
      <x:c r="B778" s="60"/>
    </x:row>
    <x:row r="779">
      <x:c r="B779" s="60"/>
    </x:row>
    <x:row r="780">
      <x:c r="B780" s="60"/>
    </x:row>
    <x:row r="781">
      <x:c r="B781" s="60"/>
    </x:row>
    <x:row r="782">
      <x:c r="B782" s="60"/>
    </x:row>
    <x:row r="783">
      <x:c r="B783" s="60"/>
    </x:row>
    <x:row r="784">
      <x:c r="B784" s="60"/>
    </x:row>
    <x:row r="785">
      <x:c r="B785" s="60"/>
    </x:row>
    <x:row r="786">
      <x:c r="B786" s="60"/>
    </x:row>
    <x:row r="787">
      <x:c r="B787" s="60"/>
    </x:row>
    <x:row r="788">
      <x:c r="B788" s="60"/>
    </x:row>
    <x:row r="789">
      <x:c r="B789" s="60"/>
    </x:row>
    <x:row r="790">
      <x:c r="B790" s="60"/>
    </x:row>
    <x:row r="791">
      <x:c r="B791" s="60"/>
    </x:row>
    <x:row r="792">
      <x:c r="B792" s="60"/>
    </x:row>
    <x:row r="793">
      <x:c r="B793" s="60"/>
    </x:row>
    <x:row r="794">
      <x:c r="B794" s="60"/>
    </x:row>
    <x:row r="795">
      <x:c r="B795" s="60"/>
    </x:row>
    <x:row r="796">
      <x:c r="B796" s="60"/>
    </x:row>
    <x:row r="797">
      <x:c r="B797" s="60"/>
    </x:row>
    <x:row r="798">
      <x:c r="B798" s="60"/>
    </x:row>
    <x:row r="799">
      <x:c r="B799" s="60"/>
    </x:row>
    <x:row r="800">
      <x:c r="B800" s="60"/>
    </x:row>
    <x:row r="801">
      <x:c r="B801" s="60"/>
    </x:row>
    <x:row r="802">
      <x:c r="B802" s="60"/>
    </x:row>
    <x:row r="803">
      <x:c r="B803" s="60"/>
    </x:row>
    <x:row r="804">
      <x:c r="B804" s="60"/>
    </x:row>
    <x:row r="805">
      <x:c r="B805" s="60"/>
    </x:row>
    <x:row r="806">
      <x:c r="B806" s="60"/>
    </x:row>
    <x:row r="807">
      <x:c r="B807" s="60"/>
    </x:row>
    <x:row r="808">
      <x:c r="B808" s="60"/>
    </x:row>
    <x:row r="809">
      <x:c r="B809" s="60"/>
    </x:row>
    <x:row r="810">
      <x:c r="B810" s="60"/>
    </x:row>
    <x:row r="811">
      <x:c r="B811" s="60"/>
    </x:row>
    <x:row r="812">
      <x:c r="B812" s="60"/>
    </x:row>
    <x:row r="813">
      <x:c r="B813" s="60"/>
    </x:row>
    <x:row r="814">
      <x:c r="B814" s="60"/>
    </x:row>
    <x:row r="815">
      <x:c r="B815" s="60"/>
    </x:row>
    <x:row r="816">
      <x:c r="B816" s="60"/>
    </x:row>
    <x:row r="817">
      <x:c r="B817" s="60"/>
    </x:row>
    <x:row r="818">
      <x:c r="B818" s="60"/>
    </x:row>
    <x:row r="819">
      <x:c r="B819" s="60"/>
    </x:row>
    <x:row r="820">
      <x:c r="B820" s="60"/>
    </x:row>
    <x:row r="821">
      <x:c r="B821" s="60"/>
    </x:row>
    <x:row r="822">
      <x:c r="B822" s="60"/>
    </x:row>
    <x:row r="823">
      <x:c r="B823" s="60"/>
    </x:row>
    <x:row r="824">
      <x:c r="B824" s="60"/>
    </x:row>
    <x:row r="825">
      <x:c r="B825" s="60"/>
    </x:row>
    <x:row r="826">
      <x:c r="B826" s="60"/>
    </x:row>
    <x:row r="827">
      <x:c r="B827" s="60"/>
    </x:row>
    <x:row r="828">
      <x:c r="B828" s="60"/>
    </x:row>
    <x:row r="829">
      <x:c r="B829" s="60"/>
    </x:row>
    <x:row r="830">
      <x:c r="B830" s="60"/>
    </x:row>
    <x:row r="831">
      <x:c r="B831" s="60"/>
    </x:row>
    <x:row r="832">
      <x:c r="B832" s="60"/>
    </x:row>
    <x:row r="833">
      <x:c r="B833" s="60"/>
    </x:row>
    <x:row r="834">
      <x:c r="B834" s="60"/>
    </x:row>
    <x:row r="835">
      <x:c r="B835" s="60"/>
    </x:row>
    <x:row r="836">
      <x:c r="B836" s="60"/>
    </x:row>
    <x:row r="837">
      <x:c r="B837" s="60"/>
    </x:row>
    <x:row r="838">
      <x:c r="B838" s="60"/>
    </x:row>
    <x:row r="839">
      <x:c r="B839" s="60"/>
    </x:row>
    <x:row r="840">
      <x:c r="B840" s="60"/>
    </x:row>
    <x:row r="841">
      <x:c r="B841" s="60"/>
    </x:row>
    <x:row r="842">
      <x:c r="B842" s="60"/>
    </x:row>
    <x:row r="843">
      <x:c r="B843" s="60"/>
    </x:row>
    <x:row r="844">
      <x:c r="B844" s="60"/>
    </x:row>
    <x:row r="845">
      <x:c r="B845" s="60"/>
    </x:row>
    <x:row r="846">
      <x:c r="B846" s="60"/>
    </x:row>
    <x:row r="847">
      <x:c r="B847" s="60"/>
    </x:row>
    <x:row r="848">
      <x:c r="B848" s="60"/>
    </x:row>
    <x:row r="849">
      <x:c r="B849" s="60"/>
    </x:row>
    <x:row r="850">
      <x:c r="B850" s="60"/>
    </x:row>
    <x:row r="851">
      <x:c r="B851" s="60"/>
    </x:row>
    <x:row r="852">
      <x:c r="B852" s="60"/>
    </x:row>
    <x:row r="853">
      <x:c r="B853" s="60"/>
    </x:row>
    <x:row r="854">
      <x:c r="B854" s="60"/>
    </x:row>
    <x:row r="855">
      <x:c r="B855" s="60"/>
    </x:row>
    <x:row r="856">
      <x:c r="B856" s="60"/>
    </x:row>
    <x:row r="857">
      <x:c r="B857" s="60"/>
    </x:row>
    <x:row r="858">
      <x:c r="B858" s="60"/>
    </x:row>
    <x:row r="859">
      <x:c r="B859" s="60"/>
    </x:row>
    <x:row r="860">
      <x:c r="B860" s="60"/>
    </x:row>
    <x:row r="861">
      <x:c r="B861" s="60"/>
    </x:row>
    <x:row r="862">
      <x:c r="B862" s="60"/>
    </x:row>
    <x:row r="863">
      <x:c r="B863" s="60"/>
    </x:row>
    <x:row r="864">
      <x:c r="B864" s="60"/>
    </x:row>
    <x:row r="865">
      <x:c r="B865" s="60"/>
    </x:row>
    <x:row r="866">
      <x:c r="B866" s="60"/>
    </x:row>
    <x:row r="867">
      <x:c r="B867" s="60"/>
    </x:row>
    <x:row r="868">
      <x:c r="B868" s="60"/>
    </x:row>
    <x:row r="869">
      <x:c r="B869" s="60"/>
    </x:row>
    <x:row r="870">
      <x:c r="B870" s="60"/>
    </x:row>
    <x:row r="871">
      <x:c r="B871" s="60"/>
    </x:row>
    <x:row r="872">
      <x:c r="B872" s="60"/>
    </x:row>
    <x:row r="873">
      <x:c r="B873" s="60"/>
    </x:row>
    <x:row r="874">
      <x:c r="B874" s="60"/>
    </x:row>
    <x:row r="875">
      <x:c r="B875" s="60"/>
    </x:row>
    <x:row r="876">
      <x:c r="B876" s="60"/>
    </x:row>
    <x:row r="877">
      <x:c r="B877" s="60"/>
    </x:row>
    <x:row r="878">
      <x:c r="B878" s="60"/>
    </x:row>
    <x:row r="879">
      <x:c r="B879" s="60"/>
    </x:row>
    <x:row r="880">
      <x:c r="B880" s="60"/>
    </x:row>
    <x:row r="881">
      <x:c r="B881" s="60"/>
    </x:row>
    <x:row r="882">
      <x:c r="B882" s="60"/>
    </x:row>
    <x:row r="883">
      <x:c r="B883" s="60"/>
    </x:row>
    <x:row r="884">
      <x:c r="B884" s="60"/>
    </x:row>
    <x:row r="885">
      <x:c r="B885" s="60"/>
    </x:row>
    <x:row r="886">
      <x:c r="B886" s="60"/>
    </x:row>
    <x:row r="887">
      <x:c r="B887" s="60"/>
    </x:row>
    <x:row r="888">
      <x:c r="B888" s="60"/>
    </x:row>
    <x:row r="889">
      <x:c r="B889" s="60"/>
    </x:row>
    <x:row r="890">
      <x:c r="B890" s="60"/>
    </x:row>
    <x:row r="891">
      <x:c r="B891" s="60"/>
    </x:row>
    <x:row r="892">
      <x:c r="B892" s="60"/>
    </x:row>
    <x:row r="893">
      <x:c r="B893" s="60"/>
    </x:row>
    <x:row r="894">
      <x:c r="B894" s="60"/>
    </x:row>
    <x:row r="895">
      <x:c r="B895" s="60"/>
    </x:row>
    <x:row r="896">
      <x:c r="B896" s="60"/>
    </x:row>
    <x:row r="897">
      <x:c r="B897" s="60"/>
    </x:row>
    <x:row r="898">
      <x:c r="B898" s="60"/>
    </x:row>
    <x:row r="899">
      <x:c r="B899" s="60"/>
    </x:row>
    <x:row r="900">
      <x:c r="B900" s="60"/>
    </x:row>
    <x:row r="901">
      <x:c r="B901" s="60"/>
    </x:row>
    <x:row r="902">
      <x:c r="B902" s="60"/>
    </x:row>
    <x:row r="903">
      <x:c r="B903" s="60"/>
    </x:row>
    <x:row r="904">
      <x:c r="B904" s="60"/>
    </x:row>
    <x:row r="905">
      <x:c r="B905" s="60"/>
    </x:row>
    <x:row r="906">
      <x:c r="B906" s="60"/>
    </x:row>
    <x:row r="907">
      <x:c r="B907" s="60"/>
    </x:row>
    <x:row r="908">
      <x:c r="B908" s="60"/>
    </x:row>
    <x:row r="909">
      <x:c r="B909" s="60"/>
    </x:row>
    <x:row r="910">
      <x:c r="B910" s="60"/>
    </x:row>
    <x:row r="911">
      <x:c r="B911" s="60"/>
    </x:row>
    <x:row r="912">
      <x:c r="B912" s="60"/>
    </x:row>
    <x:row r="913">
      <x:c r="B913" s="60"/>
    </x:row>
    <x:row r="914">
      <x:c r="B914" s="60"/>
    </x:row>
    <x:row r="915">
      <x:c r="B915" s="60"/>
    </x:row>
    <x:row r="916">
      <x:c r="B916" s="60"/>
    </x:row>
    <x:row r="917">
      <x:c r="B917" s="60"/>
    </x:row>
    <x:row r="918">
      <x:c r="B918" s="60"/>
    </x:row>
    <x:row r="919">
      <x:c r="B919" s="60"/>
    </x:row>
    <x:row r="920">
      <x:c r="B920" s="60"/>
    </x:row>
    <x:row r="921">
      <x:c r="B921" s="60"/>
    </x:row>
    <x:row r="922">
      <x:c r="B922" s="60"/>
    </x:row>
    <x:row r="923">
      <x:c r="B923" s="60"/>
    </x:row>
    <x:row r="924">
      <x:c r="B924" s="60"/>
    </x:row>
    <x:row r="925">
      <x:c r="B925" s="60"/>
    </x:row>
    <x:row r="926">
      <x:c r="B926" s="60"/>
    </x:row>
    <x:row r="927">
      <x:c r="B927" s="60"/>
    </x:row>
    <x:row r="928">
      <x:c r="B928" s="60"/>
    </x:row>
    <x:row r="929">
      <x:c r="B929" s="60"/>
    </x:row>
    <x:row r="930">
      <x:c r="B930" s="60"/>
    </x:row>
    <x:row r="931">
      <x:c r="B931" s="60"/>
    </x:row>
    <x:row r="932">
      <x:c r="B932" s="60"/>
    </x:row>
    <x:row r="933">
      <x:c r="B933" s="60"/>
    </x:row>
    <x:row r="934">
      <x:c r="B934" s="60"/>
    </x:row>
    <x:row r="935">
      <x:c r="B935" s="60"/>
    </x:row>
    <x:row r="936">
      <x:c r="B936" s="60"/>
    </x:row>
    <x:row r="937">
      <x:c r="B937" s="60"/>
    </x:row>
    <x:row r="938">
      <x:c r="B938" s="60"/>
    </x:row>
    <x:row r="939">
      <x:c r="B939" s="60"/>
    </x:row>
    <x:row r="940">
      <x:c r="B940" s="60"/>
    </x:row>
    <x:row r="941">
      <x:c r="B941" s="60"/>
    </x:row>
    <x:row r="942">
      <x:c r="B942" s="60"/>
    </x:row>
    <x:row r="943">
      <x:c r="B943" s="60"/>
    </x:row>
    <x:row r="944">
      <x:c r="B944" s="60"/>
    </x:row>
    <x:row r="945">
      <x:c r="B945" s="60"/>
    </x:row>
    <x:row r="946">
      <x:c r="B946" s="60"/>
    </x:row>
    <x:row r="947">
      <x:c r="B947" s="60"/>
    </x:row>
    <x:row r="948">
      <x:c r="B948" s="60"/>
    </x:row>
    <x:row r="949">
      <x:c r="B949" s="60"/>
    </x:row>
    <x:row r="950">
      <x:c r="B950" s="60"/>
    </x:row>
    <x:row r="951">
      <x:c r="B951" s="60"/>
    </x:row>
    <x:row r="952">
      <x:c r="B952" s="60"/>
    </x:row>
    <x:row r="953">
      <x:c r="B953" s="60"/>
    </x:row>
    <x:row r="954">
      <x:c r="B954" s="60"/>
    </x:row>
    <x:row r="955">
      <x:c r="B955" s="60"/>
    </x:row>
    <x:row r="956">
      <x:c r="B956" s="60"/>
    </x:row>
    <x:row r="957">
      <x:c r="B957" s="60"/>
    </x:row>
    <x:row r="958">
      <x:c r="B958" s="60"/>
    </x:row>
    <x:row r="959">
      <x:c r="B959" s="60"/>
    </x:row>
    <x:row r="960">
      <x:c r="B960" s="60"/>
    </x:row>
    <x:row r="961">
      <x:c r="B961" s="60"/>
    </x:row>
    <x:row r="962">
      <x:c r="B962" s="60"/>
    </x:row>
    <x:row r="963">
      <x:c r="B963" s="60"/>
    </x:row>
    <x:row r="964">
      <x:c r="B964" s="60"/>
    </x:row>
    <x:row r="965">
      <x:c r="B965" s="60"/>
    </x:row>
    <x:row r="966">
      <x:c r="B966" s="60"/>
    </x:row>
    <x:row r="967">
      <x:c r="B967" s="60"/>
    </x:row>
    <x:row r="968">
      <x:c r="B968" s="60"/>
    </x:row>
    <x:row r="969">
      <x:c r="B969" s="60"/>
    </x:row>
    <x:row r="970">
      <x:c r="B970" s="60"/>
    </x:row>
    <x:row r="971">
      <x:c r="B971" s="60"/>
    </x:row>
    <x:row r="972">
      <x:c r="B972" s="60"/>
    </x:row>
    <x:row r="973">
      <x:c r="B973" s="60"/>
    </x:row>
    <x:row r="974">
      <x:c r="B974" s="60"/>
    </x:row>
    <x:row r="975">
      <x:c r="B975" s="60"/>
    </x:row>
    <x:row r="976">
      <x:c r="B976" s="60"/>
    </x:row>
    <x:row r="977">
      <x:c r="B977" s="60"/>
    </x:row>
    <x:row r="978">
      <x:c r="B978" s="60"/>
    </x:row>
    <x:row r="979">
      <x:c r="B979" s="60"/>
    </x:row>
    <x:row r="980">
      <x:c r="B980" s="60"/>
    </x:row>
    <x:row r="981">
      <x:c r="B981" s="60"/>
    </x:row>
    <x:row r="982">
      <x:c r="B982" s="60"/>
    </x:row>
    <x:row r="983">
      <x:c r="B983" s="60"/>
    </x:row>
    <x:row r="984">
      <x:c r="B984" s="60"/>
    </x:row>
    <x:row r="985">
      <x:c r="B985" s="60"/>
    </x:row>
    <x:row r="986">
      <x:c r="B986" s="60"/>
    </x:row>
    <x:row r="987">
      <x:c r="B987" s="60"/>
    </x:row>
    <x:row r="988">
      <x:c r="B988" s="60"/>
    </x:row>
    <x:row r="989">
      <x:c r="B989" s="60"/>
    </x:row>
    <x:row r="990">
      <x:c r="B990" s="60"/>
    </x:row>
    <x:row r="991">
      <x:c r="B991" s="60"/>
    </x:row>
    <x:row r="992">
      <x:c r="B992" s="60"/>
    </x:row>
    <x:row r="993">
      <x:c r="B993" s="60"/>
    </x:row>
    <x:row r="994">
      <x:c r="B994" s="60"/>
    </x:row>
    <x:row r="995">
      <x:c r="B995" s="60"/>
    </x:row>
    <x:row r="996">
      <x:c r="B996" s="60"/>
    </x:row>
    <x:row r="997">
      <x:c r="B997" s="60"/>
    </x:row>
    <x:row r="998">
      <x:c r="B998" s="60"/>
    </x:row>
    <x:row r="999">
      <x:c r="B999" s="60"/>
    </x:row>
    <x:row r="1000">
      <x:c r="B1000" s="60"/>
    </x:row>
    <x:row r="1001">
      <x:c r="B1001" s="60"/>
    </x:row>
    <x:row r="1002">
      <x:c r="B1002" s="60"/>
    </x:row>
    <x:row r="1003">
      <x:c r="B1003" s="60"/>
    </x:row>
    <x:row r="1004">
      <x:c r="B1004" s="60"/>
    </x:row>
  </x:sheetData>
  <x:mergeCells>
    <x:mergeCell ref="A1:M2"/>
  </x:mergeCells>
  <x:dataValidations count="2">
    <x:dataValidation type="list" sqref="C5:C1004">
      <x:formula1>"Insert,Update,Review Apply,Skip,Reject"</x:formula1>
    </x:dataValidation>
    <x:dataValidation type="list" sqref="K5:K1004">
      <x:formula1>"Success,Failed,Skipped"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cfd42adaa48a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34" hidden="0" customWidth="1"/>
  </x:cols>
  <x:sheetData>
    <x:row r="1">
      <x:c r="A1" s="130" t="str">
        <x:v>Agency Connector Coverage Roadmap</x:v>
      </x:c>
      <x:c r="B1" s="130"/>
      <x:c r="C1" s="130"/>
      <x:c r="D1" s="130"/>
      <x:c r="E1" s="130"/>
      <x:c r="F1" s="130"/>
      <x:c r="G1" s="130"/>
      <x:c r="H1" s="130"/>
    </x:row>
    <x:row r="2">
      <x:c r="A2" s="130"/>
      <x:c r="B2" s="130"/>
      <x:c r="C2" s="130"/>
      <x:c r="D2" s="130"/>
      <x:c r="E2" s="130"/>
      <x:c r="F2" s="130"/>
      <x:c r="G2" s="130"/>
      <x:c r="H2" s="130"/>
    </x:row>
    <x:row r="4">
      <x:c r="A4" s="137" t="str">
        <x:v>Category</x:v>
      </x:c>
      <x:c r="B4" s="137" t="str">
        <x:v>Agency</x:v>
      </x:c>
      <x:c r="C4" s="137" t="str">
        <x:v>Connector Type</x:v>
      </x:c>
      <x:c r="D4" s="137" t="str">
        <x:v>Version Added</x:v>
      </x:c>
      <x:c r="E4" s="137" t="str">
        <x:v>Live Ready</x:v>
      </x:c>
      <x:c r="F4" s="137" t="str">
        <x:v>PDF Support</x:v>
      </x:c>
      <x:c r="G4" s="137" t="str">
        <x:v>Change Detection</x:v>
      </x:c>
      <x:c r="H4" s="137" t="str">
        <x:v>Status / Notes</x:v>
      </x:c>
    </x:row>
    <x:row r="5">
      <x:c r="A5" t="str">
        <x:v>Central</x:v>
      </x:c>
      <x:c r="B5" t="str">
        <x:v>SECI</x:v>
      </x:c>
      <x:c r="C5" t="str">
        <x:v>Dedicated HTML</x:v>
      </x:c>
      <x:c r="D5" t="str">
        <x:v>V3</x:v>
      </x:c>
      <x:c r="E5" t="str">
        <x:v>Yes</x:v>
      </x:c>
      <x:c r="F5" t="str">
        <x:v>Yes</x:v>
      </x:c>
      <x:c r="G5" t="str">
        <x:v>Yes</x:v>
      </x:c>
      <x:c r="H5" t="str">
        <x:v>Ready for layout testing</x:v>
      </x:c>
    </x:row>
    <x:row r="6">
      <x:c r="A6" t="str">
        <x:v>Central</x:v>
      </x:c>
      <x:c r="B6" t="str">
        <x:v>NTPC REL</x:v>
      </x:c>
      <x:c r="C6" t="str">
        <x:v>Dedicated HTML</x:v>
      </x:c>
      <x:c r="D6" t="str">
        <x:v>V3</x:v>
      </x:c>
      <x:c r="E6" t="str">
        <x:v>Yes</x:v>
      </x:c>
      <x:c r="F6" t="str">
        <x:v>Yes</x:v>
      </x:c>
      <x:c r="G6" t="str">
        <x:v>Yes</x:v>
      </x:c>
      <x:c r="H6" t="str">
        <x:v>Ready for layout testing</x:v>
      </x:c>
    </x:row>
    <x:row r="7">
      <x:c r="A7" t="str">
        <x:v>Central</x:v>
      </x:c>
      <x:c r="B7" t="str">
        <x:v>NHPC</x:v>
      </x:c>
      <x:c r="C7" t="str">
        <x:v>Dedicated HTML/PDF</x:v>
      </x:c>
      <x:c r="D7" t="str">
        <x:v>V4</x:v>
      </x:c>
      <x:c r="E7" t="str">
        <x:v>Partial</x:v>
      </x:c>
      <x:c r="F7" t="str">
        <x:v>Yes</x:v>
      </x:c>
      <x:c r="G7" t="str">
        <x:v>Yes</x:v>
      </x:c>
      <x:c r="H7" t="str">
        <x:v>Needs page-selector tuning</x:v>
      </x:c>
    </x:row>
    <x:row r="8">
      <x:c r="A8" t="str">
        <x:v>Central</x:v>
      </x:c>
      <x:c r="B8" t="str">
        <x:v>SJVN</x:v>
      </x:c>
      <x:c r="C8" t="str">
        <x:v>Dedicated HTML/PDF</x:v>
      </x:c>
      <x:c r="D8" t="str">
        <x:v>V4</x:v>
      </x:c>
      <x:c r="E8" t="str">
        <x:v>Partial</x:v>
      </x:c>
      <x:c r="F8" t="str">
        <x:v>Yes</x:v>
      </x:c>
      <x:c r="G8" t="str">
        <x:v>Yes</x:v>
      </x:c>
      <x:c r="H8" t="str">
        <x:v>Needs page-selector tuning</x:v>
      </x:c>
    </x:row>
    <x:row r="9">
      <x:c r="A9" t="str">
        <x:v>Rajasthan</x:v>
      </x:c>
      <x:c r="B9" t="str">
        <x:v>RUVNL</x:v>
      </x:c>
      <x:c r="C9" t="str">
        <x:v>Generic + configurable selectors</x:v>
      </x:c>
      <x:c r="D9" t="str">
        <x:v>V5</x:v>
      </x:c>
      <x:c r="E9" t="str">
        <x:v>Partial</x:v>
      </x:c>
      <x:c r="F9" t="str">
        <x:v>Yes</x:v>
      </x:c>
      <x:c r="G9" t="str">
        <x:v>Yes</x:v>
      </x:c>
      <x:c r="H9" t="str">
        <x:v>State connector module added</x:v>
      </x:c>
    </x:row>
    <x:row r="10">
      <x:c r="A10" t="str">
        <x:v>Karnataka</x:v>
      </x:c>
      <x:c r="B10" t="str">
        <x:v>KREDL</x:v>
      </x:c>
      <x:c r="C10" t="str">
        <x:v>Generic + configurable selectors</x:v>
      </x:c>
      <x:c r="D10" t="str">
        <x:v>V5</x:v>
      </x:c>
      <x:c r="E10" t="str">
        <x:v>Partial</x:v>
      </x:c>
      <x:c r="F10" t="str">
        <x:v>Yes</x:v>
      </x:c>
      <x:c r="G10" t="str">
        <x:v>Yes</x:v>
      </x:c>
      <x:c r="H10" t="str">
        <x:v>State connector module added</x:v>
      </x:c>
    </x:row>
    <x:row r="11">
      <x:c r="A11" t="str">
        <x:v>Madhya Pradesh</x:v>
      </x:c>
      <x:c r="B11" t="str">
        <x:v>MPUVNL</x:v>
      </x:c>
      <x:c r="C11" t="str">
        <x:v>Generic + configurable selectors</x:v>
      </x:c>
      <x:c r="D11" t="str">
        <x:v>V5</x:v>
      </x:c>
      <x:c r="E11" t="str">
        <x:v>Partial</x:v>
      </x:c>
      <x:c r="F11" t="str">
        <x:v>Yes</x:v>
      </x:c>
      <x:c r="G11" t="str">
        <x:v>Yes</x:v>
      </x:c>
      <x:c r="H11" t="str">
        <x:v>State connector module added</x:v>
      </x:c>
    </x:row>
    <x:row r="12">
      <x:c r="A12" t="str">
        <x:v>Maharashtra</x:v>
      </x:c>
      <x:c r="B12" t="str">
        <x:v>MSEDCL</x:v>
      </x:c>
      <x:c r="C12" t="str">
        <x:v>Planned</x:v>
      </x:c>
      <x:c r="D12" t="str">
        <x:v>V6</x:v>
      </x:c>
      <x:c r="E12" t="str">
        <x:v>No</x:v>
      </x:c>
      <x:c r="F12" t="str">
        <x:v>Planned</x:v>
      </x:c>
      <x:c r="G12" t="str">
        <x:v>Planned</x:v>
      </x:c>
      <x:c r="H12" t="str"/>
    </x:row>
    <x:row r="13">
      <x:c r="A13" t="str">
        <x:v>Gujarat</x:v>
      </x:c>
      <x:c r="B13" t="str">
        <x:v>GUVNL</x:v>
      </x:c>
      <x:c r="C13" t="str">
        <x:v>Planned</x:v>
      </x:c>
      <x:c r="D13" t="str">
        <x:v>V6</x:v>
      </x:c>
      <x:c r="E13" t="str">
        <x:v>No</x:v>
      </x:c>
      <x:c r="F13" t="str">
        <x:v>Planned</x:v>
      </x:c>
      <x:c r="G13" t="str">
        <x:v>Planned</x:v>
      </x:c>
      <x:c r="H13" t="str"/>
    </x:row>
    <x:row r="14">
      <x:c r="A14" t="str">
        <x:v>Odisha</x:v>
      </x:c>
      <x:c r="B14" t="str">
        <x:v>GRIDCO</x:v>
      </x:c>
      <x:c r="C14" t="str">
        <x:v>Planned</x:v>
      </x:c>
      <x:c r="D14" t="str">
        <x:v>V6</x:v>
      </x:c>
      <x:c r="E14" t="str">
        <x:v>No</x:v>
      </x:c>
      <x:c r="F14" t="str">
        <x:v>Planned</x:v>
      </x:c>
      <x:c r="G14" t="str">
        <x:v>Planned</x:v>
      </x:c>
      <x:c r="H14" t="str"/>
    </x:row>
    <x:row r="15">
      <x:c r="A15" t="str">
        <x:v>Punjab</x:v>
      </x:c>
      <x:c r="B15" t="str">
        <x:v>PSPCL</x:v>
      </x:c>
      <x:c r="C15" t="str">
        <x:v>Planned</x:v>
      </x:c>
      <x:c r="D15" t="str">
        <x:v>V6</x:v>
      </x:c>
      <x:c r="E15" t="str">
        <x:v>No</x:v>
      </x:c>
      <x:c r="F15" t="str">
        <x:v>Planned</x:v>
      </x:c>
      <x:c r="G15" t="str">
        <x:v>Planned</x:v>
      </x:c>
      <x:c r="H15" t="str"/>
    </x:row>
    <x:row r="16">
      <x:c r="A16" t="str">
        <x:v>Uttar Pradesh</x:v>
      </x:c>
      <x:c r="B16" t="str">
        <x:v>UPNEDA</x:v>
      </x:c>
      <x:c r="C16" t="str">
        <x:v>Planned</x:v>
      </x:c>
      <x:c r="D16" t="str">
        <x:v>V6</x:v>
      </x:c>
      <x:c r="E16" t="str">
        <x:v>No</x:v>
      </x:c>
      <x:c r="F16" t="str">
        <x:v>Planned</x:v>
      </x:c>
      <x:c r="G16" t="str">
        <x:v>Planned</x:v>
      </x:c>
      <x:c r="H16" t="str"/>
    </x:row>
    <x:row r="17">
      <x:c r="A17" t="str">
        <x:v>Maharashtra</x:v>
      </x:c>
      <x:c r="B17" t="str">
        <x:v>MSEDCL</x:v>
      </x:c>
      <x:c r="C17" t="str">
        <x:v>Configurable HTML/PDF</x:v>
      </x:c>
      <x:c r="D17" t="str">
        <x:v>V6</x:v>
      </x:c>
      <x:c r="E17" t="str">
        <x:v>Partial</x:v>
      </x:c>
      <x:c r="F17" t="str">
        <x:v>Yes</x:v>
      </x:c>
      <x:c r="G17" t="str">
        <x:v>Yes</x:v>
      </x:c>
      <x:c r="H17" t="str">
        <x:v>Connector module added</x:v>
      </x:c>
    </x:row>
    <x:row r="18">
      <x:c r="A18" t="str">
        <x:v>Gujarat</x:v>
      </x:c>
      <x:c r="B18" t="str">
        <x:v>GUVNL</x:v>
      </x:c>
      <x:c r="C18" t="str">
        <x:v>Configurable HTML/PDF</x:v>
      </x:c>
      <x:c r="D18" t="str">
        <x:v>V6</x:v>
      </x:c>
      <x:c r="E18" t="str">
        <x:v>Partial</x:v>
      </x:c>
      <x:c r="F18" t="str">
        <x:v>Yes</x:v>
      </x:c>
      <x:c r="G18" t="str">
        <x:v>Yes</x:v>
      </x:c>
      <x:c r="H18" t="str">
        <x:v>Connector module added</x:v>
      </x:c>
    </x:row>
    <x:row r="19">
      <x:c r="A19" t="str">
        <x:v>Odisha</x:v>
      </x:c>
      <x:c r="B19" t="str">
        <x:v>GRIDCO</x:v>
      </x:c>
      <x:c r="C19" t="str">
        <x:v>Configurable HTML/PDF</x:v>
      </x:c>
      <x:c r="D19" t="str">
        <x:v>V6</x:v>
      </x:c>
      <x:c r="E19" t="str">
        <x:v>Partial</x:v>
      </x:c>
      <x:c r="F19" t="str">
        <x:v>Yes</x:v>
      </x:c>
      <x:c r="G19" t="str">
        <x:v>Yes</x:v>
      </x:c>
      <x:c r="H19" t="str">
        <x:v>Connector module added</x:v>
      </x:c>
    </x:row>
    <x:row r="20">
      <x:c r="A20" t="str">
        <x:v>Punjab</x:v>
      </x:c>
      <x:c r="B20" t="str">
        <x:v>PSPCL</x:v>
      </x:c>
      <x:c r="C20" t="str">
        <x:v>Configurable HTML/PDF</x:v>
      </x:c>
      <x:c r="D20" t="str">
        <x:v>V6</x:v>
      </x:c>
      <x:c r="E20" t="str">
        <x:v>Partial</x:v>
      </x:c>
      <x:c r="F20" t="str">
        <x:v>Yes</x:v>
      </x:c>
      <x:c r="G20" t="str">
        <x:v>Yes</x:v>
      </x:c>
      <x:c r="H20" t="str">
        <x:v>Connector module added</x:v>
      </x:c>
    </x:row>
  </x:sheetData>
  <x:mergeCells>
    <x:mergeCell ref="A1:H2"/>
  </x:mergeCells>
  <x:dataValidations count="1">
    <x:dataValidation type="list" sqref="E5:E16">
      <x:formula1>"Yes,Partial,No"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29fecdf85f411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36" hidden="0" customWidth="1"/>
  </x:cols>
  <x:sheetData>
    <x:row r="1">
      <x:c r="A1" s="144" t="str">
        <x:v>Execution, Backup &amp; Workbook Write-Back Control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</x:row>
    <x:row r="3">
      <x:c r="A3" s="146" t="str">
        <x:v>Version 6 supports direct modification of the workbook by the packaged Python engine, with pre-write backup and detailed run reporting.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</x:row>
    <x:row r="5">
      <x:c r="A5" s="151" t="str">
        <x:v>Execution Setting</x:v>
      </x:c>
      <x:c r="B5" s="151" t="str">
        <x:v>Value</x:v>
      </x:c>
      <x:c r="C5" s="151" t="str">
        <x:v>Purpose</x:v>
      </x:c>
      <x:c r="D5" s="151" t="str">
        <x:v>Recommended</x:v>
      </x:c>
    </x:row>
    <x:row r="6">
      <x:c r="A6" t="str">
        <x:v>Workbook file</x:v>
      </x:c>
      <x:c r="B6" t="str">
        <x:v>Renewable_Tender_Tracker_V6.xlsx</x:v>
      </x:c>
      <x:c r="C6" t="str">
        <x:v>Target workbook</x:v>
      </x:c>
      <x:c r="D6" t="str">
        <x:v>Yes</x:v>
      </x:c>
    </x:row>
    <x:row r="7">
      <x:c r="A7" t="str">
        <x:v>Backup folder</x:v>
      </x:c>
      <x:c r="B7" t="str">
        <x:v>backups</x:v>
      </x:c>
      <x:c r="C7" t="str">
        <x:v>Pre-write copies</x:v>
      </x:c>
      <x:c r="D7" t="str">
        <x:v>Yes</x:v>
      </x:c>
    </x:row>
    <x:row r="8">
      <x:c r="A8" t="str">
        <x:v>Import folder</x:v>
      </x:c>
      <x:c r="B8" t="str">
        <x:v>imports</x:v>
      </x:c>
      <x:c r="C8" t="str">
        <x:v>Connector/import files</x:v>
      </x:c>
      <x:c r="D8" t="str">
        <x:v>Yes</x:v>
      </x:c>
    </x:row>
    <x:row r="9">
      <x:c r="A9" t="str">
        <x:v>Output folder</x:v>
      </x:c>
      <x:c r="B9" t="str">
        <x:v>output</x:v>
      </x:c>
      <x:c r="C9" t="str">
        <x:v>Logs and reports</x:v>
      </x:c>
      <x:c r="D9" t="str">
        <x:v>Yes</x:v>
      </x:c>
    </x:row>
    <x:row r="10">
      <x:c r="A10" t="str">
        <x:v>Write mode</x:v>
      </x:c>
      <x:c r="B10" t="str">
        <x:v>Approved + validated</x:v>
      </x:c>
      <x:c r="C10" t="str">
        <x:v>Controls data written</x:v>
      </x:c>
      <x:c r="D10" t="str">
        <x:v>Yes</x:v>
      </x:c>
    </x:row>
    <x:row r="11">
      <x:c r="A11" t="str">
        <x:v>Dry run</x:v>
      </x:c>
      <x:c r="B11" t="str">
        <x:v>Yes</x:v>
      </x:c>
      <x:c r="C11" t="str">
        <x:v>Test without changing workbook</x:v>
      </x:c>
      <x:c r="D11" t="str">
        <x:v>Yes initially</x:v>
      </x:c>
    </x:row>
    <x:row r="12">
      <x:c r="A12" t="str">
        <x:v>Create backup</x:v>
      </x:c>
      <x:c r="B12" t="str">
        <x:v>Yes</x:v>
      </x:c>
      <x:c r="C12" t="str">
        <x:v>Required before live writes</x:v>
      </x:c>
      <x:c r="D12" t="str">
        <x:v>Yes</x:v>
      </x:c>
    </x:row>
    <x:row r="13">
      <x:c r="A13" t="str">
        <x:v>Apply approved reviews</x:v>
      </x:c>
      <x:c r="B13" t="str">
        <x:v>Yes</x:v>
      </x:c>
      <x:c r="C13" t="str">
        <x:v>Updates approved review queue</x:v>
      </x:c>
      <x:c r="D13" t="str">
        <x:v>Yes</x:v>
      </x:c>
    </x:row>
    <x:row r="14">
      <x:c r="A14" t="str">
        <x:v>Recalculate derived fields</x:v>
      </x:c>
      <x:c r="B14" t="str">
        <x:v>Yes</x:v>
      </x:c>
      <x:c r="C14" t="str">
        <x:v>Refresh formula-driven fields</x:v>
      </x:c>
      <x:c r="D14" t="str">
        <x:v>Yes</x:v>
      </x:c>
    </x:row>
    <x:row r="15">
      <x:c r="A15" t="str">
        <x:v>Archive input files</x:v>
      </x:c>
      <x:c r="B15" t="str">
        <x:v>Yes</x:v>
      </x:c>
      <x:c r="C15" t="str">
        <x:v>Moves processed files</x:v>
      </x:c>
      <x:c r="D15" t="str">
        <x:v>Yes</x:v>
      </x:c>
    </x:row>
    <x:row r="18">
      <x:c r="A18" s="151" t="str">
        <x:v>Execution ID</x:v>
      </x:c>
      <x:c r="B18" s="151" t="str">
        <x:v>Started</x:v>
      </x:c>
      <x:c r="C18" s="151" t="str">
        <x:v>Finished</x:v>
      </x:c>
      <x:c r="D18" s="151" t="str">
        <x:v>Mode</x:v>
      </x:c>
      <x:c r="E18" s="151" t="str">
        <x:v>Input Files</x:v>
      </x:c>
      <x:c r="F18" s="151" t="str">
        <x:v>Rows Read</x:v>
      </x:c>
      <x:c r="G18" s="151" t="str">
        <x:v>Inserted</x:v>
      </x:c>
      <x:c r="H18" s="151" t="str">
        <x:v>Updated</x:v>
      </x:c>
      <x:c r="I18" s="151" t="str">
        <x:v>Skipped</x:v>
      </x:c>
      <x:c r="J18" s="151" t="str">
        <x:v>Reviews Applied</x:v>
      </x:c>
      <x:c r="K18" s="151" t="str">
        <x:v>Errors</x:v>
      </x:c>
      <x:c r="L18" s="151" t="str">
        <x:v>Backup File</x:v>
      </x:c>
    </x:row>
    <x:row r="19">
      <x:c r="B19" s="60"/>
      <x:c r="C19" s="60"/>
    </x:row>
    <x:row r="20">
      <x:c r="B20" s="60"/>
      <x:c r="C20" s="60"/>
    </x:row>
    <x:row r="21">
      <x:c r="B21" s="60"/>
      <x:c r="C21" s="60"/>
    </x:row>
    <x:row r="22">
      <x:c r="B22" s="60"/>
      <x:c r="C22" s="60"/>
    </x:row>
    <x:row r="23">
      <x:c r="B23" s="60"/>
      <x:c r="C23" s="60"/>
    </x:row>
    <x:row r="24">
      <x:c r="B24" s="60"/>
      <x:c r="C24" s="60"/>
    </x:row>
    <x:row r="25">
      <x:c r="B25" s="60"/>
      <x:c r="C25" s="60"/>
    </x:row>
    <x:row r="26">
      <x:c r="B26" s="60"/>
      <x:c r="C26" s="60"/>
    </x:row>
    <x:row r="27">
      <x:c r="B27" s="60"/>
      <x:c r="C27" s="60"/>
    </x:row>
    <x:row r="28">
      <x:c r="B28" s="60"/>
      <x:c r="C28" s="60"/>
    </x:row>
    <x:row r="29">
      <x:c r="B29" s="60"/>
      <x:c r="C29" s="60"/>
    </x:row>
    <x:row r="30">
      <x:c r="B30" s="60"/>
      <x:c r="C30" s="60"/>
    </x:row>
    <x:row r="31">
      <x:c r="B31" s="60"/>
      <x:c r="C31" s="60"/>
    </x:row>
    <x:row r="32">
      <x:c r="B32" s="60"/>
      <x:c r="C32" s="60"/>
    </x:row>
    <x:row r="33">
      <x:c r="B33" s="60"/>
      <x:c r="C33" s="60"/>
    </x:row>
    <x:row r="34">
      <x:c r="B34" s="60"/>
      <x:c r="C34" s="60"/>
    </x:row>
    <x:row r="35">
      <x:c r="B35" s="60"/>
      <x:c r="C35" s="60"/>
    </x:row>
    <x:row r="36">
      <x:c r="B36" s="60"/>
      <x:c r="C36" s="60"/>
    </x:row>
    <x:row r="37">
      <x:c r="B37" s="60"/>
      <x:c r="C37" s="60"/>
    </x:row>
    <x:row r="38">
      <x:c r="B38" s="60"/>
      <x:c r="C38" s="60"/>
    </x:row>
    <x:row r="39">
      <x:c r="B39" s="60"/>
      <x:c r="C39" s="60"/>
    </x:row>
    <x:row r="40">
      <x:c r="B40" s="60"/>
      <x:c r="C40" s="60"/>
    </x:row>
    <x:row r="41">
      <x:c r="B41" s="60"/>
      <x:c r="C41" s="60"/>
    </x:row>
    <x:row r="42">
      <x:c r="B42" s="60"/>
      <x:c r="C42" s="60"/>
    </x:row>
    <x:row r="43">
      <x:c r="B43" s="60"/>
      <x:c r="C43" s="60"/>
    </x:row>
    <x:row r="44">
      <x:c r="B44" s="60"/>
      <x:c r="C44" s="60"/>
    </x:row>
    <x:row r="45">
      <x:c r="B45" s="60"/>
      <x:c r="C45" s="60"/>
    </x:row>
    <x:row r="46">
      <x:c r="B46" s="60"/>
      <x:c r="C46" s="60"/>
    </x:row>
    <x:row r="47">
      <x:c r="B47" s="60"/>
      <x:c r="C47" s="60"/>
    </x:row>
    <x:row r="48">
      <x:c r="B48" s="60"/>
      <x:c r="C48" s="60"/>
    </x:row>
    <x:row r="49">
      <x:c r="B49" s="60"/>
      <x:c r="C49" s="60"/>
    </x:row>
    <x:row r="50">
      <x:c r="B50" s="60"/>
      <x:c r="C50" s="60"/>
    </x:row>
    <x:row r="51">
      <x:c r="B51" s="60"/>
      <x:c r="C51" s="60"/>
    </x:row>
    <x:row r="52">
      <x:c r="B52" s="60"/>
      <x:c r="C52" s="60"/>
    </x:row>
    <x:row r="53">
      <x:c r="B53" s="60"/>
      <x:c r="C53" s="60"/>
    </x:row>
    <x:row r="54">
      <x:c r="B54" s="60"/>
      <x:c r="C54" s="60"/>
    </x:row>
    <x:row r="55">
      <x:c r="B55" s="60"/>
      <x:c r="C55" s="60"/>
    </x:row>
    <x:row r="56">
      <x:c r="B56" s="60"/>
      <x:c r="C56" s="60"/>
    </x:row>
    <x:row r="57">
      <x:c r="B57" s="60"/>
      <x:c r="C57" s="60"/>
    </x:row>
    <x:row r="58">
      <x:c r="B58" s="60"/>
      <x:c r="C58" s="60"/>
    </x:row>
    <x:row r="59">
      <x:c r="B59" s="60"/>
      <x:c r="C59" s="60"/>
    </x:row>
    <x:row r="60">
      <x:c r="B60" s="60"/>
      <x:c r="C60" s="60"/>
    </x:row>
    <x:row r="61">
      <x:c r="B61" s="60"/>
      <x:c r="C61" s="60"/>
    </x:row>
    <x:row r="62">
      <x:c r="B62" s="60"/>
      <x:c r="C62" s="60"/>
    </x:row>
    <x:row r="63">
      <x:c r="B63" s="60"/>
      <x:c r="C63" s="60"/>
    </x:row>
    <x:row r="64">
      <x:c r="B64" s="60"/>
      <x:c r="C64" s="60"/>
    </x:row>
    <x:row r="65">
      <x:c r="B65" s="60"/>
      <x:c r="C65" s="60"/>
    </x:row>
    <x:row r="66">
      <x:c r="B66" s="60"/>
      <x:c r="C66" s="60"/>
    </x:row>
    <x:row r="67">
      <x:c r="B67" s="60"/>
      <x:c r="C67" s="60"/>
    </x:row>
    <x:row r="68">
      <x:c r="B68" s="60"/>
      <x:c r="C68" s="60"/>
    </x:row>
    <x:row r="69">
      <x:c r="B69" s="60"/>
      <x:c r="C69" s="60"/>
    </x:row>
    <x:row r="70">
      <x:c r="B70" s="60"/>
      <x:c r="C70" s="60"/>
    </x:row>
    <x:row r="71">
      <x:c r="B71" s="60"/>
      <x:c r="C71" s="60"/>
    </x:row>
    <x:row r="72">
      <x:c r="B72" s="60"/>
      <x:c r="C72" s="60"/>
    </x:row>
    <x:row r="73">
      <x:c r="B73" s="60"/>
      <x:c r="C73" s="60"/>
    </x:row>
    <x:row r="74">
      <x:c r="B74" s="60"/>
      <x:c r="C74" s="60"/>
    </x:row>
    <x:row r="75">
      <x:c r="B75" s="60"/>
      <x:c r="C75" s="60"/>
    </x:row>
    <x:row r="76">
      <x:c r="B76" s="60"/>
      <x:c r="C76" s="60"/>
    </x:row>
    <x:row r="77">
      <x:c r="B77" s="60"/>
      <x:c r="C77" s="60"/>
    </x:row>
    <x:row r="78">
      <x:c r="B78" s="60"/>
      <x:c r="C78" s="60"/>
    </x:row>
    <x:row r="79">
      <x:c r="B79" s="60"/>
      <x:c r="C79" s="60"/>
    </x:row>
    <x:row r="80">
      <x:c r="B80" s="60"/>
      <x:c r="C80" s="60"/>
    </x:row>
    <x:row r="81">
      <x:c r="B81" s="60"/>
      <x:c r="C81" s="60"/>
    </x:row>
    <x:row r="82">
      <x:c r="B82" s="60"/>
      <x:c r="C82" s="60"/>
    </x:row>
    <x:row r="83">
      <x:c r="B83" s="60"/>
      <x:c r="C83" s="60"/>
    </x:row>
    <x:row r="84">
      <x:c r="B84" s="60"/>
      <x:c r="C84" s="60"/>
    </x:row>
    <x:row r="85">
      <x:c r="B85" s="60"/>
      <x:c r="C85" s="60"/>
    </x:row>
    <x:row r="86">
      <x:c r="B86" s="60"/>
      <x:c r="C86" s="60"/>
    </x:row>
    <x:row r="87">
      <x:c r="B87" s="60"/>
      <x:c r="C87" s="60"/>
    </x:row>
    <x:row r="88">
      <x:c r="B88" s="60"/>
      <x:c r="C88" s="60"/>
    </x:row>
    <x:row r="89">
      <x:c r="B89" s="60"/>
      <x:c r="C89" s="60"/>
    </x:row>
    <x:row r="90">
      <x:c r="B90" s="60"/>
      <x:c r="C90" s="60"/>
    </x:row>
    <x:row r="91">
      <x:c r="B91" s="60"/>
      <x:c r="C91" s="60"/>
    </x:row>
    <x:row r="92">
      <x:c r="B92" s="60"/>
      <x:c r="C92" s="60"/>
    </x:row>
    <x:row r="93">
      <x:c r="B93" s="60"/>
      <x:c r="C93" s="60"/>
    </x:row>
    <x:row r="94">
      <x:c r="B94" s="60"/>
      <x:c r="C94" s="60"/>
    </x:row>
    <x:row r="95">
      <x:c r="B95" s="60"/>
      <x:c r="C95" s="60"/>
    </x:row>
    <x:row r="96">
      <x:c r="B96" s="60"/>
      <x:c r="C96" s="60"/>
    </x:row>
    <x:row r="97">
      <x:c r="B97" s="60"/>
      <x:c r="C97" s="60"/>
    </x:row>
    <x:row r="98">
      <x:c r="B98" s="60"/>
      <x:c r="C98" s="60"/>
    </x:row>
    <x:row r="99">
      <x:c r="B99" s="60"/>
      <x:c r="C99" s="60"/>
    </x:row>
    <x:row r="100">
      <x:c r="B100" s="60"/>
      <x:c r="C100" s="60"/>
    </x:row>
    <x:row r="101">
      <x:c r="B101" s="60"/>
      <x:c r="C101" s="60"/>
    </x:row>
    <x:row r="102">
      <x:c r="B102" s="60"/>
      <x:c r="C102" s="60"/>
    </x:row>
    <x:row r="103">
      <x:c r="B103" s="60"/>
      <x:c r="C103" s="60"/>
    </x:row>
    <x:row r="104">
      <x:c r="B104" s="60"/>
      <x:c r="C104" s="60"/>
    </x:row>
    <x:row r="105">
      <x:c r="B105" s="60"/>
      <x:c r="C105" s="60"/>
    </x:row>
    <x:row r="106">
      <x:c r="B106" s="60"/>
      <x:c r="C106" s="60"/>
    </x:row>
    <x:row r="107">
      <x:c r="B107" s="60"/>
      <x:c r="C107" s="60"/>
    </x:row>
    <x:row r="108">
      <x:c r="B108" s="60"/>
      <x:c r="C108" s="60"/>
    </x:row>
    <x:row r="109">
      <x:c r="B109" s="60"/>
      <x:c r="C109" s="60"/>
    </x:row>
    <x:row r="110">
      <x:c r="B110" s="60"/>
      <x:c r="C110" s="60"/>
    </x:row>
    <x:row r="111">
      <x:c r="B111" s="60"/>
      <x:c r="C111" s="60"/>
    </x:row>
    <x:row r="112">
      <x:c r="B112" s="60"/>
      <x:c r="C112" s="60"/>
    </x:row>
    <x:row r="113">
      <x:c r="B113" s="60"/>
      <x:c r="C113" s="60"/>
    </x:row>
    <x:row r="114">
      <x:c r="B114" s="60"/>
      <x:c r="C114" s="60"/>
    </x:row>
    <x:row r="115">
      <x:c r="B115" s="60"/>
      <x:c r="C115" s="60"/>
    </x:row>
    <x:row r="116">
      <x:c r="B116" s="60"/>
      <x:c r="C116" s="60"/>
    </x:row>
    <x:row r="117">
      <x:c r="B117" s="60"/>
      <x:c r="C117" s="60"/>
    </x:row>
    <x:row r="118">
      <x:c r="B118" s="60"/>
      <x:c r="C118" s="60"/>
    </x:row>
    <x:row r="119">
      <x:c r="B119" s="60"/>
      <x:c r="C119" s="60"/>
    </x:row>
    <x:row r="120">
      <x:c r="B120" s="60"/>
      <x:c r="C120" s="60"/>
    </x:row>
    <x:row r="121">
      <x:c r="B121" s="60"/>
      <x:c r="C121" s="60"/>
    </x:row>
    <x:row r="122">
      <x:c r="B122" s="60"/>
      <x:c r="C122" s="60"/>
    </x:row>
    <x:row r="123">
      <x:c r="B123" s="60"/>
      <x:c r="C123" s="60"/>
    </x:row>
    <x:row r="124">
      <x:c r="B124" s="60"/>
      <x:c r="C124" s="60"/>
    </x:row>
    <x:row r="125">
      <x:c r="B125" s="60"/>
      <x:c r="C125" s="60"/>
    </x:row>
    <x:row r="126">
      <x:c r="B126" s="60"/>
      <x:c r="C126" s="60"/>
    </x:row>
    <x:row r="127">
      <x:c r="B127" s="60"/>
      <x:c r="C127" s="60"/>
    </x:row>
    <x:row r="128">
      <x:c r="B128" s="60"/>
      <x:c r="C128" s="60"/>
    </x:row>
    <x:row r="129">
      <x:c r="B129" s="60"/>
      <x:c r="C129" s="60"/>
    </x:row>
    <x:row r="130">
      <x:c r="B130" s="60"/>
      <x:c r="C130" s="60"/>
    </x:row>
    <x:row r="131">
      <x:c r="B131" s="60"/>
      <x:c r="C131" s="60"/>
    </x:row>
    <x:row r="132">
      <x:c r="B132" s="60"/>
      <x:c r="C132" s="60"/>
    </x:row>
    <x:row r="133">
      <x:c r="B133" s="60"/>
      <x:c r="C133" s="60"/>
    </x:row>
    <x:row r="134">
      <x:c r="B134" s="60"/>
      <x:c r="C134" s="60"/>
    </x:row>
    <x:row r="135">
      <x:c r="B135" s="60"/>
      <x:c r="C135" s="60"/>
    </x:row>
    <x:row r="136">
      <x:c r="B136" s="60"/>
      <x:c r="C136" s="60"/>
    </x:row>
    <x:row r="137">
      <x:c r="B137" s="60"/>
      <x:c r="C137" s="60"/>
    </x:row>
    <x:row r="138">
      <x:c r="B138" s="60"/>
      <x:c r="C138" s="60"/>
    </x:row>
    <x:row r="139">
      <x:c r="B139" s="60"/>
      <x:c r="C139" s="60"/>
    </x:row>
    <x:row r="140">
      <x:c r="B140" s="60"/>
      <x:c r="C140" s="60"/>
    </x:row>
    <x:row r="141">
      <x:c r="B141" s="60"/>
      <x:c r="C141" s="60"/>
    </x:row>
    <x:row r="142">
      <x:c r="B142" s="60"/>
      <x:c r="C142" s="60"/>
    </x:row>
    <x:row r="143">
      <x:c r="B143" s="60"/>
      <x:c r="C143" s="60"/>
    </x:row>
    <x:row r="144">
      <x:c r="B144" s="60"/>
      <x:c r="C144" s="60"/>
    </x:row>
    <x:row r="145">
      <x:c r="B145" s="60"/>
      <x:c r="C145" s="60"/>
    </x:row>
    <x:row r="146">
      <x:c r="B146" s="60"/>
      <x:c r="C146" s="60"/>
    </x:row>
    <x:row r="147">
      <x:c r="B147" s="60"/>
      <x:c r="C147" s="60"/>
    </x:row>
    <x:row r="148">
      <x:c r="B148" s="60"/>
      <x:c r="C148" s="60"/>
    </x:row>
    <x:row r="149">
      <x:c r="B149" s="60"/>
      <x:c r="C149" s="60"/>
    </x:row>
    <x:row r="150">
      <x:c r="B150" s="60"/>
      <x:c r="C150" s="60"/>
    </x:row>
    <x:row r="151">
      <x:c r="B151" s="60"/>
      <x:c r="C151" s="60"/>
    </x:row>
    <x:row r="152">
      <x:c r="B152" s="60"/>
      <x:c r="C152" s="60"/>
    </x:row>
    <x:row r="153">
      <x:c r="B153" s="60"/>
      <x:c r="C153" s="60"/>
    </x:row>
    <x:row r="154">
      <x:c r="B154" s="60"/>
      <x:c r="C154" s="60"/>
    </x:row>
    <x:row r="155">
      <x:c r="B155" s="60"/>
      <x:c r="C155" s="60"/>
    </x:row>
    <x:row r="156">
      <x:c r="B156" s="60"/>
      <x:c r="C156" s="60"/>
    </x:row>
    <x:row r="157">
      <x:c r="B157" s="60"/>
      <x:c r="C157" s="60"/>
    </x:row>
    <x:row r="158">
      <x:c r="B158" s="60"/>
      <x:c r="C158" s="60"/>
    </x:row>
    <x:row r="159">
      <x:c r="B159" s="60"/>
      <x:c r="C159" s="60"/>
    </x:row>
    <x:row r="160">
      <x:c r="B160" s="60"/>
      <x:c r="C160" s="60"/>
    </x:row>
    <x:row r="161">
      <x:c r="B161" s="60"/>
      <x:c r="C161" s="60"/>
    </x:row>
    <x:row r="162">
      <x:c r="B162" s="60"/>
      <x:c r="C162" s="60"/>
    </x:row>
    <x:row r="163">
      <x:c r="B163" s="60"/>
      <x:c r="C163" s="60"/>
    </x:row>
    <x:row r="164">
      <x:c r="B164" s="60"/>
      <x:c r="C164" s="60"/>
    </x:row>
    <x:row r="165">
      <x:c r="B165" s="60"/>
      <x:c r="C165" s="60"/>
    </x:row>
    <x:row r="166">
      <x:c r="B166" s="60"/>
      <x:c r="C166" s="60"/>
    </x:row>
    <x:row r="167">
      <x:c r="B167" s="60"/>
      <x:c r="C167" s="60"/>
    </x:row>
    <x:row r="168">
      <x:c r="B168" s="60"/>
      <x:c r="C168" s="60"/>
    </x:row>
    <x:row r="169">
      <x:c r="B169" s="60"/>
      <x:c r="C169" s="60"/>
    </x:row>
    <x:row r="170">
      <x:c r="B170" s="60"/>
      <x:c r="C170" s="60"/>
    </x:row>
    <x:row r="171">
      <x:c r="B171" s="60"/>
      <x:c r="C171" s="60"/>
    </x:row>
    <x:row r="172">
      <x:c r="B172" s="60"/>
      <x:c r="C172" s="60"/>
    </x:row>
    <x:row r="173">
      <x:c r="B173" s="60"/>
      <x:c r="C173" s="60"/>
    </x:row>
    <x:row r="174">
      <x:c r="B174" s="60"/>
      <x:c r="C174" s="60"/>
    </x:row>
    <x:row r="175">
      <x:c r="B175" s="60"/>
      <x:c r="C175" s="60"/>
    </x:row>
    <x:row r="176">
      <x:c r="B176" s="60"/>
      <x:c r="C176" s="60"/>
    </x:row>
    <x:row r="177">
      <x:c r="B177" s="60"/>
      <x:c r="C177" s="60"/>
    </x:row>
    <x:row r="178">
      <x:c r="B178" s="60"/>
      <x:c r="C178" s="60"/>
    </x:row>
    <x:row r="179">
      <x:c r="B179" s="60"/>
      <x:c r="C179" s="60"/>
    </x:row>
    <x:row r="180">
      <x:c r="B180" s="60"/>
      <x:c r="C180" s="60"/>
    </x:row>
    <x:row r="181">
      <x:c r="B181" s="60"/>
      <x:c r="C181" s="60"/>
    </x:row>
    <x:row r="182">
      <x:c r="B182" s="60"/>
      <x:c r="C182" s="60"/>
    </x:row>
    <x:row r="183">
      <x:c r="B183" s="60"/>
      <x:c r="C183" s="60"/>
    </x:row>
    <x:row r="184">
      <x:c r="B184" s="60"/>
      <x:c r="C184" s="60"/>
    </x:row>
    <x:row r="185">
      <x:c r="B185" s="60"/>
      <x:c r="C185" s="60"/>
    </x:row>
    <x:row r="186">
      <x:c r="B186" s="60"/>
      <x:c r="C186" s="60"/>
    </x:row>
    <x:row r="187">
      <x:c r="B187" s="60"/>
      <x:c r="C187" s="60"/>
    </x:row>
    <x:row r="188">
      <x:c r="B188" s="60"/>
      <x:c r="C188" s="60"/>
    </x:row>
    <x:row r="189">
      <x:c r="B189" s="60"/>
      <x:c r="C189" s="60"/>
    </x:row>
    <x:row r="190">
      <x:c r="B190" s="60"/>
      <x:c r="C190" s="60"/>
    </x:row>
    <x:row r="191">
      <x:c r="B191" s="60"/>
      <x:c r="C191" s="60"/>
    </x:row>
    <x:row r="192">
      <x:c r="B192" s="60"/>
      <x:c r="C192" s="60"/>
    </x:row>
    <x:row r="193">
      <x:c r="B193" s="60"/>
      <x:c r="C193" s="60"/>
    </x:row>
    <x:row r="194">
      <x:c r="B194" s="60"/>
      <x:c r="C194" s="60"/>
    </x:row>
    <x:row r="195">
      <x:c r="B195" s="60"/>
      <x:c r="C195" s="60"/>
    </x:row>
    <x:row r="196">
      <x:c r="B196" s="60"/>
      <x:c r="C196" s="60"/>
    </x:row>
    <x:row r="197">
      <x:c r="B197" s="60"/>
      <x:c r="C197" s="60"/>
    </x:row>
    <x:row r="198">
      <x:c r="B198" s="60"/>
      <x:c r="C198" s="60"/>
    </x:row>
    <x:row r="199">
      <x:c r="B199" s="60"/>
      <x:c r="C199" s="60"/>
    </x:row>
    <x:row r="200">
      <x:c r="B200" s="60"/>
      <x:c r="C200" s="60"/>
    </x:row>
    <x:row r="201">
      <x:c r="B201" s="60"/>
      <x:c r="C201" s="60"/>
    </x:row>
    <x:row r="202">
      <x:c r="B202" s="60"/>
      <x:c r="C202" s="60"/>
    </x:row>
    <x:row r="203">
      <x:c r="B203" s="60"/>
      <x:c r="C203" s="60"/>
    </x:row>
    <x:row r="204">
      <x:c r="B204" s="60"/>
      <x:c r="C204" s="60"/>
    </x:row>
    <x:row r="205">
      <x:c r="B205" s="60"/>
      <x:c r="C205" s="60"/>
    </x:row>
    <x:row r="206">
      <x:c r="B206" s="60"/>
      <x:c r="C206" s="60"/>
    </x:row>
    <x:row r="207">
      <x:c r="B207" s="60"/>
      <x:c r="C207" s="60"/>
    </x:row>
    <x:row r="208">
      <x:c r="B208" s="60"/>
      <x:c r="C208" s="60"/>
    </x:row>
    <x:row r="209">
      <x:c r="B209" s="60"/>
      <x:c r="C209" s="60"/>
    </x:row>
    <x:row r="210">
      <x:c r="B210" s="60"/>
      <x:c r="C210" s="60"/>
    </x:row>
    <x:row r="211">
      <x:c r="B211" s="60"/>
      <x:c r="C211" s="60"/>
    </x:row>
    <x:row r="212">
      <x:c r="B212" s="60"/>
      <x:c r="C212" s="60"/>
    </x:row>
    <x:row r="213">
      <x:c r="B213" s="60"/>
      <x:c r="C213" s="60"/>
    </x:row>
    <x:row r="214">
      <x:c r="B214" s="60"/>
      <x:c r="C214" s="60"/>
    </x:row>
    <x:row r="215">
      <x:c r="B215" s="60"/>
      <x:c r="C215" s="60"/>
    </x:row>
    <x:row r="216">
      <x:c r="B216" s="60"/>
      <x:c r="C216" s="60"/>
    </x:row>
    <x:row r="217">
      <x:c r="B217" s="60"/>
      <x:c r="C217" s="60"/>
    </x:row>
    <x:row r="218">
      <x:c r="B218" s="60"/>
      <x:c r="C218" s="60"/>
    </x:row>
    <x:row r="219">
      <x:c r="B219" s="60"/>
      <x:c r="C219" s="60"/>
    </x:row>
    <x:row r="220">
      <x:c r="B220" s="60"/>
      <x:c r="C220" s="60"/>
    </x:row>
    <x:row r="221">
      <x:c r="B221" s="60"/>
      <x:c r="C221" s="60"/>
    </x:row>
    <x:row r="222">
      <x:c r="B222" s="60"/>
      <x:c r="C222" s="60"/>
    </x:row>
    <x:row r="223">
      <x:c r="B223" s="60"/>
      <x:c r="C223" s="60"/>
    </x:row>
    <x:row r="224">
      <x:c r="B224" s="60"/>
      <x:c r="C224" s="60"/>
    </x:row>
    <x:row r="225">
      <x:c r="B225" s="60"/>
      <x:c r="C225" s="60"/>
    </x:row>
    <x:row r="226">
      <x:c r="B226" s="60"/>
      <x:c r="C226" s="60"/>
    </x:row>
    <x:row r="227">
      <x:c r="B227" s="60"/>
      <x:c r="C227" s="60"/>
    </x:row>
    <x:row r="228">
      <x:c r="B228" s="60"/>
      <x:c r="C228" s="60"/>
    </x:row>
    <x:row r="229">
      <x:c r="B229" s="60"/>
      <x:c r="C229" s="60"/>
    </x:row>
    <x:row r="230">
      <x:c r="B230" s="60"/>
      <x:c r="C230" s="60"/>
    </x:row>
    <x:row r="231">
      <x:c r="B231" s="60"/>
      <x:c r="C231" s="60"/>
    </x:row>
    <x:row r="232">
      <x:c r="B232" s="60"/>
      <x:c r="C232" s="60"/>
    </x:row>
    <x:row r="233">
      <x:c r="B233" s="60"/>
      <x:c r="C233" s="60"/>
    </x:row>
    <x:row r="234">
      <x:c r="B234" s="60"/>
      <x:c r="C234" s="60"/>
    </x:row>
    <x:row r="235">
      <x:c r="B235" s="60"/>
      <x:c r="C235" s="60"/>
    </x:row>
    <x:row r="236">
      <x:c r="B236" s="60"/>
      <x:c r="C236" s="60"/>
    </x:row>
    <x:row r="237">
      <x:c r="B237" s="60"/>
      <x:c r="C237" s="60"/>
    </x:row>
    <x:row r="238">
      <x:c r="B238" s="60"/>
      <x:c r="C238" s="60"/>
    </x:row>
    <x:row r="239">
      <x:c r="B239" s="60"/>
      <x:c r="C239" s="60"/>
    </x:row>
    <x:row r="240">
      <x:c r="B240" s="60"/>
      <x:c r="C240" s="60"/>
    </x:row>
    <x:row r="241">
      <x:c r="B241" s="60"/>
      <x:c r="C241" s="60"/>
    </x:row>
    <x:row r="242">
      <x:c r="B242" s="60"/>
      <x:c r="C242" s="60"/>
    </x:row>
    <x:row r="243">
      <x:c r="B243" s="60"/>
      <x:c r="C243" s="60"/>
    </x:row>
    <x:row r="244">
      <x:c r="B244" s="60"/>
      <x:c r="C244" s="60"/>
    </x:row>
    <x:row r="245">
      <x:c r="B245" s="60"/>
      <x:c r="C245" s="60"/>
    </x:row>
    <x:row r="246">
      <x:c r="B246" s="60"/>
      <x:c r="C246" s="60"/>
    </x:row>
    <x:row r="247">
      <x:c r="B247" s="60"/>
      <x:c r="C247" s="60"/>
    </x:row>
    <x:row r="248">
      <x:c r="B248" s="60"/>
      <x:c r="C248" s="60"/>
    </x:row>
    <x:row r="249">
      <x:c r="B249" s="60"/>
      <x:c r="C249" s="60"/>
    </x:row>
    <x:row r="250">
      <x:c r="B250" s="60"/>
      <x:c r="C250" s="60"/>
    </x:row>
    <x:row r="251">
      <x:c r="B251" s="60"/>
      <x:c r="C251" s="60"/>
    </x:row>
    <x:row r="252">
      <x:c r="B252" s="60"/>
      <x:c r="C252" s="60"/>
    </x:row>
    <x:row r="253">
      <x:c r="B253" s="60"/>
      <x:c r="C253" s="60"/>
    </x:row>
    <x:row r="254">
      <x:c r="B254" s="60"/>
      <x:c r="C254" s="60"/>
    </x:row>
    <x:row r="255">
      <x:c r="B255" s="60"/>
      <x:c r="C255" s="60"/>
    </x:row>
    <x:row r="256">
      <x:c r="B256" s="60"/>
      <x:c r="C256" s="60"/>
    </x:row>
    <x:row r="257">
      <x:c r="B257" s="60"/>
      <x:c r="C257" s="60"/>
    </x:row>
    <x:row r="258">
      <x:c r="B258" s="60"/>
      <x:c r="C258" s="60"/>
    </x:row>
    <x:row r="259">
      <x:c r="B259" s="60"/>
      <x:c r="C259" s="60"/>
    </x:row>
    <x:row r="260">
      <x:c r="B260" s="60"/>
      <x:c r="C260" s="60"/>
    </x:row>
    <x:row r="261">
      <x:c r="B261" s="60"/>
      <x:c r="C261" s="60"/>
    </x:row>
    <x:row r="262">
      <x:c r="B262" s="60"/>
      <x:c r="C262" s="60"/>
    </x:row>
    <x:row r="263">
      <x:c r="B263" s="60"/>
      <x:c r="C263" s="60"/>
    </x:row>
    <x:row r="264">
      <x:c r="B264" s="60"/>
      <x:c r="C264" s="60"/>
    </x:row>
    <x:row r="265">
      <x:c r="B265" s="60"/>
      <x:c r="C265" s="60"/>
    </x:row>
    <x:row r="266">
      <x:c r="B266" s="60"/>
      <x:c r="C266" s="60"/>
    </x:row>
    <x:row r="267">
      <x:c r="B267" s="60"/>
      <x:c r="C267" s="60"/>
    </x:row>
    <x:row r="268">
      <x:c r="B268" s="60"/>
      <x:c r="C268" s="60"/>
    </x:row>
    <x:row r="269">
      <x:c r="B269" s="60"/>
      <x:c r="C269" s="60"/>
    </x:row>
    <x:row r="270">
      <x:c r="B270" s="60"/>
      <x:c r="C270" s="60"/>
    </x:row>
    <x:row r="271">
      <x:c r="B271" s="60"/>
      <x:c r="C271" s="60"/>
    </x:row>
    <x:row r="272">
      <x:c r="B272" s="60"/>
      <x:c r="C272" s="60"/>
    </x:row>
    <x:row r="273">
      <x:c r="B273" s="60"/>
      <x:c r="C273" s="60"/>
    </x:row>
    <x:row r="274">
      <x:c r="B274" s="60"/>
      <x:c r="C274" s="60"/>
    </x:row>
    <x:row r="275">
      <x:c r="B275" s="60"/>
      <x:c r="C275" s="60"/>
    </x:row>
    <x:row r="276">
      <x:c r="B276" s="60"/>
      <x:c r="C276" s="60"/>
    </x:row>
    <x:row r="277">
      <x:c r="B277" s="60"/>
      <x:c r="C277" s="60"/>
    </x:row>
    <x:row r="278">
      <x:c r="B278" s="60"/>
      <x:c r="C278" s="60"/>
    </x:row>
    <x:row r="279">
      <x:c r="B279" s="60"/>
      <x:c r="C279" s="60"/>
    </x:row>
    <x:row r="280">
      <x:c r="B280" s="60"/>
      <x:c r="C280" s="60"/>
    </x:row>
    <x:row r="281">
      <x:c r="B281" s="60"/>
      <x:c r="C281" s="60"/>
    </x:row>
    <x:row r="282">
      <x:c r="B282" s="60"/>
      <x:c r="C282" s="60"/>
    </x:row>
    <x:row r="283">
      <x:c r="B283" s="60"/>
      <x:c r="C283" s="60"/>
    </x:row>
    <x:row r="284">
      <x:c r="B284" s="60"/>
      <x:c r="C284" s="60"/>
    </x:row>
    <x:row r="285">
      <x:c r="B285" s="60"/>
      <x:c r="C285" s="60"/>
    </x:row>
    <x:row r="286">
      <x:c r="B286" s="60"/>
      <x:c r="C286" s="60"/>
    </x:row>
    <x:row r="287">
      <x:c r="B287" s="60"/>
      <x:c r="C287" s="60"/>
    </x:row>
    <x:row r="288">
      <x:c r="B288" s="60"/>
      <x:c r="C288" s="60"/>
    </x:row>
    <x:row r="289">
      <x:c r="B289" s="60"/>
      <x:c r="C289" s="60"/>
    </x:row>
    <x:row r="290">
      <x:c r="B290" s="60"/>
      <x:c r="C290" s="60"/>
    </x:row>
    <x:row r="291">
      <x:c r="B291" s="60"/>
      <x:c r="C291" s="60"/>
    </x:row>
    <x:row r="292">
      <x:c r="B292" s="60"/>
      <x:c r="C292" s="60"/>
    </x:row>
    <x:row r="293">
      <x:c r="B293" s="60"/>
      <x:c r="C293" s="60"/>
    </x:row>
    <x:row r="294">
      <x:c r="B294" s="60"/>
      <x:c r="C294" s="60"/>
    </x:row>
    <x:row r="295">
      <x:c r="B295" s="60"/>
      <x:c r="C295" s="60"/>
    </x:row>
    <x:row r="296">
      <x:c r="B296" s="60"/>
      <x:c r="C296" s="60"/>
    </x:row>
    <x:row r="297">
      <x:c r="B297" s="60"/>
      <x:c r="C297" s="60"/>
    </x:row>
    <x:row r="298">
      <x:c r="B298" s="60"/>
      <x:c r="C298" s="60"/>
    </x:row>
    <x:row r="299">
      <x:c r="B299" s="60"/>
      <x:c r="C299" s="60"/>
    </x:row>
    <x:row r="300">
      <x:c r="B300" s="60"/>
      <x:c r="C300" s="60"/>
    </x:row>
    <x:row r="301">
      <x:c r="B301" s="60"/>
      <x:c r="C301" s="60"/>
    </x:row>
    <x:row r="302">
      <x:c r="B302" s="60"/>
      <x:c r="C302" s="60"/>
    </x:row>
    <x:row r="303">
      <x:c r="B303" s="60"/>
      <x:c r="C303" s="60"/>
    </x:row>
    <x:row r="304">
      <x:c r="B304" s="60"/>
      <x:c r="C304" s="60"/>
    </x:row>
    <x:row r="305">
      <x:c r="B305" s="60"/>
      <x:c r="C305" s="60"/>
    </x:row>
    <x:row r="306">
      <x:c r="B306" s="60"/>
      <x:c r="C306" s="60"/>
    </x:row>
    <x:row r="307">
      <x:c r="B307" s="60"/>
      <x:c r="C307" s="60"/>
    </x:row>
    <x:row r="308">
      <x:c r="B308" s="60"/>
      <x:c r="C308" s="60"/>
    </x:row>
    <x:row r="309">
      <x:c r="B309" s="60"/>
      <x:c r="C309" s="60"/>
    </x:row>
    <x:row r="310">
      <x:c r="B310" s="60"/>
      <x:c r="C310" s="60"/>
    </x:row>
    <x:row r="311">
      <x:c r="B311" s="60"/>
      <x:c r="C311" s="60"/>
    </x:row>
    <x:row r="312">
      <x:c r="B312" s="60"/>
      <x:c r="C312" s="60"/>
    </x:row>
    <x:row r="313">
      <x:c r="B313" s="60"/>
      <x:c r="C313" s="60"/>
    </x:row>
    <x:row r="314">
      <x:c r="B314" s="60"/>
      <x:c r="C314" s="60"/>
    </x:row>
    <x:row r="315">
      <x:c r="B315" s="60"/>
      <x:c r="C315" s="60"/>
    </x:row>
    <x:row r="316">
      <x:c r="B316" s="60"/>
      <x:c r="C316" s="60"/>
    </x:row>
    <x:row r="317">
      <x:c r="B317" s="60"/>
      <x:c r="C317" s="60"/>
    </x:row>
    <x:row r="318">
      <x:c r="B318" s="60"/>
      <x:c r="C318" s="60"/>
    </x:row>
    <x:row r="319">
      <x:c r="B319" s="60"/>
      <x:c r="C319" s="60"/>
    </x:row>
    <x:row r="320">
      <x:c r="B320" s="60"/>
      <x:c r="C320" s="60"/>
    </x:row>
    <x:row r="321">
      <x:c r="B321" s="60"/>
      <x:c r="C321" s="60"/>
    </x:row>
    <x:row r="322">
      <x:c r="B322" s="60"/>
      <x:c r="C322" s="60"/>
    </x:row>
    <x:row r="323">
      <x:c r="B323" s="60"/>
      <x:c r="C323" s="60"/>
    </x:row>
    <x:row r="324">
      <x:c r="B324" s="60"/>
      <x:c r="C324" s="60"/>
    </x:row>
    <x:row r="325">
      <x:c r="B325" s="60"/>
      <x:c r="C325" s="60"/>
    </x:row>
    <x:row r="326">
      <x:c r="B326" s="60"/>
      <x:c r="C326" s="60"/>
    </x:row>
    <x:row r="327">
      <x:c r="B327" s="60"/>
      <x:c r="C327" s="60"/>
    </x:row>
    <x:row r="328">
      <x:c r="B328" s="60"/>
      <x:c r="C328" s="60"/>
    </x:row>
    <x:row r="329">
      <x:c r="B329" s="60"/>
      <x:c r="C329" s="60"/>
    </x:row>
    <x:row r="330">
      <x:c r="B330" s="60"/>
      <x:c r="C330" s="60"/>
    </x:row>
    <x:row r="331">
      <x:c r="B331" s="60"/>
      <x:c r="C331" s="60"/>
    </x:row>
    <x:row r="332">
      <x:c r="B332" s="60"/>
      <x:c r="C332" s="60"/>
    </x:row>
    <x:row r="333">
      <x:c r="B333" s="60"/>
      <x:c r="C333" s="60"/>
    </x:row>
    <x:row r="334">
      <x:c r="B334" s="60"/>
      <x:c r="C334" s="60"/>
    </x:row>
    <x:row r="335">
      <x:c r="B335" s="60"/>
      <x:c r="C335" s="60"/>
    </x:row>
    <x:row r="336">
      <x:c r="B336" s="60"/>
      <x:c r="C336" s="60"/>
    </x:row>
    <x:row r="337">
      <x:c r="B337" s="60"/>
      <x:c r="C337" s="60"/>
    </x:row>
    <x:row r="338">
      <x:c r="B338" s="60"/>
      <x:c r="C338" s="60"/>
    </x:row>
    <x:row r="339">
      <x:c r="B339" s="60"/>
      <x:c r="C339" s="60"/>
    </x:row>
    <x:row r="340">
      <x:c r="B340" s="60"/>
      <x:c r="C340" s="60"/>
    </x:row>
    <x:row r="341">
      <x:c r="B341" s="60"/>
      <x:c r="C341" s="60"/>
    </x:row>
    <x:row r="342">
      <x:c r="B342" s="60"/>
      <x:c r="C342" s="60"/>
    </x:row>
    <x:row r="343">
      <x:c r="B343" s="60"/>
      <x:c r="C343" s="60"/>
    </x:row>
    <x:row r="344">
      <x:c r="B344" s="60"/>
      <x:c r="C344" s="60"/>
    </x:row>
    <x:row r="345">
      <x:c r="B345" s="60"/>
      <x:c r="C345" s="60"/>
    </x:row>
    <x:row r="346">
      <x:c r="B346" s="60"/>
      <x:c r="C346" s="60"/>
    </x:row>
    <x:row r="347">
      <x:c r="B347" s="60"/>
      <x:c r="C347" s="60"/>
    </x:row>
    <x:row r="348">
      <x:c r="B348" s="60"/>
      <x:c r="C348" s="60"/>
    </x:row>
    <x:row r="349">
      <x:c r="B349" s="60"/>
      <x:c r="C349" s="60"/>
    </x:row>
    <x:row r="350">
      <x:c r="B350" s="60"/>
      <x:c r="C350" s="60"/>
    </x:row>
    <x:row r="351">
      <x:c r="B351" s="60"/>
      <x:c r="C351" s="60"/>
    </x:row>
    <x:row r="352">
      <x:c r="B352" s="60"/>
      <x:c r="C352" s="60"/>
    </x:row>
    <x:row r="353">
      <x:c r="B353" s="60"/>
      <x:c r="C353" s="60"/>
    </x:row>
    <x:row r="354">
      <x:c r="B354" s="60"/>
      <x:c r="C354" s="60"/>
    </x:row>
    <x:row r="355">
      <x:c r="B355" s="60"/>
      <x:c r="C355" s="60"/>
    </x:row>
    <x:row r="356">
      <x:c r="B356" s="60"/>
      <x:c r="C356" s="60"/>
    </x:row>
    <x:row r="357">
      <x:c r="B357" s="60"/>
      <x:c r="C357" s="60"/>
    </x:row>
    <x:row r="358">
      <x:c r="B358" s="60"/>
      <x:c r="C358" s="60"/>
    </x:row>
    <x:row r="359">
      <x:c r="B359" s="60"/>
      <x:c r="C359" s="60"/>
    </x:row>
    <x:row r="360">
      <x:c r="B360" s="60"/>
      <x:c r="C360" s="60"/>
    </x:row>
    <x:row r="361">
      <x:c r="B361" s="60"/>
      <x:c r="C361" s="60"/>
    </x:row>
    <x:row r="362">
      <x:c r="B362" s="60"/>
      <x:c r="C362" s="60"/>
    </x:row>
    <x:row r="363">
      <x:c r="B363" s="60"/>
      <x:c r="C363" s="60"/>
    </x:row>
    <x:row r="364">
      <x:c r="B364" s="60"/>
      <x:c r="C364" s="60"/>
    </x:row>
    <x:row r="365">
      <x:c r="B365" s="60"/>
      <x:c r="C365" s="60"/>
    </x:row>
    <x:row r="366">
      <x:c r="B366" s="60"/>
      <x:c r="C366" s="60"/>
    </x:row>
    <x:row r="367">
      <x:c r="B367" s="60"/>
      <x:c r="C367" s="60"/>
    </x:row>
    <x:row r="368">
      <x:c r="B368" s="60"/>
      <x:c r="C368" s="60"/>
    </x:row>
    <x:row r="369">
      <x:c r="B369" s="60"/>
      <x:c r="C369" s="60"/>
    </x:row>
    <x:row r="370">
      <x:c r="B370" s="60"/>
      <x:c r="C370" s="60"/>
    </x:row>
    <x:row r="371">
      <x:c r="B371" s="60"/>
      <x:c r="C371" s="60"/>
    </x:row>
    <x:row r="372">
      <x:c r="B372" s="60"/>
      <x:c r="C372" s="60"/>
    </x:row>
    <x:row r="373">
      <x:c r="B373" s="60"/>
      <x:c r="C373" s="60"/>
    </x:row>
    <x:row r="374">
      <x:c r="B374" s="60"/>
      <x:c r="C374" s="60"/>
    </x:row>
    <x:row r="375">
      <x:c r="B375" s="60"/>
      <x:c r="C375" s="60"/>
    </x:row>
    <x:row r="376">
      <x:c r="B376" s="60"/>
      <x:c r="C376" s="60"/>
    </x:row>
    <x:row r="377">
      <x:c r="B377" s="60"/>
      <x:c r="C377" s="60"/>
    </x:row>
    <x:row r="378">
      <x:c r="B378" s="60"/>
      <x:c r="C378" s="60"/>
    </x:row>
    <x:row r="379">
      <x:c r="B379" s="60"/>
      <x:c r="C379" s="60"/>
    </x:row>
    <x:row r="380">
      <x:c r="B380" s="60"/>
      <x:c r="C380" s="60"/>
    </x:row>
    <x:row r="381">
      <x:c r="B381" s="60"/>
      <x:c r="C381" s="60"/>
    </x:row>
    <x:row r="382">
      <x:c r="B382" s="60"/>
      <x:c r="C382" s="60"/>
    </x:row>
    <x:row r="383">
      <x:c r="B383" s="60"/>
      <x:c r="C383" s="60"/>
    </x:row>
    <x:row r="384">
      <x:c r="B384" s="60"/>
      <x:c r="C384" s="60"/>
    </x:row>
    <x:row r="385">
      <x:c r="B385" s="60"/>
      <x:c r="C385" s="60"/>
    </x:row>
    <x:row r="386">
      <x:c r="B386" s="60"/>
      <x:c r="C386" s="60"/>
    </x:row>
    <x:row r="387">
      <x:c r="B387" s="60"/>
      <x:c r="C387" s="60"/>
    </x:row>
    <x:row r="388">
      <x:c r="B388" s="60"/>
      <x:c r="C388" s="60"/>
    </x:row>
    <x:row r="389">
      <x:c r="B389" s="60"/>
      <x:c r="C389" s="60"/>
    </x:row>
    <x:row r="390">
      <x:c r="B390" s="60"/>
      <x:c r="C390" s="60"/>
    </x:row>
    <x:row r="391">
      <x:c r="B391" s="60"/>
      <x:c r="C391" s="60"/>
    </x:row>
    <x:row r="392">
      <x:c r="B392" s="60"/>
      <x:c r="C392" s="60"/>
    </x:row>
    <x:row r="393">
      <x:c r="B393" s="60"/>
      <x:c r="C393" s="60"/>
    </x:row>
    <x:row r="394">
      <x:c r="B394" s="60"/>
      <x:c r="C394" s="60"/>
    </x:row>
    <x:row r="395">
      <x:c r="B395" s="60"/>
      <x:c r="C395" s="60"/>
    </x:row>
    <x:row r="396">
      <x:c r="B396" s="60"/>
      <x:c r="C396" s="60"/>
    </x:row>
    <x:row r="397">
      <x:c r="B397" s="60"/>
      <x:c r="C397" s="60"/>
    </x:row>
    <x:row r="398">
      <x:c r="B398" s="60"/>
      <x:c r="C398" s="60"/>
    </x:row>
    <x:row r="399">
      <x:c r="B399" s="60"/>
      <x:c r="C399" s="60"/>
    </x:row>
    <x:row r="400">
      <x:c r="B400" s="60"/>
      <x:c r="C400" s="60"/>
    </x:row>
    <x:row r="401">
      <x:c r="B401" s="60"/>
      <x:c r="C401" s="60"/>
    </x:row>
    <x:row r="402">
      <x:c r="B402" s="60"/>
      <x:c r="C402" s="60"/>
    </x:row>
    <x:row r="403">
      <x:c r="B403" s="60"/>
      <x:c r="C403" s="60"/>
    </x:row>
    <x:row r="404">
      <x:c r="B404" s="60"/>
      <x:c r="C404" s="60"/>
    </x:row>
    <x:row r="405">
      <x:c r="B405" s="60"/>
      <x:c r="C405" s="60"/>
    </x:row>
    <x:row r="406">
      <x:c r="B406" s="60"/>
      <x:c r="C406" s="60"/>
    </x:row>
    <x:row r="407">
      <x:c r="B407" s="60"/>
      <x:c r="C407" s="60"/>
    </x:row>
    <x:row r="408">
      <x:c r="B408" s="60"/>
      <x:c r="C408" s="60"/>
    </x:row>
    <x:row r="409">
      <x:c r="B409" s="60"/>
      <x:c r="C409" s="60"/>
    </x:row>
    <x:row r="410">
      <x:c r="B410" s="60"/>
      <x:c r="C410" s="60"/>
    </x:row>
    <x:row r="411">
      <x:c r="B411" s="60"/>
      <x:c r="C411" s="60"/>
    </x:row>
    <x:row r="412">
      <x:c r="B412" s="60"/>
      <x:c r="C412" s="60"/>
    </x:row>
    <x:row r="413">
      <x:c r="B413" s="60"/>
      <x:c r="C413" s="60"/>
    </x:row>
    <x:row r="414">
      <x:c r="B414" s="60"/>
      <x:c r="C414" s="60"/>
    </x:row>
    <x:row r="415">
      <x:c r="B415" s="60"/>
      <x:c r="C415" s="60"/>
    </x:row>
    <x:row r="416">
      <x:c r="B416" s="60"/>
      <x:c r="C416" s="60"/>
    </x:row>
    <x:row r="417">
      <x:c r="B417" s="60"/>
      <x:c r="C417" s="60"/>
    </x:row>
    <x:row r="418">
      <x:c r="B418" s="60"/>
      <x:c r="C418" s="60"/>
    </x:row>
    <x:row r="419">
      <x:c r="B419" s="60"/>
      <x:c r="C419" s="60"/>
    </x:row>
    <x:row r="420">
      <x:c r="B420" s="60"/>
      <x:c r="C420" s="60"/>
    </x:row>
    <x:row r="421">
      <x:c r="B421" s="60"/>
      <x:c r="C421" s="60"/>
    </x:row>
    <x:row r="422">
      <x:c r="B422" s="60"/>
      <x:c r="C422" s="60"/>
    </x:row>
    <x:row r="423">
      <x:c r="B423" s="60"/>
      <x:c r="C423" s="60"/>
    </x:row>
    <x:row r="424">
      <x:c r="B424" s="60"/>
      <x:c r="C424" s="60"/>
    </x:row>
    <x:row r="425">
      <x:c r="B425" s="60"/>
      <x:c r="C425" s="60"/>
    </x:row>
    <x:row r="426">
      <x:c r="B426" s="60"/>
      <x:c r="C426" s="60"/>
    </x:row>
    <x:row r="427">
      <x:c r="B427" s="60"/>
      <x:c r="C427" s="60"/>
    </x:row>
    <x:row r="428">
      <x:c r="B428" s="60"/>
      <x:c r="C428" s="60"/>
    </x:row>
    <x:row r="429">
      <x:c r="B429" s="60"/>
      <x:c r="C429" s="60"/>
    </x:row>
    <x:row r="430">
      <x:c r="B430" s="60"/>
      <x:c r="C430" s="60"/>
    </x:row>
    <x:row r="431">
      <x:c r="B431" s="60"/>
      <x:c r="C431" s="60"/>
    </x:row>
    <x:row r="432">
      <x:c r="B432" s="60"/>
      <x:c r="C432" s="60"/>
    </x:row>
    <x:row r="433">
      <x:c r="B433" s="60"/>
      <x:c r="C433" s="60"/>
    </x:row>
    <x:row r="434">
      <x:c r="B434" s="60"/>
      <x:c r="C434" s="60"/>
    </x:row>
    <x:row r="435">
      <x:c r="B435" s="60"/>
      <x:c r="C435" s="60"/>
    </x:row>
    <x:row r="436">
      <x:c r="B436" s="60"/>
      <x:c r="C436" s="60"/>
    </x:row>
    <x:row r="437">
      <x:c r="B437" s="60"/>
      <x:c r="C437" s="60"/>
    </x:row>
    <x:row r="438">
      <x:c r="B438" s="60"/>
      <x:c r="C438" s="60"/>
    </x:row>
    <x:row r="439">
      <x:c r="B439" s="60"/>
      <x:c r="C439" s="60"/>
    </x:row>
    <x:row r="440">
      <x:c r="B440" s="60"/>
      <x:c r="C440" s="60"/>
    </x:row>
    <x:row r="441">
      <x:c r="B441" s="60"/>
      <x:c r="C441" s="60"/>
    </x:row>
    <x:row r="442">
      <x:c r="B442" s="60"/>
      <x:c r="C442" s="60"/>
    </x:row>
    <x:row r="443">
      <x:c r="B443" s="60"/>
      <x:c r="C443" s="60"/>
    </x:row>
    <x:row r="444">
      <x:c r="B444" s="60"/>
      <x:c r="C444" s="60"/>
    </x:row>
    <x:row r="445">
      <x:c r="B445" s="60"/>
      <x:c r="C445" s="60"/>
    </x:row>
    <x:row r="446">
      <x:c r="B446" s="60"/>
      <x:c r="C446" s="60"/>
    </x:row>
    <x:row r="447">
      <x:c r="B447" s="60"/>
      <x:c r="C447" s="60"/>
    </x:row>
    <x:row r="448">
      <x:c r="B448" s="60"/>
      <x:c r="C448" s="60"/>
    </x:row>
    <x:row r="449">
      <x:c r="B449" s="60"/>
      <x:c r="C449" s="60"/>
    </x:row>
    <x:row r="450">
      <x:c r="B450" s="60"/>
      <x:c r="C450" s="60"/>
    </x:row>
    <x:row r="451">
      <x:c r="B451" s="60"/>
      <x:c r="C451" s="60"/>
    </x:row>
    <x:row r="452">
      <x:c r="B452" s="60"/>
      <x:c r="C452" s="60"/>
    </x:row>
    <x:row r="453">
      <x:c r="B453" s="60"/>
      <x:c r="C453" s="60"/>
    </x:row>
    <x:row r="454">
      <x:c r="B454" s="60"/>
      <x:c r="C454" s="60"/>
    </x:row>
    <x:row r="455">
      <x:c r="B455" s="60"/>
      <x:c r="C455" s="60"/>
    </x:row>
    <x:row r="456">
      <x:c r="B456" s="60"/>
      <x:c r="C456" s="60"/>
    </x:row>
    <x:row r="457">
      <x:c r="B457" s="60"/>
      <x:c r="C457" s="60"/>
    </x:row>
    <x:row r="458">
      <x:c r="B458" s="60"/>
      <x:c r="C458" s="60"/>
    </x:row>
    <x:row r="459">
      <x:c r="B459" s="60"/>
      <x:c r="C459" s="60"/>
    </x:row>
    <x:row r="460">
      <x:c r="B460" s="60"/>
      <x:c r="C460" s="60"/>
    </x:row>
    <x:row r="461">
      <x:c r="B461" s="60"/>
      <x:c r="C461" s="60"/>
    </x:row>
    <x:row r="462">
      <x:c r="B462" s="60"/>
      <x:c r="C462" s="60"/>
    </x:row>
    <x:row r="463">
      <x:c r="B463" s="60"/>
      <x:c r="C463" s="60"/>
    </x:row>
    <x:row r="464">
      <x:c r="B464" s="60"/>
      <x:c r="C464" s="60"/>
    </x:row>
    <x:row r="465">
      <x:c r="B465" s="60"/>
      <x:c r="C465" s="60"/>
    </x:row>
    <x:row r="466">
      <x:c r="B466" s="60"/>
      <x:c r="C466" s="60"/>
    </x:row>
    <x:row r="467">
      <x:c r="B467" s="60"/>
      <x:c r="C467" s="60"/>
    </x:row>
    <x:row r="468">
      <x:c r="B468" s="60"/>
      <x:c r="C468" s="60"/>
    </x:row>
    <x:row r="469">
      <x:c r="B469" s="60"/>
      <x:c r="C469" s="60"/>
    </x:row>
    <x:row r="470">
      <x:c r="B470" s="60"/>
      <x:c r="C470" s="60"/>
    </x:row>
    <x:row r="471">
      <x:c r="B471" s="60"/>
      <x:c r="C471" s="60"/>
    </x:row>
    <x:row r="472">
      <x:c r="B472" s="60"/>
      <x:c r="C472" s="60"/>
    </x:row>
    <x:row r="473">
      <x:c r="B473" s="60"/>
      <x:c r="C473" s="60"/>
    </x:row>
    <x:row r="474">
      <x:c r="B474" s="60"/>
      <x:c r="C474" s="60"/>
    </x:row>
    <x:row r="475">
      <x:c r="B475" s="60"/>
      <x:c r="C475" s="60"/>
    </x:row>
    <x:row r="476">
      <x:c r="B476" s="60"/>
      <x:c r="C476" s="60"/>
    </x:row>
    <x:row r="477">
      <x:c r="B477" s="60"/>
      <x:c r="C477" s="60"/>
    </x:row>
    <x:row r="478">
      <x:c r="B478" s="60"/>
      <x:c r="C478" s="60"/>
    </x:row>
    <x:row r="479">
      <x:c r="B479" s="60"/>
      <x:c r="C479" s="60"/>
    </x:row>
    <x:row r="480">
      <x:c r="B480" s="60"/>
      <x:c r="C480" s="60"/>
    </x:row>
    <x:row r="481">
      <x:c r="B481" s="60"/>
      <x:c r="C481" s="60"/>
    </x:row>
    <x:row r="482">
      <x:c r="B482" s="60"/>
      <x:c r="C482" s="60"/>
    </x:row>
    <x:row r="483">
      <x:c r="B483" s="60"/>
      <x:c r="C483" s="60"/>
    </x:row>
    <x:row r="484">
      <x:c r="B484" s="60"/>
      <x:c r="C484" s="60"/>
    </x:row>
    <x:row r="485">
      <x:c r="B485" s="60"/>
      <x:c r="C485" s="60"/>
    </x:row>
    <x:row r="486">
      <x:c r="B486" s="60"/>
      <x:c r="C486" s="60"/>
    </x:row>
    <x:row r="487">
      <x:c r="B487" s="60"/>
      <x:c r="C487" s="60"/>
    </x:row>
    <x:row r="488">
      <x:c r="B488" s="60"/>
      <x:c r="C488" s="60"/>
    </x:row>
    <x:row r="489">
      <x:c r="B489" s="60"/>
      <x:c r="C489" s="60"/>
    </x:row>
    <x:row r="490">
      <x:c r="B490" s="60"/>
      <x:c r="C490" s="60"/>
    </x:row>
    <x:row r="491">
      <x:c r="B491" s="60"/>
      <x:c r="C491" s="60"/>
    </x:row>
    <x:row r="492">
      <x:c r="B492" s="60"/>
      <x:c r="C492" s="60"/>
    </x:row>
    <x:row r="493">
      <x:c r="B493" s="60"/>
      <x:c r="C493" s="60"/>
    </x:row>
    <x:row r="494">
      <x:c r="B494" s="60"/>
      <x:c r="C494" s="60"/>
    </x:row>
    <x:row r="495">
      <x:c r="B495" s="60"/>
      <x:c r="C495" s="60"/>
    </x:row>
    <x:row r="496">
      <x:c r="B496" s="60"/>
      <x:c r="C496" s="60"/>
    </x:row>
    <x:row r="497">
      <x:c r="B497" s="60"/>
      <x:c r="C497" s="60"/>
    </x:row>
    <x:row r="498">
      <x:c r="B498" s="60"/>
      <x:c r="C498" s="60"/>
    </x:row>
    <x:row r="499">
      <x:c r="B499" s="60"/>
      <x:c r="C499" s="60"/>
    </x:row>
    <x:row r="500">
      <x:c r="B500" s="60"/>
      <x:c r="C500" s="60"/>
    </x:row>
    <x:row r="501">
      <x:c r="B501" s="60"/>
      <x:c r="C501" s="60"/>
    </x:row>
    <x:row r="502">
      <x:c r="B502" s="60"/>
      <x:c r="C502" s="60"/>
    </x:row>
    <x:row r="503">
      <x:c r="B503" s="60"/>
      <x:c r="C503" s="60"/>
    </x:row>
    <x:row r="504">
      <x:c r="B504" s="60"/>
      <x:c r="C504" s="60"/>
    </x:row>
    <x:row r="505">
      <x:c r="B505" s="60"/>
      <x:c r="C505" s="60"/>
    </x:row>
    <x:row r="506">
      <x:c r="B506" s="60"/>
      <x:c r="C506" s="60"/>
    </x:row>
    <x:row r="507">
      <x:c r="B507" s="60"/>
      <x:c r="C507" s="60"/>
    </x:row>
    <x:row r="508">
      <x:c r="B508" s="60"/>
      <x:c r="C508" s="60"/>
    </x:row>
    <x:row r="509">
      <x:c r="B509" s="60"/>
      <x:c r="C509" s="60"/>
    </x:row>
    <x:row r="510">
      <x:c r="B510" s="60"/>
      <x:c r="C510" s="60"/>
    </x:row>
    <x:row r="511">
      <x:c r="B511" s="60"/>
      <x:c r="C511" s="60"/>
    </x:row>
    <x:row r="512">
      <x:c r="B512" s="60"/>
      <x:c r="C512" s="60"/>
    </x:row>
    <x:row r="513">
      <x:c r="B513" s="60"/>
      <x:c r="C513" s="60"/>
    </x:row>
    <x:row r="514">
      <x:c r="B514" s="60"/>
      <x:c r="C514" s="60"/>
    </x:row>
    <x:row r="515">
      <x:c r="B515" s="60"/>
      <x:c r="C515" s="60"/>
    </x:row>
    <x:row r="516">
      <x:c r="B516" s="60"/>
      <x:c r="C516" s="60"/>
    </x:row>
    <x:row r="517">
      <x:c r="B517" s="60"/>
      <x:c r="C517" s="60"/>
    </x:row>
    <x:row r="518">
      <x:c r="B518" s="60"/>
      <x:c r="C518" s="60"/>
    </x:row>
  </x:sheetData>
  <x:mergeCells>
    <x:mergeCell ref="A1:L2"/>
    <x:mergeCell ref="A3:L3"/>
  </x:mergeCells>
  <x:dataValidations count="2">
    <x:dataValidation type="list" sqref="B11:B15">
      <x:formula1>"Yes,No"</x:formula1>
    </x:dataValidation>
    <x:dataValidation type="list" sqref="B10">
      <x:formula1>"Approved + validated,Validated imports only,Approved reviews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3fad60155450a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16" hidden="0" customWidth="1"/>
    <x:col min="7" max="7" width="20" hidden="0" customWidth="1"/>
    <x:col min="8" max="8" width="14" hidden="0" customWidth="1"/>
  </x:cols>
  <x:sheetData>
    <x:row r="1">
      <x:c r="A1" s="144" t="str">
        <x:v>Renewable Tender Management Report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>
      <x:c r="A3" s="146" t="str">
        <x:v>Executive summary generated from the Master Tenders database.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</x:row>
    <x:row r="5">
      <x:c r="A5" s="151" t="str">
        <x:v>KPI</x:v>
      </x:c>
      <x:c r="B5" s="151" t="str">
        <x:v>Value</x:v>
      </x:c>
      <x:c r="D5" s="151" t="str">
        <x:v>Technology</x:v>
      </x:c>
      <x:c r="E5" s="151" t="str">
        <x:v>Capacity MW</x:v>
      </x:c>
      <x:c r="G5" s="151" t="str">
        <x:v>Status</x:v>
      </x:c>
      <x:c r="H5" s="151" t="str">
        <x:v>Count</x:v>
      </x:c>
    </x:row>
    <x:row r="6">
      <x:c r="A6" t="str">
        <x:v>Total records</x:v>
      </x:c>
      <x:c r="B6" s="54" t="n">
        <x:f>COUNTA('Master Tenders'!A2:A17)</x:f>
        <x:v>4</x:v>
      </x:c>
      <x:c r="D6" t="str">
        <x:v>Solar</x:v>
      </x:c>
      <x:c r="E6" s="54" t="n">
        <x:f>SUMIFS('Master Tenders'!G:G,'Master Tenders'!F:F,"Solar")</x:f>
        <x:v>0</x:v>
      </x:c>
      <x:c r="G6" t="str">
        <x:v>New</x:v>
      </x:c>
      <x:c r="H6" s="70" t="n">
        <x:f>COUNTIF('Master Tenders'!Q:Q,"New")</x:f>
        <x:v>0</x:v>
      </x:c>
    </x:row>
    <x:row r="7">
      <x:c r="A7" t="str">
        <x:v>Open / Extended</x:v>
      </x:c>
      <x:c r="B7" s="54" t="n">
        <x:f>COUNTIF('Master Tenders'!Q2:Q17,"Open")+COUNTIF('Master Tenders'!Q2:Q17,"Extended")</x:f>
        <x:v>3</x:v>
      </x:c>
      <x:c r="D7" t="str">
        <x:v>Solar + BESS</x:v>
      </x:c>
      <x:c r="E7" s="54" t="n">
        <x:f>SUMIFS('Master Tenders'!G:G,'Master Tenders'!F:F,"Solar + BESS")</x:f>
        <x:v>0</x:v>
      </x:c>
      <x:c r="G7" t="str">
        <x:v>Open</x:v>
      </x:c>
      <x:c r="H7" s="70" t="n">
        <x:f>COUNTIF('Master Tenders'!Q:Q,"Open")</x:f>
        <x:v>2</x:v>
      </x:c>
    </x:row>
    <x:row r="8">
      <x:c r="A8" t="str">
        <x:v>New tenders</x:v>
      </x:c>
      <x:c r="B8" s="54" t="n">
        <x:f>COUNTIF('Master Tenders'!Q2:Q17,"New")</x:f>
        <x:v>0</x:v>
      </x:c>
      <x:c r="D8" t="str">
        <x:v>FDRE</x:v>
      </x:c>
      <x:c r="E8" s="54" t="n">
        <x:f>SUMIFS('Master Tenders'!G:G,'Master Tenders'!F:F,"FDRE")</x:f>
        <x:v>1700</x:v>
      </x:c>
      <x:c r="G8" t="str">
        <x:v>Extended</x:v>
      </x:c>
      <x:c r="H8" s="70" t="n">
        <x:f>COUNTIF('Master Tenders'!Q:Q,"Extended")</x:f>
        <x:v>1</x:v>
      </x:c>
    </x:row>
    <x:row r="9">
      <x:c r="A9" t="str">
        <x:v>Corrigenda</x:v>
      </x:c>
      <x:c r="B9" s="54" t="n">
        <x:f>COUNTIF('Master Tenders'!Q2:Q17,"Corrigendum")</x:f>
        <x:v>1</x:v>
      </x:c>
      <x:c r="D9" t="str">
        <x:v>Wind</x:v>
      </x:c>
      <x:c r="E9" s="54" t="n">
        <x:f>SUMIFS('Master Tenders'!G:G,'Master Tenders'!F:F,"Wind")</x:f>
        <x:v>0</x:v>
      </x:c>
      <x:c r="G9" t="str">
        <x:v>Corrigendum</x:v>
      </x:c>
      <x:c r="H9" s="70" t="n">
        <x:f>COUNTIF('Master Tenders'!Q:Q,"Corrigendum")</x:f>
        <x:v>1</x:v>
      </x:c>
    </x:row>
    <x:row r="10">
      <x:c r="A10" t="str">
        <x:v>Closing in 7 days</x:v>
      </x:c>
      <x:c r="B10" s="54" t="n">
        <x:f>COUNTIFS('Master Tenders'!N2:N17,"&gt;="&amp;TODAY(),'Master Tenders'!N2:N17,"&lt;="&amp;TODAY()+7)</x:f>
        <x:v>2</x:v>
      </x:c>
      <x:c r="D10" t="str">
        <x:v>Hybrid</x:v>
      </x:c>
      <x:c r="E10" s="54" t="n">
        <x:f>SUMIFS('Master Tenders'!G:G,'Master Tenders'!F:F,"Hybrid")</x:f>
        <x:v>0</x:v>
      </x:c>
      <x:c r="G10" t="str">
        <x:v>Closed</x:v>
      </x:c>
      <x:c r="H10" s="70" t="n">
        <x:f>COUNTIF('Master Tenders'!Q:Q,"Closed")</x:f>
        <x:v>0</x:v>
      </x:c>
    </x:row>
    <x:row r="11">
      <x:c r="A11" t="str">
        <x:v>Total capacity MW</x:v>
      </x:c>
      <x:c r="B11" s="54" t="n">
        <x:f>SUM('Master Tenders'!G2:G17)</x:f>
        <x:v>3965</x:v>
      </x:c>
      <x:c r="D11" t="str">
        <x:v>BESS</x:v>
      </x:c>
      <x:c r="E11" s="54" t="n">
        <x:f>SUMIFS('Master Tenders'!G:G,'Master Tenders'!F:F,"BESS")</x:f>
        <x:v>2265</x:v>
      </x:c>
      <x:c r="G11" t="str">
        <x:v>Cancelled</x:v>
      </x:c>
      <x:c r="H11" s="70" t="n">
        <x:f>COUNTIF('Master Tenders'!Q:Q,"Cancelled")</x:f>
        <x:v>0</x:v>
      </x:c>
    </x:row>
    <x:row r="12">
      <x:c r="A12" t="str">
        <x:v>Storage-linked MW</x:v>
      </x:c>
      <x:c r="B12" s="54" t="n">
        <x:f>SUMIFS('Master Tenders'!G2:G17,'Master Tenders'!H2:H17,"Yes")</x:f>
        <x:v>3965</x:v>
      </x:c>
      <x:c r="D12" t="str">
        <x:v>Pumped Storage</x:v>
      </x:c>
      <x:c r="E12" s="54" t="n">
        <x:f>SUMIFS('Master Tenders'!G:G,'Master Tenders'!F:F,"Pumped Storage")</x:f>
        <x:v>0</x:v>
      </x:c>
      <x:c r="G12" t="str">
        <x:v>Awarded</x:v>
      </x:c>
      <x:c r="H12" s="70" t="n">
        <x:f>COUNTIF('Master Tenders'!Q:Q,"Awarded")</x:f>
        <x:v>0</x:v>
      </x:c>
    </x:row>
    <x:row r="13">
      <x:c r="A13" t="str">
        <x:v>Agencies represented</x:v>
      </x:c>
      <x:c r="B13" s="54" t="n">
        <x:f>COUNTA(UNIQUE(FILTER('Master Tenders'!C2:C17,'Master Tenders'!C2:C17&lt;&gt;"")))</x:f>
        <x:v>3</x:v>
      </x:c>
      <x:c r="D13" t="str">
        <x:v>RTC</x:v>
      </x:c>
      <x:c r="E13" s="54" t="n">
        <x:f>SUMIFS('Master Tenders'!G:G,'Master Tenders'!F:F,"RTC")</x:f>
        <x:v>0</x:v>
      </x:c>
      <x:c r="G13" t="str">
        <x:v>Expired but Open</x:v>
      </x:c>
      <x:c r="H13" s="70" t="n">
        <x:f>COUNTIFS('Master Tenders'!X:X,"Expired",'Master Tenders'!Q:Q,"Open")</x:f>
        <x:v>0</x:v>
      </x:c>
    </x:row>
  </x:sheetData>
  <x:mergeCells>
    <x:mergeCell ref="A1:N2"/>
    <x:mergeCell ref="A3:N3"/>
  </x:mergeCells>
  <x:pageMargins left="0.7" right="0.7" top="0.75" bottom="0.75" header="0.3" footer="0.3"/>
  <x:drawing xmlns:r="http://schemas.openxmlformats.org/officeDocument/2006/relationships" r:id="R9e08a6c3f6864f08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20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144" t="str">
        <x:v>Daily Tender Update Summary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</x:row>
    <x:row r="4">
      <x:c r="A4" s="151" t="str">
        <x:v>Update Date</x:v>
      </x:c>
      <x:c r="B4" s="151" t="str">
        <x:v>New Tenders</x:v>
      </x:c>
      <x:c r="C4" s="151" t="str">
        <x:v>Updated Tenders</x:v>
      </x:c>
      <x:c r="D4" s="151" t="str">
        <x:v>Corrigenda</x:v>
      </x:c>
      <x:c r="E4" s="151" t="str">
        <x:v>Extensions</x:v>
      </x:c>
      <x:c r="F4" s="151" t="str">
        <x:v>Closures</x:v>
      </x:c>
      <x:c r="G4" s="151" t="str">
        <x:v>Errors</x:v>
      </x:c>
      <x:c r="H4" s="151" t="str">
        <x:v>Active Capacity MW</x:v>
      </x:c>
      <x:c r="I4" s="151" t="str">
        <x:v>Urgent Deadlines</x:v>
      </x:c>
      <x:c r="J4" s="151" t="str">
        <x:v>Agencies Scanned</x:v>
      </x:c>
      <x:c r="K4" s="151" t="str">
        <x:v>Notes</x:v>
      </x:c>
    </x:row>
    <x:row r="5">
      <x:c r="A5" s="52"/>
    </x:row>
    <x:row r="6">
      <x:c r="A6" s="52"/>
    </x:row>
    <x:row r="7">
      <x:c r="A7" s="52"/>
    </x:row>
    <x:row r="8">
      <x:c r="A8" s="52"/>
    </x:row>
    <x:row r="9">
      <x:c r="A9" s="52"/>
    </x:row>
    <x:row r="10">
      <x:c r="A10" s="52"/>
    </x:row>
    <x:row r="11">
      <x:c r="A11" s="52"/>
    </x:row>
    <x:row r="12">
      <x:c r="A12" s="52"/>
    </x:row>
    <x:row r="13">
      <x:c r="A13" s="52"/>
    </x:row>
    <x:row r="14">
      <x:c r="A14" s="52"/>
    </x:row>
    <x:row r="15">
      <x:c r="A15" s="52"/>
    </x:row>
    <x:row r="16">
      <x:c r="A16" s="52"/>
    </x:row>
    <x:row r="17">
      <x:c r="A17" s="52"/>
    </x:row>
    <x:row r="18">
      <x:c r="A18" s="52"/>
    </x:row>
    <x:row r="19">
      <x:c r="A19" s="52"/>
    </x:row>
    <x:row r="20">
      <x:c r="A20" s="52"/>
    </x:row>
    <x:row r="21">
      <x:c r="A21" s="52"/>
    </x:row>
    <x:row r="22">
      <x:c r="A22" s="52"/>
    </x:row>
    <x:row r="23">
      <x:c r="A23" s="52"/>
    </x:row>
    <x:row r="24">
      <x:c r="A24" s="52"/>
    </x:row>
    <x:row r="25">
      <x:c r="A25" s="52"/>
    </x:row>
    <x:row r="26">
      <x:c r="A26" s="52"/>
    </x:row>
    <x:row r="27">
      <x:c r="A27" s="52"/>
    </x:row>
    <x:row r="28">
      <x:c r="A28" s="52"/>
    </x:row>
    <x:row r="29">
      <x:c r="A29" s="52"/>
    </x:row>
    <x:row r="30">
      <x:c r="A30" s="52"/>
    </x:row>
    <x:row r="31">
      <x:c r="A31" s="52"/>
    </x:row>
    <x:row r="32">
      <x:c r="A32" s="52"/>
    </x:row>
    <x:row r="33">
      <x:c r="A33" s="52"/>
    </x:row>
    <x:row r="34">
      <x:c r="A34" s="52"/>
    </x:row>
    <x:row r="35">
      <x:c r="A35" s="52"/>
    </x:row>
    <x:row r="36">
      <x:c r="A36" s="52"/>
    </x:row>
    <x:row r="37">
      <x:c r="A37" s="52"/>
    </x:row>
    <x:row r="38">
      <x:c r="A38" s="52"/>
    </x:row>
    <x:row r="39">
      <x:c r="A39" s="52"/>
    </x:row>
    <x:row r="40">
      <x:c r="A40" s="52"/>
    </x:row>
    <x:row r="41">
      <x:c r="A41" s="52"/>
    </x:row>
    <x:row r="42">
      <x:c r="A42" s="52"/>
    </x:row>
    <x:row r="43">
      <x:c r="A43" s="52"/>
    </x:row>
    <x:row r="44">
      <x:c r="A44" s="52"/>
    </x:row>
    <x:row r="45">
      <x:c r="A45" s="52"/>
    </x:row>
    <x:row r="46">
      <x:c r="A46" s="52"/>
    </x:row>
    <x:row r="47">
      <x:c r="A47" s="52"/>
    </x:row>
    <x:row r="48">
      <x:c r="A48" s="52"/>
    </x:row>
    <x:row r="49">
      <x:c r="A49" s="52"/>
    </x:row>
    <x:row r="50">
      <x:c r="A50" s="52"/>
    </x:row>
    <x:row r="51">
      <x:c r="A51" s="52"/>
    </x:row>
    <x:row r="52">
      <x:c r="A52" s="52"/>
    </x:row>
    <x:row r="53">
      <x:c r="A53" s="52"/>
    </x:row>
    <x:row r="54">
      <x:c r="A54" s="52"/>
    </x:row>
    <x:row r="55">
      <x:c r="A55" s="52"/>
    </x:row>
    <x:row r="56">
      <x:c r="A56" s="52"/>
    </x:row>
    <x:row r="57">
      <x:c r="A57" s="52"/>
    </x:row>
    <x:row r="58">
      <x:c r="A58" s="52"/>
    </x:row>
    <x:row r="59">
      <x:c r="A59" s="52"/>
    </x:row>
    <x:row r="60">
      <x:c r="A60" s="52"/>
    </x:row>
    <x:row r="61">
      <x:c r="A61" s="52"/>
    </x:row>
    <x:row r="62">
      <x:c r="A62" s="52"/>
    </x:row>
    <x:row r="63">
      <x:c r="A63" s="52"/>
    </x:row>
    <x:row r="64">
      <x:c r="A64" s="52"/>
    </x:row>
    <x:row r="65">
      <x:c r="A65" s="52"/>
    </x:row>
    <x:row r="66">
      <x:c r="A66" s="52"/>
    </x:row>
    <x:row r="67">
      <x:c r="A67" s="52"/>
    </x:row>
    <x:row r="68">
      <x:c r="A68" s="52"/>
    </x:row>
    <x:row r="69">
      <x:c r="A69" s="52"/>
    </x:row>
    <x:row r="70">
      <x:c r="A70" s="52"/>
    </x:row>
    <x:row r="71">
      <x:c r="A71" s="52"/>
    </x:row>
    <x:row r="72">
      <x:c r="A72" s="52"/>
    </x:row>
    <x:row r="73">
      <x:c r="A73" s="52"/>
    </x:row>
    <x:row r="74">
      <x:c r="A74" s="52"/>
    </x:row>
    <x:row r="75">
      <x:c r="A75" s="52"/>
    </x:row>
    <x:row r="76">
      <x:c r="A76" s="52"/>
    </x:row>
    <x:row r="77">
      <x:c r="A77" s="52"/>
    </x:row>
    <x:row r="78">
      <x:c r="A78" s="52"/>
    </x:row>
    <x:row r="79">
      <x:c r="A79" s="52"/>
    </x:row>
    <x:row r="80">
      <x:c r="A80" s="52"/>
    </x:row>
    <x:row r="81">
      <x:c r="A81" s="52"/>
    </x:row>
    <x:row r="82">
      <x:c r="A82" s="52"/>
    </x:row>
    <x:row r="83">
      <x:c r="A83" s="52"/>
    </x:row>
    <x:row r="84">
      <x:c r="A84" s="52"/>
    </x:row>
    <x:row r="85">
      <x:c r="A85" s="52"/>
    </x:row>
    <x:row r="86">
      <x:c r="A86" s="52"/>
    </x:row>
    <x:row r="87">
      <x:c r="A87" s="52"/>
    </x:row>
    <x:row r="88">
      <x:c r="A88" s="52"/>
    </x:row>
    <x:row r="89">
      <x:c r="A89" s="52"/>
    </x:row>
    <x:row r="90">
      <x:c r="A90" s="52"/>
    </x:row>
    <x:row r="91">
      <x:c r="A91" s="52"/>
    </x:row>
    <x:row r="92">
      <x:c r="A92" s="52"/>
    </x:row>
    <x:row r="93">
      <x:c r="A93" s="52"/>
    </x:row>
    <x:row r="94">
      <x:c r="A94" s="52"/>
    </x:row>
    <x:row r="95">
      <x:c r="A95" s="52"/>
    </x:row>
    <x:row r="96">
      <x:c r="A96" s="52"/>
    </x:row>
    <x:row r="97">
      <x:c r="A97" s="52"/>
    </x:row>
    <x:row r="98">
      <x:c r="A98" s="52"/>
    </x:row>
    <x:row r="99">
      <x:c r="A99" s="52"/>
    </x:row>
    <x:row r="100">
      <x:c r="A100" s="52"/>
    </x:row>
    <x:row r="101">
      <x:c r="A101" s="52"/>
    </x:row>
    <x:row r="102">
      <x:c r="A102" s="52"/>
    </x:row>
    <x:row r="103">
      <x:c r="A103" s="52"/>
    </x:row>
    <x:row r="104">
      <x:c r="A104" s="52"/>
    </x:row>
    <x:row r="105">
      <x:c r="A105" s="52"/>
    </x:row>
    <x:row r="106">
      <x:c r="A106" s="52"/>
    </x:row>
    <x:row r="107">
      <x:c r="A107" s="52"/>
    </x:row>
    <x:row r="108">
      <x:c r="A108" s="52"/>
    </x:row>
    <x:row r="109">
      <x:c r="A109" s="52"/>
    </x:row>
    <x:row r="110">
      <x:c r="A110" s="52"/>
    </x:row>
    <x:row r="111">
      <x:c r="A111" s="52"/>
    </x:row>
    <x:row r="112">
      <x:c r="A112" s="52"/>
    </x:row>
    <x:row r="113">
      <x:c r="A113" s="52"/>
    </x:row>
    <x:row r="114">
      <x:c r="A114" s="52"/>
    </x:row>
    <x:row r="115">
      <x:c r="A115" s="52"/>
    </x:row>
    <x:row r="116">
      <x:c r="A116" s="52"/>
    </x:row>
    <x:row r="117">
      <x:c r="A117" s="52"/>
    </x:row>
    <x:row r="118">
      <x:c r="A118" s="52"/>
    </x:row>
    <x:row r="119">
      <x:c r="A119" s="52"/>
    </x:row>
    <x:row r="120">
      <x:c r="A120" s="52"/>
    </x:row>
    <x:row r="121">
      <x:c r="A121" s="52"/>
    </x:row>
    <x:row r="122">
      <x:c r="A122" s="52"/>
    </x:row>
    <x:row r="123">
      <x:c r="A123" s="52"/>
    </x:row>
    <x:row r="124">
      <x:c r="A124" s="52"/>
    </x:row>
    <x:row r="125">
      <x:c r="A125" s="52"/>
    </x:row>
    <x:row r="126">
      <x:c r="A126" s="52"/>
    </x:row>
    <x:row r="127">
      <x:c r="A127" s="52"/>
    </x:row>
    <x:row r="128">
      <x:c r="A128" s="52"/>
    </x:row>
    <x:row r="129">
      <x:c r="A129" s="52"/>
    </x:row>
    <x:row r="130">
      <x:c r="A130" s="52"/>
    </x:row>
    <x:row r="131">
      <x:c r="A131" s="52"/>
    </x:row>
    <x:row r="132">
      <x:c r="A132" s="52"/>
    </x:row>
    <x:row r="133">
      <x:c r="A133" s="52"/>
    </x:row>
    <x:row r="134">
      <x:c r="A134" s="52"/>
    </x:row>
    <x:row r="135">
      <x:c r="A135" s="52"/>
    </x:row>
    <x:row r="136">
      <x:c r="A136" s="52"/>
    </x:row>
    <x:row r="137">
      <x:c r="A137" s="52"/>
    </x:row>
    <x:row r="138">
      <x:c r="A138" s="52"/>
    </x:row>
    <x:row r="139">
      <x:c r="A139" s="52"/>
    </x:row>
    <x:row r="140">
      <x:c r="A140" s="52"/>
    </x:row>
    <x:row r="141">
      <x:c r="A141" s="52"/>
    </x:row>
    <x:row r="142">
      <x:c r="A142" s="52"/>
    </x:row>
    <x:row r="143">
      <x:c r="A143" s="52"/>
    </x:row>
    <x:row r="144">
      <x:c r="A144" s="52"/>
    </x:row>
    <x:row r="145">
      <x:c r="A145" s="52"/>
    </x:row>
    <x:row r="146">
      <x:c r="A146" s="52"/>
    </x:row>
    <x:row r="147">
      <x:c r="A147" s="52"/>
    </x:row>
    <x:row r="148">
      <x:c r="A148" s="52"/>
    </x:row>
    <x:row r="149">
      <x:c r="A149" s="52"/>
    </x:row>
    <x:row r="150">
      <x:c r="A150" s="52"/>
    </x:row>
    <x:row r="151">
      <x:c r="A151" s="52"/>
    </x:row>
    <x:row r="152">
      <x:c r="A152" s="52"/>
    </x:row>
    <x:row r="153">
      <x:c r="A153" s="52"/>
    </x:row>
    <x:row r="154">
      <x:c r="A154" s="52"/>
    </x:row>
    <x:row r="155">
      <x:c r="A155" s="52"/>
    </x:row>
    <x:row r="156">
      <x:c r="A156" s="52"/>
    </x:row>
    <x:row r="157">
      <x:c r="A157" s="52"/>
    </x:row>
    <x:row r="158">
      <x:c r="A158" s="52"/>
    </x:row>
    <x:row r="159">
      <x:c r="A159" s="52"/>
    </x:row>
    <x:row r="160">
      <x:c r="A160" s="52"/>
    </x:row>
    <x:row r="161">
      <x:c r="A161" s="52"/>
    </x:row>
    <x:row r="162">
      <x:c r="A162" s="52"/>
    </x:row>
    <x:row r="163">
      <x:c r="A163" s="52"/>
    </x:row>
    <x:row r="164">
      <x:c r="A164" s="52"/>
    </x:row>
    <x:row r="165">
      <x:c r="A165" s="52"/>
    </x:row>
    <x:row r="166">
      <x:c r="A166" s="52"/>
    </x:row>
    <x:row r="167">
      <x:c r="A167" s="52"/>
    </x:row>
    <x:row r="168">
      <x:c r="A168" s="52"/>
    </x:row>
    <x:row r="169">
      <x:c r="A169" s="52"/>
    </x:row>
    <x:row r="170">
      <x:c r="A170" s="52"/>
    </x:row>
    <x:row r="171">
      <x:c r="A171" s="52"/>
    </x:row>
    <x:row r="172">
      <x:c r="A172" s="52"/>
    </x:row>
    <x:row r="173">
      <x:c r="A173" s="52"/>
    </x:row>
    <x:row r="174">
      <x:c r="A174" s="52"/>
    </x:row>
    <x:row r="175">
      <x:c r="A175" s="52"/>
    </x:row>
    <x:row r="176">
      <x:c r="A176" s="52"/>
    </x:row>
    <x:row r="177">
      <x:c r="A177" s="52"/>
    </x:row>
    <x:row r="178">
      <x:c r="A178" s="52"/>
    </x:row>
    <x:row r="179">
      <x:c r="A179" s="52"/>
    </x:row>
    <x:row r="180">
      <x:c r="A180" s="52"/>
    </x:row>
    <x:row r="181">
      <x:c r="A181" s="52"/>
    </x:row>
    <x:row r="182">
      <x:c r="A182" s="52"/>
    </x:row>
    <x:row r="183">
      <x:c r="A183" s="52"/>
    </x:row>
    <x:row r="184">
      <x:c r="A184" s="52"/>
    </x:row>
    <x:row r="185">
      <x:c r="A185" s="52"/>
    </x:row>
    <x:row r="186">
      <x:c r="A186" s="52"/>
    </x:row>
    <x:row r="187">
      <x:c r="A187" s="52"/>
    </x:row>
    <x:row r="188">
      <x:c r="A188" s="52"/>
    </x:row>
    <x:row r="189">
      <x:c r="A189" s="52"/>
    </x:row>
    <x:row r="190">
      <x:c r="A190" s="52"/>
    </x:row>
    <x:row r="191">
      <x:c r="A191" s="52"/>
    </x:row>
    <x:row r="192">
      <x:c r="A192" s="52"/>
    </x:row>
    <x:row r="193">
      <x:c r="A193" s="52"/>
    </x:row>
    <x:row r="194">
      <x:c r="A194" s="52"/>
    </x:row>
    <x:row r="195">
      <x:c r="A195" s="52"/>
    </x:row>
    <x:row r="196">
      <x:c r="A196" s="52"/>
    </x:row>
    <x:row r="197">
      <x:c r="A197" s="52"/>
    </x:row>
    <x:row r="198">
      <x:c r="A198" s="52"/>
    </x:row>
    <x:row r="199">
      <x:c r="A199" s="52"/>
    </x:row>
    <x:row r="200">
      <x:c r="A200" s="52"/>
    </x:row>
    <x:row r="201">
      <x:c r="A201" s="52"/>
    </x:row>
    <x:row r="202">
      <x:c r="A202" s="52"/>
    </x:row>
    <x:row r="203">
      <x:c r="A203" s="52"/>
    </x:row>
    <x:row r="204">
      <x:c r="A204" s="52"/>
    </x:row>
    <x:row r="205">
      <x:c r="A205" s="52"/>
    </x:row>
    <x:row r="206">
      <x:c r="A206" s="52"/>
    </x:row>
    <x:row r="207">
      <x:c r="A207" s="52"/>
    </x:row>
    <x:row r="208">
      <x:c r="A208" s="52"/>
    </x:row>
    <x:row r="209">
      <x:c r="A209" s="52"/>
    </x:row>
    <x:row r="210">
      <x:c r="A210" s="52"/>
    </x:row>
    <x:row r="211">
      <x:c r="A211" s="52"/>
    </x:row>
    <x:row r="212">
      <x:c r="A212" s="52"/>
    </x:row>
    <x:row r="213">
      <x:c r="A213" s="52"/>
    </x:row>
    <x:row r="214">
      <x:c r="A214" s="52"/>
    </x:row>
    <x:row r="215">
      <x:c r="A215" s="52"/>
    </x:row>
    <x:row r="216">
      <x:c r="A216" s="52"/>
    </x:row>
    <x:row r="217">
      <x:c r="A217" s="52"/>
    </x:row>
    <x:row r="218">
      <x:c r="A218" s="52"/>
    </x:row>
    <x:row r="219">
      <x:c r="A219" s="52"/>
    </x:row>
    <x:row r="220">
      <x:c r="A220" s="52"/>
    </x:row>
    <x:row r="221">
      <x:c r="A221" s="52"/>
    </x:row>
    <x:row r="222">
      <x:c r="A222" s="52"/>
    </x:row>
    <x:row r="223">
      <x:c r="A223" s="52"/>
    </x:row>
    <x:row r="224">
      <x:c r="A224" s="52"/>
    </x:row>
    <x:row r="225">
      <x:c r="A225" s="52"/>
    </x:row>
    <x:row r="226">
      <x:c r="A226" s="52"/>
    </x:row>
    <x:row r="227">
      <x:c r="A227" s="52"/>
    </x:row>
    <x:row r="228">
      <x:c r="A228" s="52"/>
    </x:row>
    <x:row r="229">
      <x:c r="A229" s="52"/>
    </x:row>
    <x:row r="230">
      <x:c r="A230" s="52"/>
    </x:row>
    <x:row r="231">
      <x:c r="A231" s="52"/>
    </x:row>
    <x:row r="232">
      <x:c r="A232" s="52"/>
    </x:row>
    <x:row r="233">
      <x:c r="A233" s="52"/>
    </x:row>
    <x:row r="234">
      <x:c r="A234" s="52"/>
    </x:row>
    <x:row r="235">
      <x:c r="A235" s="52"/>
    </x:row>
    <x:row r="236">
      <x:c r="A236" s="52"/>
    </x:row>
    <x:row r="237">
      <x:c r="A237" s="52"/>
    </x:row>
    <x:row r="238">
      <x:c r="A238" s="52"/>
    </x:row>
    <x:row r="239">
      <x:c r="A239" s="52"/>
    </x:row>
    <x:row r="240">
      <x:c r="A240" s="52"/>
    </x:row>
    <x:row r="241">
      <x:c r="A241" s="52"/>
    </x:row>
    <x:row r="242">
      <x:c r="A242" s="52"/>
    </x:row>
    <x:row r="243">
      <x:c r="A243" s="52"/>
    </x:row>
    <x:row r="244">
      <x:c r="A244" s="52"/>
    </x:row>
    <x:row r="245">
      <x:c r="A245" s="52"/>
    </x:row>
    <x:row r="246">
      <x:c r="A246" s="52"/>
    </x:row>
    <x:row r="247">
      <x:c r="A247" s="52"/>
    </x:row>
    <x:row r="248">
      <x:c r="A248" s="52"/>
    </x:row>
    <x:row r="249">
      <x:c r="A249" s="52"/>
    </x:row>
    <x:row r="250">
      <x:c r="A250" s="52"/>
    </x:row>
    <x:row r="251">
      <x:c r="A251" s="52"/>
    </x:row>
    <x:row r="252">
      <x:c r="A252" s="52"/>
    </x:row>
    <x:row r="253">
      <x:c r="A253" s="52"/>
    </x:row>
    <x:row r="254">
      <x:c r="A254" s="52"/>
    </x:row>
    <x:row r="255">
      <x:c r="A255" s="52"/>
    </x:row>
    <x:row r="256">
      <x:c r="A256" s="52"/>
    </x:row>
    <x:row r="257">
      <x:c r="A257" s="52"/>
    </x:row>
    <x:row r="258">
      <x:c r="A258" s="52"/>
    </x:row>
    <x:row r="259">
      <x:c r="A259" s="52"/>
    </x:row>
    <x:row r="260">
      <x:c r="A260" s="52"/>
    </x:row>
    <x:row r="261">
      <x:c r="A261" s="52"/>
    </x:row>
    <x:row r="262">
      <x:c r="A262" s="52"/>
    </x:row>
    <x:row r="263">
      <x:c r="A263" s="52"/>
    </x:row>
    <x:row r="264">
      <x:c r="A264" s="52"/>
    </x:row>
    <x:row r="265">
      <x:c r="A265" s="52"/>
    </x:row>
    <x:row r="266">
      <x:c r="A266" s="52"/>
    </x:row>
    <x:row r="267">
      <x:c r="A267" s="52"/>
    </x:row>
    <x:row r="268">
      <x:c r="A268" s="52"/>
    </x:row>
    <x:row r="269">
      <x:c r="A269" s="52"/>
    </x:row>
    <x:row r="270">
      <x:c r="A270" s="52"/>
    </x:row>
    <x:row r="271">
      <x:c r="A271" s="52"/>
    </x:row>
    <x:row r="272">
      <x:c r="A272" s="52"/>
    </x:row>
    <x:row r="273">
      <x:c r="A273" s="52"/>
    </x:row>
    <x:row r="274">
      <x:c r="A274" s="52"/>
    </x:row>
    <x:row r="275">
      <x:c r="A275" s="52"/>
    </x:row>
    <x:row r="276">
      <x:c r="A276" s="52"/>
    </x:row>
    <x:row r="277">
      <x:c r="A277" s="52"/>
    </x:row>
    <x:row r="278">
      <x:c r="A278" s="52"/>
    </x:row>
    <x:row r="279">
      <x:c r="A279" s="52"/>
    </x:row>
    <x:row r="280">
      <x:c r="A280" s="52"/>
    </x:row>
    <x:row r="281">
      <x:c r="A281" s="52"/>
    </x:row>
    <x:row r="282">
      <x:c r="A282" s="52"/>
    </x:row>
    <x:row r="283">
      <x:c r="A283" s="52"/>
    </x:row>
    <x:row r="284">
      <x:c r="A284" s="52"/>
    </x:row>
    <x:row r="285">
      <x:c r="A285" s="52"/>
    </x:row>
    <x:row r="286">
      <x:c r="A286" s="52"/>
    </x:row>
    <x:row r="287">
      <x:c r="A287" s="52"/>
    </x:row>
    <x:row r="288">
      <x:c r="A288" s="52"/>
    </x:row>
    <x:row r="289">
      <x:c r="A289" s="52"/>
    </x:row>
    <x:row r="290">
      <x:c r="A290" s="52"/>
    </x:row>
    <x:row r="291">
      <x:c r="A291" s="52"/>
    </x:row>
    <x:row r="292">
      <x:c r="A292" s="52"/>
    </x:row>
    <x:row r="293">
      <x:c r="A293" s="52"/>
    </x:row>
    <x:row r="294">
      <x:c r="A294" s="52"/>
    </x:row>
    <x:row r="295">
      <x:c r="A295" s="52"/>
    </x:row>
    <x:row r="296">
      <x:c r="A296" s="52"/>
    </x:row>
    <x:row r="297">
      <x:c r="A297" s="52"/>
    </x:row>
    <x:row r="298">
      <x:c r="A298" s="52"/>
    </x:row>
    <x:row r="299">
      <x:c r="A299" s="52"/>
    </x:row>
    <x:row r="300">
      <x:c r="A300" s="52"/>
    </x:row>
    <x:row r="301">
      <x:c r="A301" s="52"/>
    </x:row>
    <x:row r="302">
      <x:c r="A302" s="52"/>
    </x:row>
    <x:row r="303">
      <x:c r="A303" s="52"/>
    </x:row>
    <x:row r="304">
      <x:c r="A304" s="52"/>
    </x:row>
    <x:row r="305">
      <x:c r="A305" s="52"/>
    </x:row>
    <x:row r="306">
      <x:c r="A306" s="52"/>
    </x:row>
    <x:row r="307">
      <x:c r="A307" s="52"/>
    </x:row>
    <x:row r="308">
      <x:c r="A308" s="52"/>
    </x:row>
    <x:row r="309">
      <x:c r="A309" s="52"/>
    </x:row>
    <x:row r="310">
      <x:c r="A310" s="52"/>
    </x:row>
    <x:row r="311">
      <x:c r="A311" s="52"/>
    </x:row>
    <x:row r="312">
      <x:c r="A312" s="52"/>
    </x:row>
    <x:row r="313">
      <x:c r="A313" s="52"/>
    </x:row>
    <x:row r="314">
      <x:c r="A314" s="52"/>
    </x:row>
    <x:row r="315">
      <x:c r="A315" s="52"/>
    </x:row>
    <x:row r="316">
      <x:c r="A316" s="52"/>
    </x:row>
    <x:row r="317">
      <x:c r="A317" s="52"/>
    </x:row>
    <x:row r="318">
      <x:c r="A318" s="52"/>
    </x:row>
    <x:row r="319">
      <x:c r="A319" s="52"/>
    </x:row>
    <x:row r="320">
      <x:c r="A320" s="52"/>
    </x:row>
    <x:row r="321">
      <x:c r="A321" s="52"/>
    </x:row>
    <x:row r="322">
      <x:c r="A322" s="52"/>
    </x:row>
    <x:row r="323">
      <x:c r="A323" s="52"/>
    </x:row>
    <x:row r="324">
      <x:c r="A324" s="52"/>
    </x:row>
    <x:row r="325">
      <x:c r="A325" s="52"/>
    </x:row>
    <x:row r="326">
      <x:c r="A326" s="52"/>
    </x:row>
    <x:row r="327">
      <x:c r="A327" s="52"/>
    </x:row>
    <x:row r="328">
      <x:c r="A328" s="52"/>
    </x:row>
    <x:row r="329">
      <x:c r="A329" s="52"/>
    </x:row>
    <x:row r="330">
      <x:c r="A330" s="52"/>
    </x:row>
    <x:row r="331">
      <x:c r="A331" s="52"/>
    </x:row>
    <x:row r="332">
      <x:c r="A332" s="52"/>
    </x:row>
    <x:row r="333">
      <x:c r="A333" s="52"/>
    </x:row>
    <x:row r="334">
      <x:c r="A334" s="52"/>
    </x:row>
    <x:row r="335">
      <x:c r="A335" s="52"/>
    </x:row>
    <x:row r="336">
      <x:c r="A336" s="52"/>
    </x:row>
    <x:row r="337">
      <x:c r="A337" s="52"/>
    </x:row>
    <x:row r="338">
      <x:c r="A338" s="52"/>
    </x:row>
    <x:row r="339">
      <x:c r="A339" s="52"/>
    </x:row>
    <x:row r="340">
      <x:c r="A340" s="52"/>
    </x:row>
    <x:row r="341">
      <x:c r="A341" s="52"/>
    </x:row>
    <x:row r="342">
      <x:c r="A342" s="52"/>
    </x:row>
    <x:row r="343">
      <x:c r="A343" s="52"/>
    </x:row>
    <x:row r="344">
      <x:c r="A344" s="52"/>
    </x:row>
    <x:row r="345">
      <x:c r="A345" s="52"/>
    </x:row>
    <x:row r="346">
      <x:c r="A346" s="52"/>
    </x:row>
    <x:row r="347">
      <x:c r="A347" s="52"/>
    </x:row>
    <x:row r="348">
      <x:c r="A348" s="52"/>
    </x:row>
    <x:row r="349">
      <x:c r="A349" s="52"/>
    </x:row>
    <x:row r="350">
      <x:c r="A350" s="52"/>
    </x:row>
    <x:row r="351">
      <x:c r="A351" s="52"/>
    </x:row>
    <x:row r="352">
      <x:c r="A352" s="52"/>
    </x:row>
    <x:row r="353">
      <x:c r="A353" s="52"/>
    </x:row>
    <x:row r="354">
      <x:c r="A354" s="52"/>
    </x:row>
    <x:row r="355">
      <x:c r="A355" s="52"/>
    </x:row>
    <x:row r="356">
      <x:c r="A356" s="52"/>
    </x:row>
    <x:row r="357">
      <x:c r="A357" s="52"/>
    </x:row>
    <x:row r="358">
      <x:c r="A358" s="52"/>
    </x:row>
    <x:row r="359">
      <x:c r="A359" s="52"/>
    </x:row>
    <x:row r="360">
      <x:c r="A360" s="52"/>
    </x:row>
    <x:row r="361">
      <x:c r="A361" s="52"/>
    </x:row>
    <x:row r="362">
      <x:c r="A362" s="52"/>
    </x:row>
    <x:row r="363">
      <x:c r="A363" s="52"/>
    </x:row>
    <x:row r="364">
      <x:c r="A364" s="52"/>
    </x:row>
    <x:row r="365">
      <x:c r="A365" s="52"/>
    </x:row>
    <x:row r="366">
      <x:c r="A366" s="52"/>
    </x:row>
    <x:row r="367">
      <x:c r="A367" s="52"/>
    </x:row>
    <x:row r="368">
      <x:c r="A368" s="52"/>
    </x:row>
    <x:row r="369">
      <x:c r="A369" s="52"/>
    </x:row>
    <x:row r="370">
      <x:c r="A370" s="52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0e7f10a2a1414a6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22" hidden="0" customWidth="1"/>
    <x:col min="8" max="8" width="34" hidden="0" customWidth="1"/>
  </x:cols>
  <x:sheetData>
    <x:row r="1">
      <x:c r="A1" s="160" t="str">
        <x:v>V8 Live Snapshot Coverage — 02 August 2026</x:v>
      </x:c>
      <x:c r="B1" s="160"/>
      <x:c r="C1" s="160"/>
      <x:c r="D1" s="160"/>
      <x:c r="E1" s="160"/>
      <x:c r="F1" s="160"/>
      <x:c r="G1" s="160"/>
      <x:c r="H1" s="160"/>
    </x:row>
    <x:row r="2">
      <x:c r="A2" s="160"/>
      <x:c r="B2" s="160"/>
      <x:c r="C2" s="160"/>
      <x:c r="D2" s="160"/>
      <x:c r="E2" s="160"/>
      <x:c r="F2" s="160"/>
      <x:c r="G2" s="160"/>
      <x:c r="H2" s="160"/>
    </x:row>
    <x:row r="4">
      <x:c r="A4" s="162" t="str">
        <x:v>Agency</x:v>
      </x:c>
      <x:c r="B4" s="162" t="str">
        <x:v>Records Populated</x:v>
      </x:c>
      <x:c r="C4" s="162" t="str">
        <x:v>Official Page Reached</x:v>
      </x:c>
      <x:c r="D4" s="162" t="str">
        <x:v>Deadline Available</x:v>
      </x:c>
      <x:c r="E4" s="162" t="str">
        <x:v>Technical Fields Available</x:v>
      </x:c>
      <x:c r="F4" s="162" t="str">
        <x:v>Portal Restriction</x:v>
      </x:c>
      <x:c r="G4" s="162" t="str">
        <x:v>Current Result</x:v>
      </x:c>
      <x:c r="H4" s="162" t="str">
        <x:v>Next Action</x:v>
      </x:c>
    </x:row>
    <x:row r="5">
      <x:c r="A5" t="str">
        <x:v>SECI</x:v>
      </x:c>
      <x:c r="B5" t="n">
        <x:v>7</x:v>
      </x:c>
      <x:c r="C5" t="str">
        <x:v>Yes</x:v>
      </x:c>
      <x:c r="D5" t="str">
        <x:v>Yes</x:v>
      </x:c>
      <x:c r="E5" t="str">
        <x:v>Partial / detail pages</x:v>
      </x:c>
      <x:c r="F5" t="str">
        <x:v>No</x:v>
      </x:c>
      <x:c r="G5" t="str">
        <x:v>Populated</x:v>
      </x:c>
      <x:c r="H5" t="str">
        <x:v>Parse all RfS PDFs</x:v>
      </x:c>
    </x:row>
    <x:row r="6">
      <x:c r="A6" t="str">
        <x:v>NTPC REL</x:v>
      </x:c>
      <x:c r="B6" t="n">
        <x:v>5</x:v>
      </x:c>
      <x:c r="C6" t="str">
        <x:v>Yes</x:v>
      </x:c>
      <x:c r="D6" t="str">
        <x:v>Yes</x:v>
      </x:c>
      <x:c r="E6" t="str">
        <x:v>Capacity, storage and EMD</x:v>
      </x:c>
      <x:c r="F6" t="str">
        <x:v>No</x:v>
      </x:c>
      <x:c r="G6" t="str">
        <x:v>Populated</x:v>
      </x:c>
      <x:c r="H6" t="str">
        <x:v>Expand active NIT search</x:v>
      </x:c>
    </x:row>
    <x:row r="7">
      <x:c r="A7" t="str">
        <x:v>NHPC</x:v>
      </x:c>
      <x:c r="B7" t="n">
        <x:v>5</x:v>
      </x:c>
      <x:c r="C7" t="str">
        <x:v>Yes</x:v>
      </x:c>
      <x:c r="D7" t="str">
        <x:v>Partial</x:v>
      </x:c>
      <x:c r="E7" t="str">
        <x:v>Detailed capacity/storage/dispatch</x:v>
      </x:c>
      <x:c r="F7" t="str">
        <x:v>Some CPPP documents expire</x:v>
      </x:c>
      <x:c r="G7" t="str">
        <x:v>Populated</x:v>
      </x:c>
      <x:c r="H7" t="str">
        <x:v>Confirm latest deadlines for corrigendum-only records</x:v>
      </x:c>
    </x:row>
    <x:row r="8">
      <x:c r="A8" t="str">
        <x:v>SJVN</x:v>
      </x:c>
      <x:c r="B8" t="n">
        <x:v>2</x:v>
      </x:c>
      <x:c r="C8" t="str">
        <x:v>Yes</x:v>
      </x:c>
      <x:c r="D8" t="str">
        <x:v>Yes</x:v>
      </x:c>
      <x:c r="E8" t="str">
        <x:v>Title-level, some capacity</x:v>
      </x:c>
      <x:c r="F8" t="str">
        <x:v>No</x:v>
      </x:c>
      <x:c r="G8" t="str">
        <x:v>Populated</x:v>
      </x:c>
      <x:c r="H8" t="str">
        <x:v>Open individual tender details</x:v>
      </x:c>
    </x:row>
    <x:row r="9">
      <x:c r="A9" t="str">
        <x:v>MPUVNL</x:v>
      </x:c>
      <x:c r="B9" t="n">
        <x:v>2</x:v>
      </x:c>
      <x:c r="C9" t="str">
        <x:v>Yes</x:v>
      </x:c>
      <x:c r="D9" t="str">
        <x:v>Yes on one record</x:v>
      </x:c>
      <x:c r="E9" t="str">
        <x:v>EMD and dates available</x:v>
      </x:c>
      <x:c r="F9" t="str">
        <x:v>Document download may expire</x:v>
      </x:c>
      <x:c r="G9" t="str">
        <x:v>Populated</x:v>
      </x:c>
      <x:c r="H9" t="str">
        <x:v>Search active tender list for newer RE records</x:v>
      </x:c>
    </x:row>
    <x:row r="10">
      <x:c r="A10" t="str">
        <x:v>MSEDCL</x:v>
      </x:c>
      <x:c r="B10" t="n">
        <x:v>1</x:v>
      </x:c>
      <x:c r="C10" t="str">
        <x:v>Yes</x:v>
      </x:c>
      <x:c r="D10" t="str">
        <x:v>Not on listing</x:v>
      </x:c>
      <x:c r="E10" t="str">
        <x:v>Title-level</x:v>
      </x:c>
      <x:c r="F10" t="str">
        <x:v>No</x:v>
      </x:c>
      <x:c r="G10" t="str">
        <x:v>Populated as corrigendum</x:v>
      </x:c>
      <x:c r="H10" t="str">
        <x:v>Open RfS/corrigendum documents</x:v>
      </x:c>
    </x:row>
    <x:row r="11">
      <x:c r="A11" t="str">
        <x:v>GRIDCO</x:v>
      </x:c>
      <x:c r="B11" t="n">
        <x:v>2</x:v>
      </x:c>
      <x:c r="C11" t="str">
        <x:v>Yes</x:v>
      </x:c>
      <x:c r="D11" t="str">
        <x:v>Partial</x:v>
      </x:c>
      <x:c r="E11" t="str">
        <x:v>Capacity and storage on selected records</x:v>
      </x:c>
      <x:c r="F11" t="str">
        <x:v>No</x:v>
      </x:c>
      <x:c r="G11" t="str">
        <x:v>Populated</x:v>
      </x:c>
      <x:c r="H11" t="str">
        <x:v>Separate current and archive listings</x:v>
      </x:c>
    </x:row>
    <x:row r="12">
      <x:c r="A12" t="str">
        <x:v>PSPCL</x:v>
      </x:c>
      <x:c r="B12" t="n">
        <x:v>1</x:v>
      </x:c>
      <x:c r="C12" t="str">
        <x:v>Yes</x:v>
      </x:c>
      <x:c r="D12" t="str">
        <x:v>Not visible</x:v>
      </x:c>
      <x:c r="E12" t="str">
        <x:v>Title-level</x:v>
      </x:c>
      <x:c r="F12" t="str">
        <x:v>No</x:v>
      </x:c>
      <x:c r="G12" t="str">
        <x:v>Populated as EOI/corrigendum</x:v>
      </x:c>
      <x:c r="H12" t="str">
        <x:v>Open EOI PDF</x:v>
      </x:c>
    </x:row>
    <x:row r="13">
      <x:c r="A13" t="str">
        <x:v>Jodhpur VVNL</x:v>
      </x:c>
      <x:c r="B13" t="n">
        <x:v>1</x:v>
      </x:c>
      <x:c r="C13" t="str">
        <x:v>Yes</x:v>
      </x:c>
      <x:c r="D13" t="str">
        <x:v>Yes</x:v>
      </x:c>
      <x:c r="E13" t="str">
        <x:v>Title and dates</x:v>
      </x:c>
      <x:c r="F13" t="str">
        <x:v>Historical record</x:v>
      </x:c>
      <x:c r="G13" t="str">
        <x:v>Populated</x:v>
      </x:c>
      <x:c r="H13" t="str">
        <x:v>Search current PM-KUSUM tenders</x:v>
      </x:c>
    </x:row>
    <x:row r="14">
      <x:c r="A14" t="str">
        <x:v>Karnataka agencies</x:v>
      </x:c>
      <x:c r="B14" t="n">
        <x:v>0</x:v>
      </x:c>
      <x:c r="C14" t="str">
        <x:v>Portal reached</x:v>
      </x:c>
      <x:c r="D14" t="str">
        <x:v>Portal search required</x:v>
      </x:c>
      <x:c r="E14" t="str">
        <x:v>No extracted record</x:v>
      </x:c>
      <x:c r="F14" t="str">
        <x:v>KPPP organisation filters</x:v>
      </x:c>
      <x:c r="G14" t="str">
        <x:v>Manual verification</x:v>
      </x:c>
      <x:c r="H14" t="str">
        <x:v>Search KPPP by agency</x:v>
      </x:c>
    </x:row>
    <x:row r="15">
      <x:c r="A15" t="str">
        <x:v>AP / Telangana / Tamil Nadu</x:v>
      </x:c>
      <x:c r="B15" t="n">
        <x:v>0</x:v>
      </x:c>
      <x:c r="C15" t="str">
        <x:v>Partial</x:v>
      </x:c>
      <x:c r="D15" t="str">
        <x:v>No</x:v>
      </x:c>
      <x:c r="E15" t="str">
        <x:v>No</x:v>
      </x:c>
      <x:c r="F15" t="str">
        <x:v>Multiple portals</x:v>
      </x:c>
      <x:c r="G15" t="str">
        <x:v>Manual verification</x:v>
      </x:c>
      <x:c r="H15" t="str">
        <x:v>Portal-by-portal inspection</x:v>
      </x:c>
    </x:row>
    <x:row r="16">
      <x:c r="A16" t="str">
        <x:v>UPNEDA / BSPHCL / HAREDA</x:v>
      </x:c>
      <x:c r="B16" t="n">
        <x:v>0</x:v>
      </x:c>
      <x:c r="C16" t="str">
        <x:v>Partial</x:v>
      </x:c>
      <x:c r="D16" t="str">
        <x:v>No</x:v>
      </x:c>
      <x:c r="E16" t="str">
        <x:v>No</x:v>
      </x:c>
      <x:c r="F16" t="str">
        <x:v>Indexing / portal limits</x:v>
      </x:c>
      <x:c r="G16" t="str">
        <x:v>Manual verification</x:v>
      </x:c>
      <x:c r="H16" t="str">
        <x:v>Portal-by-portal inspection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5673f05744054673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0" hidden="0" customWidth="1"/>
    <x:col min="5" max="5" width="34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30" hidden="0" customWidth="1"/>
  </x:cols>
  <x:sheetData>
    <x:row r="1">
      <x:c r="A1" s="160" t="str">
        <x:v>Agencies Requiring Manual or Portal Verification</x:v>
      </x:c>
      <x:c r="B1" s="160"/>
      <x:c r="C1" s="160"/>
      <x:c r="D1" s="160"/>
      <x:c r="E1" s="160"/>
      <x:c r="F1" s="160"/>
      <x:c r="G1" s="160"/>
      <x:c r="H1" s="160"/>
      <x:c r="I1" s="160"/>
      <x:c r="J1" s="160"/>
    </x:row>
    <x:row r="2">
      <x:c r="A2" s="160"/>
      <x:c r="B2" s="160"/>
      <x:c r="C2" s="160"/>
      <x:c r="D2" s="160"/>
      <x:c r="E2" s="160"/>
      <x:c r="F2" s="160"/>
      <x:c r="G2" s="160"/>
      <x:c r="H2" s="160"/>
      <x:c r="I2" s="160"/>
      <x:c r="J2" s="160"/>
    </x:row>
    <x:row r="4">
      <x:c r="A4" s="162" t="str">
        <x:v>Priority</x:v>
      </x:c>
      <x:c r="B4" s="162" t="str">
        <x:v>Category</x:v>
      </x:c>
      <x:c r="C4" s="162" t="str">
        <x:v>Agency</x:v>
      </x:c>
      <x:c r="D4" s="162" t="str">
        <x:v>Likely Portal</x:v>
      </x:c>
      <x:c r="E4" s="162" t="str">
        <x:v>Reason Not Populated</x:v>
      </x:c>
      <x:c r="F4" s="162" t="str">
        <x:v>Required Action</x:v>
      </x:c>
      <x:c r="G4" s="162" t="str">
        <x:v>Last Attempt</x:v>
      </x:c>
      <x:c r="H4" s="162" t="str">
        <x:v>Status</x:v>
      </x:c>
      <x:c r="I4" s="162" t="str">
        <x:v>Owner</x:v>
      </x:c>
      <x:c r="J4" s="162" t="str">
        <x:v>Notes</x:v>
      </x:c>
    </x:row>
    <x:row r="5">
      <x:c r="A5" t="str">
        <x:v>High</x:v>
      </x:c>
      <x:c r="B5" t="str">
        <x:v>Central</x:v>
      </x:c>
      <x:c r="C5" t="str">
        <x:v>NHPC</x:v>
      </x:c>
      <x:c r="D5" t="str">
        <x:v>NHPC official tenders / CPPP</x:v>
      </x:c>
      <x:c r="E5" t="str">
        <x:v>No current RE-specific rows reliably indexed</x:v>
      </x:c>
      <x:c r="F5" t="str">
        <x:v>Inspect official tender listings and PDFs</x:v>
      </x:c>
      <x:c r="G5" s="52" t="n">
        <x:v>46236</x:v>
      </x:c>
      <x:c r="H5" t="str">
        <x:v>Pending</x:v>
      </x:c>
      <x:c r="I5" t="str"/>
      <x:c r="J5" t="str"/>
    </x:row>
    <x:row r="6">
      <x:c r="A6" t="str">
        <x:v>High</x:v>
      </x:c>
      <x:c r="B6" t="str">
        <x:v>Rajasthan</x:v>
      </x:c>
      <x:c r="C6" t="str">
        <x:v>RUVNL / RVPN</x:v>
      </x:c>
      <x:c r="D6" t="str">
        <x:v>Rajasthan eProcurement</x:v>
      </x:c>
      <x:c r="E6" t="str">
        <x:v>Tender data not reliably indexed</x:v>
      </x:c>
      <x:c r="F6" t="str">
        <x:v>Search state portal by organisation and RE keywords</x:v>
      </x:c>
      <x:c r="G6" s="52" t="n">
        <x:v>46236</x:v>
      </x:c>
      <x:c r="H6" t="str">
        <x:v>Pending</x:v>
      </x:c>
      <x:c r="I6" t="str"/>
      <x:c r="J6" t="str"/>
    </x:row>
    <x:row r="7">
      <x:c r="A7" t="str">
        <x:v>High</x:v>
      </x:c>
      <x:c r="B7" t="str">
        <x:v>Karnataka</x:v>
      </x:c>
      <x:c r="C7" t="str">
        <x:v>KREDL / KPTCL / KPCL</x:v>
      </x:c>
      <x:c r="D7" t="str">
        <x:v>Karnataka Public Procurement Portal</x:v>
      </x:c>
      <x:c r="E7" t="str">
        <x:v>Tender pages may require portal navigation</x:v>
      </x:c>
      <x:c r="F7" t="str">
        <x:v>Search solar, wind, BESS and hybrid keywords</x:v>
      </x:c>
      <x:c r="G7" s="52" t="n">
        <x:v>46236</x:v>
      </x:c>
      <x:c r="H7" t="str">
        <x:v>Pending</x:v>
      </x:c>
      <x:c r="I7" t="str"/>
      <x:c r="J7" t="str"/>
    </x:row>
    <x:row r="8">
      <x:c r="A8" t="str">
        <x:v>High</x:v>
      </x:c>
      <x:c r="B8" t="str">
        <x:v>Madhya Pradesh</x:v>
      </x:c>
      <x:c r="C8" t="str">
        <x:v>MPUVNL / MPPMCL</x:v>
      </x:c>
      <x:c r="D8" t="str">
        <x:v>MP eProcurement</x:v>
      </x:c>
      <x:c r="E8" t="str">
        <x:v>Portal-specific search required</x:v>
      </x:c>
      <x:c r="F8" t="str">
        <x:v>Search by agency and procurement category</x:v>
      </x:c>
      <x:c r="G8" s="52" t="n">
        <x:v>46236</x:v>
      </x:c>
      <x:c r="H8" t="str">
        <x:v>Pending</x:v>
      </x:c>
      <x:c r="I8" t="str"/>
      <x:c r="J8" t="str"/>
    </x:row>
    <x:row r="9">
      <x:c r="A9" t="str">
        <x:v>Medium</x:v>
      </x:c>
      <x:c r="B9" t="str">
        <x:v>Andhra Pradesh</x:v>
      </x:c>
      <x:c r="C9" t="str">
        <x:v>APSPDCL / APGENCO / NREDCAP</x:v>
      </x:c>
      <x:c r="D9" t="str">
        <x:v>AP eProcurement</x:v>
      </x:c>
      <x:c r="E9" t="str">
        <x:v>Multiple agency portals</x:v>
      </x:c>
      <x:c r="F9" t="str">
        <x:v>Search tender and procurement pages</x:v>
      </x:c>
      <x:c r="G9" s="52" t="n">
        <x:v>46236</x:v>
      </x:c>
      <x:c r="H9" t="str">
        <x:v>Pending</x:v>
      </x:c>
      <x:c r="I9" t="str"/>
      <x:c r="J9" t="str"/>
    </x:row>
    <x:row r="10">
      <x:c r="A10" t="str">
        <x:v>Medium</x:v>
      </x:c>
      <x:c r="B10" t="str">
        <x:v>Telangana</x:v>
      </x:c>
      <x:c r="C10" t="str">
        <x:v>TGNPDCL / TSSPDCL</x:v>
      </x:c>
      <x:c r="D10" t="str">
        <x:v>Telangana eProcurement</x:v>
      </x:c>
      <x:c r="E10" t="str">
        <x:v>Multiple agency portals</x:v>
      </x:c>
      <x:c r="F10" t="str">
        <x:v>Search RE procurement notices</x:v>
      </x:c>
      <x:c r="G10" s="52" t="n">
        <x:v>46236</x:v>
      </x:c>
      <x:c r="H10" t="str">
        <x:v>Pending</x:v>
      </x:c>
      <x:c r="I10" t="str"/>
      <x:c r="J10" t="str"/>
    </x:row>
    <x:row r="11">
      <x:c r="A11" t="str">
        <x:v>Medium</x:v>
      </x:c>
      <x:c r="B11" t="str">
        <x:v>Tamil Nadu</x:v>
      </x:c>
      <x:c r="C11" t="str">
        <x:v>TNGECL / TANTRANSCO</x:v>
      </x:c>
      <x:c r="D11" t="str">
        <x:v>Tamil Nadu tenders portal</x:v>
      </x:c>
      <x:c r="E11" t="str">
        <x:v>Portal and organisation filters required</x:v>
      </x:c>
      <x:c r="F11" t="str">
        <x:v>Search BESS, solar, wind and RTC</x:v>
      </x:c>
      <x:c r="G11" s="52" t="n">
        <x:v>46236</x:v>
      </x:c>
      <x:c r="H11" t="str">
        <x:v>Pending</x:v>
      </x:c>
      <x:c r="I11" t="str"/>
      <x:c r="J11" t="str"/>
    </x:row>
    <x:row r="12">
      <x:c r="A12" t="str">
        <x:v>Medium</x:v>
      </x:c>
      <x:c r="B12" t="str">
        <x:v>Haryana</x:v>
      </x:c>
      <x:c r="C12" t="str">
        <x:v>HAREDA</x:v>
      </x:c>
      <x:c r="D12" t="str">
        <x:v>Haryana eProcurement</x:v>
      </x:c>
      <x:c r="E12" t="str">
        <x:v>No current indexed result located</x:v>
      </x:c>
      <x:c r="F12" t="str">
        <x:v>Search official portal and notices</x:v>
      </x:c>
      <x:c r="G12" s="52" t="n">
        <x:v>46236</x:v>
      </x:c>
      <x:c r="H12" t="str">
        <x:v>Pending</x:v>
      </x:c>
      <x:c r="I12" t="str"/>
      <x:c r="J12" t="str"/>
    </x:row>
    <x:row r="13">
      <x:c r="A13" t="str">
        <x:v>Medium</x:v>
      </x:c>
      <x:c r="B13" t="str">
        <x:v>Uttar Pradesh</x:v>
      </x:c>
      <x:c r="C13" t="str">
        <x:v>UPNEDA</x:v>
      </x:c>
      <x:c r="D13" t="str">
        <x:v>UP eTender</x:v>
      </x:c>
      <x:c r="E13" t="str">
        <x:v>No current indexed result located</x:v>
      </x:c>
      <x:c r="F13" t="str">
        <x:v>Search official portal and notices</x:v>
      </x:c>
      <x:c r="G13" s="52" t="n">
        <x:v>46236</x:v>
      </x:c>
      <x:c r="H13" t="str">
        <x:v>Pending</x:v>
      </x:c>
      <x:c r="I13" t="str"/>
      <x:c r="J13" t="str"/>
    </x:row>
    <x:row r="14">
      <x:c r="A14" t="str">
        <x:v>Medium</x:v>
      </x:c>
      <x:c r="B14" t="str">
        <x:v>Bihar</x:v>
      </x:c>
      <x:c r="C14" t="str">
        <x:v>BSPHCL</x:v>
      </x:c>
      <x:c r="D14" t="str">
        <x:v>Bihar eProcurement</x:v>
      </x:c>
      <x:c r="E14" t="str">
        <x:v>No current indexed result located</x:v>
      </x:c>
      <x:c r="F14" t="str">
        <x:v>Search official portal and notices</x:v>
      </x:c>
      <x:c r="G14" s="52" t="n">
        <x:v>46236</x:v>
      </x:c>
      <x:c r="H14" t="str">
        <x:v>Pending</x:v>
      </x:c>
      <x:c r="I14" t="str"/>
      <x:c r="J14" t="str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043ace0d3af54cfc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4" hidden="0" customWidth="1"/>
    <x:col min="21" max="21" width="34" hidden="0" customWidth="1"/>
    <x:col min="22" max="22" width="3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22" hidden="0" customWidth="1"/>
  </x:cols>
  <x:sheetData>
    <x:row r="1">
      <x:c r="A1" s="214" t="str">
        <x:v>Current Utility-Scale Power Procurement Tenders</x:v>
      </x:c>
      <x:c r="B1" s="214"/>
      <x:c r="C1" s="214"/>
      <x:c r="D1" s="214"/>
      <x:c r="E1" s="214"/>
      <x:c r="F1" s="214"/>
      <x:c r="G1" s="214"/>
      <x:c r="H1" s="214"/>
      <x:c r="I1" s="214"/>
      <x:c r="J1" s="214"/>
      <x:c r="K1" s="214"/>
      <x:c r="L1" s="214"/>
      <x:c r="M1" s="214"/>
      <x:c r="N1" s="214"/>
      <x:c r="O1" s="214"/>
      <x:c r="P1" s="214"/>
      <x:c r="Q1" s="214"/>
      <x:c r="R1" s="214"/>
      <x:c r="S1" s="214"/>
      <x:c r="T1" s="214"/>
      <x:c r="U1" s="214"/>
      <x:c r="V1" s="214"/>
      <x:c r="W1" s="214"/>
      <x:c r="X1" s="214"/>
      <x:c r="Y1" s="214"/>
      <x:c r="Z1" s="214"/>
      <x:c r="AA1" s="214"/>
      <x:c r="AB1" s="214"/>
      <x:c r="AC1" s="214"/>
      <x:c r="AD1" s="214"/>
      <x:c r="AE1" s="214"/>
      <x:c r="AF1" s="214"/>
      <x:c r="AG1" s="214"/>
      <x:c r="AH1" s="214"/>
      <x:c r="AI1" s="214"/>
      <x:c r="AJ1" s="214"/>
      <x:c r="AK1" s="216"/>
      <x:c r="AL1" s="216"/>
      <x:c r="AM1" s="216"/>
      <x:c r="AN1" s="216"/>
      <x:c r="AO1" s="216"/>
      <x:c r="AP1" s="216"/>
      <x:c r="AQ1" s="216"/>
      <x:c r="AR1" s="216"/>
      <x:c r="AS1" s="216"/>
      <x:c r="AT1" s="216"/>
      <x:c r="AU1" s="216"/>
      <x:c r="AV1" s="216"/>
      <x:c r="AW1" s="216"/>
    </x:row>
    <x:row r="2">
      <x:c r="A2" s="214"/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  <x:c r="S2" s="214"/>
      <x:c r="T2" s="214"/>
      <x:c r="U2" s="214"/>
      <x:c r="V2" s="214"/>
      <x:c r="W2" s="214"/>
      <x:c r="X2" s="214"/>
      <x:c r="Y2" s="214"/>
      <x:c r="Z2" s="214"/>
      <x:c r="AA2" s="214"/>
      <x:c r="AB2" s="214"/>
      <x:c r="AC2" s="214"/>
      <x:c r="AD2" s="214"/>
      <x:c r="AE2" s="214"/>
      <x:c r="AF2" s="214"/>
      <x:c r="AG2" s="214"/>
      <x:c r="AH2" s="214"/>
      <x:c r="AI2" s="214"/>
      <x:c r="AJ2" s="214"/>
      <x:c r="AK2" s="216"/>
      <x:c r="AL2" s="216"/>
      <x:c r="AM2" s="216"/>
      <x:c r="AN2" s="216"/>
      <x:c r="AO2" s="216"/>
      <x:c r="AP2" s="216"/>
      <x:c r="AQ2" s="216"/>
      <x:c r="AR2" s="216"/>
      <x:c r="AS2" s="216"/>
      <x:c r="AT2" s="216"/>
      <x:c r="AU2" s="216"/>
      <x:c r="AV2" s="216"/>
      <x:c r="AW2" s="216"/>
    </x:row>
    <x:row r="3">
      <x:c r="A3" s="217" t="str">
        <x:v>Supply, installation, EPC, turnkey and O&amp;M-only tenders are excluded. Detailed supply and penalty clauses are maintained on each Master row.</x:v>
      </x:c>
      <x:c r="B3" s="217"/>
      <x:c r="C3" s="217"/>
      <x:c r="D3" s="217"/>
      <x:c r="E3" s="217"/>
      <x:c r="F3" s="217"/>
      <x:c r="G3" s="217"/>
      <x:c r="H3" s="217"/>
      <x:c r="I3" s="217"/>
      <x:c r="J3" s="217"/>
      <x:c r="K3" s="217"/>
      <x:c r="L3" s="217"/>
      <x:c r="M3" s="217"/>
      <x:c r="N3" s="217"/>
      <x:c r="O3" s="217"/>
      <x:c r="P3" s="217"/>
      <x:c r="Q3" s="217"/>
      <x:c r="R3" s="217"/>
      <x:c r="S3" s="217"/>
      <x:c r="T3" s="217"/>
      <x:c r="U3" s="217"/>
      <x:c r="V3" s="217"/>
      <x:c r="W3" s="217"/>
      <x:c r="X3" s="217"/>
      <x:c r="Y3" s="217"/>
      <x:c r="Z3" s="217"/>
      <x:c r="AA3" s="217"/>
      <x:c r="AB3" s="217"/>
      <x:c r="AC3" s="217"/>
      <x:c r="AD3" s="217"/>
      <x:c r="AE3" s="217"/>
      <x:c r="AF3" s="217"/>
      <x:c r="AG3" s="217"/>
      <x:c r="AH3" s="217"/>
      <x:c r="AI3" s="217"/>
      <x:c r="AJ3" s="217"/>
      <x:c r="AK3" s="217"/>
      <x:c r="AL3" s="217"/>
      <x:c r="AM3" s="217"/>
      <x:c r="AN3" s="217"/>
      <x:c r="AO3" s="217"/>
      <x:c r="AP3" s="217"/>
      <x:c r="AQ3" s="217"/>
      <x:c r="AR3" s="217"/>
      <x:c r="AS3" s="217"/>
      <x:c r="AT3" s="217"/>
      <x:c r="AU3" s="217"/>
      <x:c r="AV3" s="217"/>
      <x:c r="AW3" s="217"/>
    </x:row>
    <x:row r="5">
      <x:c r="A5" s="213" t="str">
        <x:v>Tender ID</x:v>
      </x:c>
      <x:c r="B5" s="213" t="str">
        <x:v>Category</x:v>
      </x:c>
      <x:c r="C5" s="213" t="str">
        <x:v>Agency</x:v>
      </x:c>
      <x:c r="D5" s="213" t="str">
        <x:v>State</x:v>
      </x:c>
      <x:c r="E5" s="213" t="str">
        <x:v>Tender Number</x:v>
      </x:c>
      <x:c r="F5" s="213" t="str">
        <x:v>Technology</x:v>
      </x:c>
      <x:c r="G5" s="213" t="str">
        <x:v>Capacity MW</x:v>
      </x:c>
      <x:c r="H5" s="213" t="str">
        <x:v>Storage Required</x:v>
      </x:c>
      <x:c r="I5" s="213" t="str">
        <x:v>Storage Hours</x:v>
      </x:c>
      <x:c r="J5" s="213" t="str">
        <x:v>Dispatch Condition</x:v>
      </x:c>
      <x:c r="K5" s="213" t="str">
        <x:v>Minimum PLF %</x:v>
      </x:c>
      <x:c r="L5" s="213" t="str">
        <x:v>EMD</x:v>
      </x:c>
      <x:c r="M5" s="213" t="str">
        <x:v>BG / PBG Conditions</x:v>
      </x:c>
      <x:c r="N5" s="213" t="str">
        <x:v>Bid Submission Date</x:v>
      </x:c>
      <x:c r="O5" s="213" t="str">
        <x:v>Technical Opening</x:v>
      </x:c>
      <x:c r="P5" s="213" t="str">
        <x:v>Financial Opening</x:v>
      </x:c>
      <x:c r="Q5" s="213" t="str">
        <x:v>Status</x:v>
      </x:c>
      <x:c r="R5" s="213" t="str">
        <x:v>Last Updated</x:v>
      </x:c>
      <x:c r="S5" s="213" t="str">
        <x:v>Corrigendum Count</x:v>
      </x:c>
      <x:c r="T5" s="213" t="str">
        <x:v>Tender URL</x:v>
      </x:c>
      <x:c r="U5" s="213" t="str">
        <x:v>Document URL</x:v>
      </x:c>
      <x:c r="V5" s="213" t="str">
        <x:v>Remarks</x:v>
      </x:c>
      <x:c r="W5" s="213" t="str">
        <x:v>Days to Deadline</x:v>
      </x:c>
      <x:c r="X5" s="213" t="str">
        <x:v>Deadline Alert</x:v>
      </x:c>
      <x:c r="Y5" s="213" t="str">
        <x:v>Duplicate Key</x:v>
      </x:c>
      <x:c r="Z5" s="213" t="str">
        <x:v>Duplicate Flag</x:v>
      </x:c>
      <x:c r="AA5" s="213" t="str">
        <x:v>Change Fingerprint</x:v>
      </x:c>
      <x:c r="AB5" s="213" t="str">
        <x:v>Verified On</x:v>
      </x:c>
      <x:c r="AC5" s="213" t="str">
        <x:v>Source Quality</x:v>
      </x:c>
      <x:c r="AD5" s="213" t="str">
        <x:v>Data Completeness</x:v>
      </x:c>
      <x:c r="AE5" s="213" t="str">
        <x:v>Evidence Score</x:v>
      </x:c>
      <x:c r="AF5" s="213" t="str">
        <x:v>Opportunity Class</x:v>
      </x:c>
      <x:c r="AG5" s="213" t="str">
        <x:v>Tender Notification Date</x:v>
      </x:c>
      <x:c r="AH5" s="213" t="str">
        <x:v>Corrigendum Date(s)</x:v>
      </x:c>
      <x:c r="AI5" s="213" t="str">
        <x:v>Latest Corrigendum Date</x:v>
      </x:c>
      <x:c r="AJ5" s="213" t="str">
        <x:v>Corrigendum Details</x:v>
      </x:c>
      <x:c r="AK5" s="213" t="str">
        <x:v>Procurement Model</x:v>
      </x:c>
      <x:c r="AL5" s="213" t="str">
        <x:v>Supply Window / Dispatch Selection</x:v>
      </x:c>
      <x:c r="AM5" s="213" t="str">
        <x:v>Daily Supply Obligation</x:v>
      </x:c>
      <x:c r="AN5" s="213" t="str">
        <x:v>Monthly Minimum / Reconciliation</x:v>
      </x:c>
      <x:c r="AO5" s="213" t="str">
        <x:v>Annual PLF / CUF / Energy Requirement</x:v>
      </x:c>
      <x:c r="AP5" s="213" t="str">
        <x:v>Allowed Shortfall / Availability Tolerance</x:v>
      </x:c>
      <x:c r="AQ5" s="213" t="str">
        <x:v>Under-Supply Penalty</x:v>
      </x:c>
      <x:c r="AR5" s="213" t="str">
        <x:v>External / Exchange Energy Allowed</x:v>
      </x:c>
      <x:c r="AS5" s="213" t="str">
        <x:v>Maximum External Energy</x:v>
      </x:c>
      <x:c r="AT5" s="213" t="str">
        <x:v>Charging / External Energy Conditions</x:v>
      </x:c>
      <x:c r="AU5" s="213" t="str">
        <x:v>Third-Party / Merchant Use</x:v>
      </x:c>
      <x:c r="AV5" s="213" t="str">
        <x:v>Detailed Source Document</x:v>
      </x:c>
      <x:c r="AW5" s="213" t="str">
        <x:v>Technical Review Status</x:v>
      </x:c>
    </x:row>
    <x:row r="6">
      <x:c r="A6" t="str" cm="1">
        <x:f t="array" ref="A6:AW9">_xlfn._xlws.FILTER('Master Tenders'!A2:AW5,'Master Tenders'!A2:A5&lt;&gt;"","No eligible procurement tenders")</x:f>
        <x:v>SECI000249</x:v>
      </x:c>
      <x:c r="B6" t="str">
        <x:v>Central</x:v>
      </x:c>
      <x:c r="C6" t="str">
        <x:v>SECI</x:v>
      </x:c>
      <x:c r="D6" t="str">
        <x:v>All India</x:v>
      </x:c>
      <x:c r="E6" t="str">
        <x:v>SECI/C&amp;P/IPP/13/0002/26-27</x:v>
      </x:c>
      <x:c r="F6" t="str">
        <x:v>FDRE</x:v>
      </x:c>
      <x:c r="G6" t="n">
        <x:v>500</x:v>
      </x:c>
      <x:c r="H6" t="str">
        <x:v>Yes</x:v>
      </x:c>
      <x:c r="I6" t="n">
        <x:v>2</x:v>
      </x:c>
      <x:c r="J6" t="str">
        <x:v>Assured peak supply under CfD</x:v>
      </x:c>
      <x:c r="K6" t="n">
        <x:v>0</x:v>
      </x:c>
      <x:c r="L6" t="str">
        <x:v>As per RfS</x:v>
      </x:c>
      <x:c r="M6" t="str">
        <x:v>As per RfS</x:v>
      </x:c>
      <x:c r="N6" t="n">
        <x:v>46237.75</x:v>
      </x:c>
      <x:c r="O6" t="n">
        <x:v>0</x:v>
      </x:c>
      <x:c r="P6" t="n">
        <x:v>46240.416666666664</x:v>
      </x:c>
      <x:c r="Q6" t="str">
        <x:v>Open</x:v>
      </x:c>
      <x:c r="R6" t="n">
        <x:v>46236</x:v>
      </x:c>
      <x:c r="S6" t="n">
        <x:v>0</x:v>
      </x:c>
      <x:c r="T6" t="str">
        <x:v>https://www.seci.co.in/tenders/</x:v>
      </x:c>
      <x:c r="U6" t="n">
        <x:v>0</x:v>
      </x:c>
      <x:c r="V6" t="str">
        <x:v>1000 MWh = 500 MW x 2 hours</x:v>
      </x:c>
      <x:c r="W6" t="n">
        <x:v>1.75</x:v>
      </x:c>
      <x:c r="X6" t="str">
        <x:v>Urgent</x:v>
      </x:c>
      <x:c r="Y6" t="str">
        <x:v>SECI|SECI/C&amp;P/IPP/13/0002/26-27</x:v>
      </x:c>
      <x:c r="Z6" t="str">
        <x:v>Unique</x:v>
      </x:c>
      <x:c r="AA6" t="str">
        <x:v>SECI|SECI/C&amp;P/IPP/13/0002/26-27|20260803|Open|0|20260717</x:v>
      </x:c>
      <x:c r="AB6" t="n">
        <x:v>46236</x:v>
      </x:c>
      <x:c r="AC6" t="str">
        <x:v>Official agency page</x:v>
      </x:c>
      <x:c r="AD6" t="str">
        <x:v>Core fields</x:v>
      </x:c>
      <x:c r="AE6" t="n">
        <x:v>5</x:v>
      </x:c>
      <x:c r="AF6" t="str">
        <x:v>Current Opportunity</x:v>
      </x:c>
      <x:c r="AG6" t="n">
        <x:v>46131</x:v>
      </x:c>
      <x:c r="AH6" t="str">
        <x:v>2026-07-17</x:v>
      </x:c>
      <x:c r="AI6" t="n">
        <x:v>46220</x:v>
      </x:c>
      <x:c r="AJ6" t="str">
        <x:v>Amendment-01 uploaded 17-Jul-2026; revised RfS dated 15-Jul-2026</x:v>
      </x:c>
      <x:c r="AK6" t="str">
        <x:v>Contract for Difference (CfD); power sold through exchanges</x:v>
      </x:c>
      <x:c r="AL6" t="str">
        <x:v>RPD chooses any 2 hours daily between 18:00 and 24:00, within non-solar hours</x:v>
      </x:c>
      <x:c r="AM6" t="str">
        <x:v>2 MWh per MW contracted capacity per day; for 500 MW = 1,000 MWh/day</x:v>
      </x:c>
      <x:c r="AN6" t="str">
        <x:v>No monthly PLF stated. Performance tested weekly; penalties recovered monthly</x:v>
      </x:c>
      <x:c r="AO6" t="str">
        <x:v>100% of annual scheduled energy must be renewable. No annual PLF/CUF percentage stated</x:v>
      </x:c>
      <x:c r="AP6" t="str">
        <x:v>Up to 10% weekly shortfall permitted; minimum 90% of 14 MWh/MW per contract week</x:v>
      </x:c>
      <x:c r="AQ6" t="str">
        <x:v>Beyond 10% weekly shortfall: 1.5 × [highest applicable exchange MCP during non-solar hours minus strike price] × shortfall; no penalty when reference rate is below strike price; no CfD settlement for shortfall</x:v>
      </x:c>
      <x:c r="AR6" t="str">
        <x:v>Yes — green-market sources or bilateral RE agreements permitted</x:v>
      </x:c>
      <x:c r="AS6" t="str">
        <x:v>Up to 25% of total annual required energy</x:v>
      </x:c>
      <x:c r="AT6" t="str">
        <x:v>External RE can directly meet peak supply or charge ESS. Charging energy is not counted; only discharged energy counts. External-energy excess above 25% receives no CfD settlement</x:v>
      </x:c>
      <x:c r="AU6" t="str">
        <x:v>ESS may be used for merchant/third-party or exchange sale after completing the day’s 2 MWh/MW peak obligation; premature merchant sale attracts an additional penalty</x:v>
      </x:c>
      <x:c r="AV6" t="str">
        <x:v>https://www.seci.co.in/uploads/tenders/Revised_RfS_for_1000_MWh_assured_Peak_Supply_under_CfD_Mechanism_%28CfD-I%29.pdf</x:v>
      </x:c>
      <x:c r="AW6" t="str">
        <x:v>Verified from revised official RfS</x:v>
      </x:c>
    </x:row>
    <x:row r="7">
      <x:c r="A7" t="str">
        <x:v>SECI000258</x:v>
      </x:c>
      <x:c r="B7" t="str">
        <x:v>Central</x:v>
      </x:c>
      <x:c r="C7" t="str">
        <x:v>SECI</x:v>
      </x:c>
      <x:c r="D7" t="str">
        <x:v>All India</x:v>
      </x:c>
      <x:c r="E7" t="str">
        <x:v>SECI/C&amp;P/IPP/13/0006/26-27</x:v>
      </x:c>
      <x:c r="F7" t="str">
        <x:v>FDRE</x:v>
      </x:c>
      <x:c r="G7" t="n">
        <x:v>1200</x:v>
      </x:c>
      <x:c r="H7" t="str">
        <x:v>Yes</x:v>
      </x:c>
      <x:c r="I7" t="n">
        <x:v>4</x:v>
      </x:c>
      <x:c r="J7" t="str">
        <x:v>Assured peak supply</x:v>
      </x:c>
      <x:c r="K7" t="n">
        <x:v>0</x:v>
      </x:c>
      <x:c r="L7" t="str">
        <x:v>As per RfS</x:v>
      </x:c>
      <x:c r="M7" t="str">
        <x:v>As per RfS</x:v>
      </x:c>
      <x:c r="N7" t="n">
        <x:v>46241.75</x:v>
      </x:c>
      <x:c r="O7" t="n">
        <x:v>0</x:v>
      </x:c>
      <x:c r="P7" t="n">
        <x:v>46246.416666666664</x:v>
      </x:c>
      <x:c r="Q7" t="str">
        <x:v>Extended</x:v>
      </x:c>
      <x:c r="R7" t="n">
        <x:v>46236</x:v>
      </x:c>
      <x:c r="S7" t="n">
        <x:v>1</x:v>
      </x:c>
      <x:c r="T7" t="str">
        <x:v>https://www.seci.co.in/tender-details/Ymd_</x:v>
      </x:c>
      <x:c r="U7" t="n">
        <x:v>0</x:v>
      </x:c>
      <x:c r="V7" t="str">
        <x:v>Amendment-01 listed; online deadline passed, offline date 04-Aug-2026</x:v>
      </x:c>
      <x:c r="W7" t="n">
        <x:v>5.75</x:v>
      </x:c>
      <x:c r="X7" t="str">
        <x:v>Due in 7 Days</x:v>
      </x:c>
      <x:c r="Y7" t="str">
        <x:v>SECI|SECI/C&amp;P/IPP/13/0006/26-27</x:v>
      </x:c>
      <x:c r="Z7" t="str">
        <x:v>Unique</x:v>
      </x:c>
      <x:c r="AA7" t="str">
        <x:v>SECI|SECI/C&amp;P/IPP/13/0006/26-27|20260807|Extended|1|20260708</x:v>
      </x:c>
      <x:c r="AB7" t="n">
        <x:v>46236</x:v>
      </x:c>
      <x:c r="AC7" t="str">
        <x:v>Official agency page</x:v>
      </x:c>
      <x:c r="AD7" t="str">
        <x:v>Core fields</x:v>
      </x:c>
      <x:c r="AE7" t="n">
        <x:v>5</x:v>
      </x:c>
      <x:c r="AF7" t="str">
        <x:v>Current Opportunity</x:v>
      </x:c>
      <x:c r="AG7" t="n">
        <x:v>46178</x:v>
      </x:c>
      <x:c r="AH7" t="str">
        <x:v>2026-07-08</x:v>
      </x:c>
      <x:c r="AI7" t="n">
        <x:v>46211</x:v>
      </x:c>
      <x:c r="AJ7" t="str">
        <x:v>Amendment-01 uploaded 08-Jul-2026</x:v>
      </x:c>
      <x:c r="AK7" t="str">
        <x:v>Tariff-based competitive bidding with PPA/PSA</x:v>
      </x:c>
      <x:c r="AL7" t="str">
        <x:v>Buying Entity selects 4 hours daily across evening-to-next-morning non-solar peak hours; at least one continuous hour</x:v>
      </x:c>
      <x:c r="AM7" t="str">
        <x:v>4 MWh per MW contracted capacity per day; for 1,200 MW = 4,800 MWh/day</x:v>
      </x:c>
      <x:c r="AN7" t="str">
        <x:v>Monthly reconciliation. Minimum effective supply = 90% of monthly scheduled peak-energy requirement before penalty applies</x:v>
      </x:c>
      <x:c r="AO7" t="str">
        <x:v>100% annual offered energy must be renewable. No annual PLF/CUF percentage stated</x:v>
      </x:c>
      <x:c r="AP7" t="str">
        <x:v>Monthly shortfall up to 10% below required peak energy permitted</x:v>
      </x:c>
      <x:c r="AQ7" t="str">
        <x:v>Shortfall beyond 10% monthly: 1.5 × PPA tariff × energy shortfall</x:v>
      </x:c>
      <x:c r="AR7" t="str">
        <x:v>Yes — green-market sources or bilateral RE agreements permitted</x:v>
      </x:c>
      <x:c r="AS7" t="str">
        <x:v>Up to 5% of total annual required energy</x:v>
      </x:c>
      <x:c r="AT7" t="str">
        <x:v>External RE may directly meet peak requirements or charge ESS. Only discharged ESS energy counts toward the 5%; excess above 5% is unpaid and excluded from performance</x:v>
      </x:c>
      <x:c r="AU7" t="str">
        <x:v>ESS may be used outside peak hours for third-party/exchange sale after PPA obligations. Sale before fulfilling obligations attracts 1.5 × highest DAM/GDAM/RTM market rate per kWh, in addition to shortfall penalty</x:v>
      </x:c>
      <x:c r="AV7" t="str">
        <x:v>https://www.seci.co.in/uploads/tenders/RfS_for_4800_MWh_Peak_Supply_%28FDRE-IX%29-_final_upload.pdf</x:v>
      </x:c>
      <x:c r="AW7" t="str">
        <x:v>Verified from official RfS; latest SECI page shows revised bid dates</x:v>
      </x:c>
    </x:row>
    <x:row r="8">
      <x:c r="A8" t="str">
        <x:v>SJVN-BESS2</x:v>
      </x:c>
      <x:c r="B8" t="str">
        <x:v>Central</x:v>
      </x:c>
      <x:c r="C8" t="str">
        <x:v>SJVN</x:v>
      </x:c>
      <x:c r="D8" t="str">
        <x:v>Haryana</x:v>
      </x:c>
      <x:c r="E8" t="str">
        <x:v>SJVN/CCDelhi/REIA/2026/BESS-2</x:v>
      </x:c>
      <x:c r="F8" t="str">
        <x:v>BESS</x:v>
      </x:c>
      <x:c r="G8" t="n">
        <x:v>265</x:v>
      </x:c>
      <x:c r="H8" t="str">
        <x:v>Yes</x:v>
      </x:c>
      <x:c r="I8" t="n">
        <x:v>2</x:v>
      </x:c>
      <x:c r="J8" t="str">
        <x:v>Standalone BESS under VGF and TBCB</x:v>
      </x:c>
      <x:c r="K8" t="n">
        <x:v>0</x:v>
      </x:c>
      <x:c r="L8" t="n">
        <x:v>0</x:v>
      </x:c>
      <x:c r="M8" t="str">
        <x:v>As per RfS</x:v>
      </x:c>
      <x:c r="N8" t="n">
        <x:v>46255</x:v>
      </x:c>
      <x:c r="O8" t="n">
        <x:v>0</x:v>
      </x:c>
      <x:c r="P8" t="n">
        <x:v>0</x:v>
      </x:c>
      <x:c r="Q8" t="str">
        <x:v>Open</x:v>
      </x:c>
      <x:c r="R8" t="n">
        <x:v>46236</x:v>
      </x:c>
      <x:c r="S8" t="n">
        <x:v>0</x:v>
      </x:c>
      <x:c r="T8" t="str">
        <x:v>https://sjvn.nic.in/en/tender</x:v>
      </x:c>
      <x:c r="U8" t="n">
        <x:v>0</x:v>
      </x:c>
      <x:c r="V8" t="str">
        <x:v>265 MW / 530 MWh BESS in Haryana</x:v>
      </x:c>
      <x:c r="W8" t="n">
        <x:v>19</x:v>
      </x:c>
      <x:c r="X8" t="str">
        <x:v>Normal</x:v>
      </x:c>
      <x:c r="Y8" t="str">
        <x:v>SJVN|SJVN/CCDELHI/REIA/2026/BESS-2</x:v>
      </x:c>
      <x:c r="Z8" t="str">
        <x:v>Unique</x:v>
      </x:c>
      <x:c r="AA8" t="str">
        <x:v>SJVN|SJVN/CCDelhi/REIA/2026/BESS-2|20260821|Open|0|</x:v>
      </x:c>
      <x:c r="AB8" t="n">
        <x:v>46236</x:v>
      </x:c>
      <x:c r="AC8" t="str">
        <x:v>Official agency page</x:v>
      </x:c>
      <x:c r="AD8" t="str">
        <x:v>Core fields</x:v>
      </x:c>
      <x:c r="AE8" t="n">
        <x:v>5</x:v>
      </x:c>
      <x:c r="AF8" t="str">
        <x:v>Current Opportunity</x:v>
      </x:c>
      <x:c r="AG8" t="n">
        <x:v>46227</x:v>
      </x:c>
      <x:c r="AH8" t="n">
        <x:v>0</x:v>
      </x:c>
      <x:c r="AI8" t="n">
        <x:v>0</x:v>
      </x:c>
      <x:c r="AJ8" t="str">
        <x:v>No corrigendum identified in the captured official listing.</x:v>
      </x:c>
      <x:c r="AK8" t="str">
        <x:v>Standalone BESS under VGF and tariff-based competitive bidding</x:v>
      </x:c>
      <x:c r="AL8" t="str">
        <x:v>Dispatch schedule and availability obligations governed by RfS/BESSA/BESPA</x:v>
      </x:c>
      <x:c r="AM8" t="str">
        <x:v>Not verified from accessible document text</x:v>
      </x:c>
      <x:c r="AN8" t="str">
        <x:v>PLF is not applicable to standalone BESS; monthly availability/energy obligations require document review</x:v>
      </x:c>
      <x:c r="AO8" t="str">
        <x:v>Annual PLF/CUF not applicable; annual availability/cycle obligations require document review</x:v>
      </x:c>
      <x:c r="AP8" t="str">
        <x:v>Not verified from accessible document text</x:v>
      </x:c>
      <x:c r="AQ8" t="str">
        <x:v>Not verified from accessible document text</x:v>
      </x:c>
      <x:c r="AR8" t="str">
        <x:v>Charging-source provision not verified from accessible document text</x:v>
      </x:c>
      <x:c r="AS8" t="str">
        <x:v>Not verified</x:v>
      </x:c>
      <x:c r="AT8" t="str">
        <x:v>Official RfS PDF was listed but could not be reliably fetched in this review</x:v>
      </x:c>
      <x:c r="AU8" t="str">
        <x:v>Merchant-use rights not verified</x:v>
      </x:c>
      <x:c r="AV8" t="str">
        <x:v>https://sjvn.nic.in/sites/default/files/2026-07/RfS%20BESS%202%20240726.pdf</x:v>
      </x:c>
      <x:c r="AW8" t="str">
        <x:v>Document-level review pending; no assumptions inserted</x:v>
      </x:c>
    </x:row>
    <x:row r="9">
      <x:c r="A9" t="str">
        <x:v>MSEDCL-BESS-2000</x:v>
      </x:c>
      <x:c r="B9" t="str">
        <x:v>Maharashtra</x:v>
      </x:c>
      <x:c r="C9" t="str">
        <x:v>MSEDCL</x:v>
      </x:c>
      <x:c r="D9" t="str">
        <x:v>Maharashtra</x:v>
      </x:c>
      <x:c r="E9" t="str">
        <x:v>RfS-2000MW-4000MWh-BESS-2026</x:v>
      </x:c>
      <x:c r="F9" t="str">
        <x:v>BESS</x:v>
      </x:c>
      <x:c r="G9" t="n">
        <x:v>2000</x:v>
      </x:c>
      <x:c r="H9" t="str">
        <x:v>Yes</x:v>
      </x:c>
      <x:c r="I9" t="n">
        <x:v>2</x:v>
      </x:c>
      <x:c r="J9" t="str">
        <x:v>Tariff-based competitive bidding</x:v>
      </x:c>
      <x:c r="K9" t="n">
        <x:v>0</x:v>
      </x:c>
      <x:c r="L9" t="n">
        <x:v>0</x:v>
      </x:c>
      <x:c r="M9" t="str">
        <x:v>As per RfS</x:v>
      </x:c>
      <x:c r="N9" t="n">
        <x:v>0</x:v>
      </x:c>
      <x:c r="O9" t="n">
        <x:v>0</x:v>
      </x:c>
      <x:c r="P9" t="n">
        <x:v>0</x:v>
      </x:c>
      <x:c r="Q9" t="str">
        <x:v>Corrigendum</x:v>
      </x:c>
      <x:c r="R9" t="n">
        <x:v>46236</x:v>
      </x:c>
      <x:c r="S9" t="n">
        <x:v>2</x:v>
      </x:c>
      <x:c r="T9" t="str">
        <x:v>https://www.mahadiscom.in/en/supplier/tenders/</x:v>
      </x:c>
      <x:c r="U9" t="n">
        <x:v>0</x:v>
      </x:c>
      <x:c r="V9" t="str">
        <x:v>Corrigendum-2 published 22-Jul-2026; deadline not visible on listing</x:v>
      </x:c>
      <x:c r="W9" t="str"/>
      <x:c r="X9" t="str"/>
      <x:c r="Y9" t="str">
        <x:v>MSEDCL|RFS-2000MW-4000MWH-BESS-2026</x:v>
      </x:c>
      <x:c r="Z9" t="str">
        <x:v>Unique</x:v>
      </x:c>
      <x:c r="AA9" t="str">
        <x:v>MSEDCL|RfS-2000MW-4000MWh-BESS-2026||Corrigendum|2|20260722</x:v>
      </x:c>
      <x:c r="AB9" t="n">
        <x:v>46236</x:v>
      </x:c>
      <x:c r="AC9" t="str">
        <x:v>Official agency page</x:v>
      </x:c>
      <x:c r="AD9" t="str">
        <x:v>Partial</x:v>
      </x:c>
      <x:c r="AE9" t="n">
        <x:v>4</x:v>
      </x:c>
      <x:c r="AF9" t="str">
        <x:v>Needs Status Check</x:v>
      </x:c>
      <x:c r="AG9" t="n">
        <x:v>46203</x:v>
      </x:c>
      <x:c r="AH9" t="str">
        <x:v>2026-07-07; 2026-07-22</x:v>
      </x:c>
      <x:c r="AI9" t="n">
        <x:v>46225</x:v>
      </x:c>
      <x:c r="AJ9" t="str">
        <x:v>Addendum-1 and Addendum-2 published 07-Jul-2026; Corrigendum-2 published 22-Jul-2026</x:v>
      </x:c>
      <x:c r="AK9" t="str">
        <x:v>Standalone BESS under tariff-based competitive bidding</x:v>
      </x:c>
      <x:c r="AL9" t="str">
        <x:v>Dispatch/charging schedule governed by RfS and BESPA</x:v>
      </x:c>
      <x:c r="AM9" t="str">
        <x:v>PLF is not applicable to standalone BESS; daily cycle and availability obligations require current 2026 RfS review</x:v>
      </x:c>
      <x:c r="AN9" t="str">
        <x:v>Monthly availability/payment condition not verified from accessible current document text</x:v>
      </x:c>
      <x:c r="AO9" t="str">
        <x:v>Annual PLF/CUF not applicable; annual availability requirement not verified</x:v>
      </x:c>
      <x:c r="AP9" t="str">
        <x:v>Not verified from accessible current 2026 document text</x:v>
      </x:c>
      <x:c r="AQ9" t="str">
        <x:v>Not verified from accessible current 2026 document text</x:v>
      </x:c>
      <x:c r="AR9" t="str">
        <x:v>Charging source and grid/exchange charging permission not verified</x:v>
      </x:c>
      <x:c r="AS9" t="str">
        <x:v>Not verified</x:v>
      </x:c>
      <x:c r="AT9" t="str">
        <x:v>Current 2026 tender and corrigenda are visible on MSEDCL, but detailed clauses require opening the RfS/corrigendum PDF</x:v>
      </x:c>
      <x:c r="AU9" t="str">
        <x:v>Merchant-use rights not verified</x:v>
      </x:c>
      <x:c r="AV9" t="str">
        <x:v>https://www.mahadiscom.in/en/supplier/tenders/</x:v>
      </x:c>
      <x:c r="AW9" t="str">
        <x:v>Tender confirmed; commercial clause extraction pending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</x:row>
  </x:sheetData>
  <x:mergeCells>
    <x:mergeCell ref="A1:AF2"/>
    <x:mergeCell ref="A3:AF3"/>
    <x:mergeCell ref="A1:AJ2"/>
    <x:mergeCell ref="A3:AJ3"/>
    <x:mergeCell ref="A1:AW2"/>
    <x:mergeCell ref="A3:AW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46" hidden="0" customWidth="1"/>
    <x:col min="5" max="5" width="16" hidden="0" customWidth="1"/>
    <x:col min="6" max="6" width="44" hidden="0" customWidth="1"/>
    <x:col min="7" max="7" width="14" hidden="0" customWidth="1"/>
    <x:col min="8" max="8" width="32" hidden="0" customWidth="1"/>
  </x:cols>
  <x:sheetData>
    <x:row r="1">
      <x:c r="A1" s="176" t="str">
        <x:v>Official Source Evidence Register</x:v>
      </x:c>
      <x:c r="B1" s="176"/>
      <x:c r="C1" s="176"/>
      <x:c r="D1" s="176"/>
      <x:c r="E1" s="176"/>
      <x:c r="F1" s="176"/>
      <x:c r="G1" s="176"/>
      <x:c r="H1" s="176"/>
    </x:row>
    <x:row r="2">
      <x:c r="A2" s="176"/>
      <x:c r="B2" s="176"/>
      <x:c r="C2" s="176"/>
      <x:c r="D2" s="176"/>
      <x:c r="E2" s="176"/>
      <x:c r="F2" s="176"/>
      <x:c r="G2" s="176"/>
      <x:c r="H2" s="176"/>
    </x:row>
    <x:row r="4">
      <x:c r="A4" s="172" t="str">
        <x:v>Evidence ID</x:v>
      </x:c>
      <x:c r="B4" s="172" t="str">
        <x:v>Agency</x:v>
      </x:c>
      <x:c r="C4" s="172" t="str">
        <x:v>Tender ID / Reference</x:v>
      </x:c>
      <x:c r="D4" s="172" t="str">
        <x:v>Official URL</x:v>
      </x:c>
      <x:c r="E4" s="172" t="str">
        <x:v>Evidence Captured</x:v>
      </x:c>
      <x:c r="F4" s="172" t="str">
        <x:v>Verified Facts</x:v>
      </x:c>
      <x:c r="G4" s="172" t="str">
        <x:v>Evidence Level</x:v>
      </x:c>
      <x:c r="H4" s="172" t="str">
        <x:v>Notes</x:v>
      </x:c>
    </x:row>
    <x:row r="5">
      <x:c r="A5" t="str">
        <x:v>EV-NHPC-01</x:v>
      </x:c>
      <x:c r="B5" t="str">
        <x:v>NHPC</x:v>
      </x:c>
      <x:c r="C5" t="str">
        <x:v>2025_NHPC_849236_1</x:v>
      </x:c>
      <x:c r="D5" t="str">
        <x:v>https://www.nhpcindia.com/welcome/tender_detail/7841.html</x:v>
      </x:c>
      <x:c r="E5" s="52" t="n">
        <x:v>46236</x:v>
      </x:c>
      <x:c r="F5" t="str">
        <x:v>500 MW / 1000 MWh; Andhra Pradesh; 2-hour; peak use; corrigenda</x:v>
      </x:c>
      <x:c r="G5" t="str">
        <x:v>High</x:v>
      </x:c>
      <x:c r="H5" t="str">
        <x:v>Official NHPC detail page</x:v>
      </x:c>
    </x:row>
    <x:row r="6">
      <x:c r="A6" t="str">
        <x:v>EV-NHPC-02</x:v>
      </x:c>
      <x:c r="B6" t="str">
        <x:v>NHPC</x:v>
      </x:c>
      <x:c r="C6" t="str">
        <x:v>2025_NHPC_849707_1</x:v>
      </x:c>
      <x:c r="D6" t="str">
        <x:v>https://eprocure.gov.in/eprocure/app</x:v>
      </x:c>
      <x:c r="E6" s="52" t="n">
        <x:v>46236</x:v>
      </x:c>
      <x:c r="F6" t="str">
        <x:v>1200 MW solar; 600 MW / 2400 MWh ESS; corrigendum</x:v>
      </x:c>
      <x:c r="G6" t="str">
        <x:v>High</x:v>
      </x:c>
      <x:c r="H6" t="str">
        <x:v>Official CPPP record</x:v>
      </x:c>
    </x:row>
    <x:row r="7">
      <x:c r="A7" t="str">
        <x:v>EV-NHPC-03</x:v>
      </x:c>
      <x:c r="B7" t="str">
        <x:v>NHPC</x:v>
      </x:c>
      <x:c r="C7" t="str">
        <x:v>2025_NHPC_844873_1</x:v>
      </x:c>
      <x:c r="D7" t="str">
        <x:v>https://www.nhpcindia.com/welcome/tender_detail/7738.html</x:v>
      </x:c>
      <x:c r="E7" s="52" t="n">
        <x:v>46236</x:v>
      </x:c>
      <x:c r="F7" t="str">
        <x:v>125 MW / 500 MWh Kerala BESS; six corrigenda</x:v>
      </x:c>
      <x:c r="G7" t="str">
        <x:v>High</x:v>
      </x:c>
      <x:c r="H7" t="str">
        <x:v>Official NHPC detail page</x:v>
      </x:c>
    </x:row>
    <x:row r="8">
      <x:c r="A8" t="str">
        <x:v>EV-MP-01</x:v>
      </x:c>
      <x:c r="B8" t="str">
        <x:v>MPUVNL</x:v>
      </x:c>
      <x:c r="C8" t="str">
        <x:v>2026_MPUVN_484501_1</x:v>
      </x:c>
      <x:c r="D8" t="str">
        <x:v>https://mptenders.gov.in/nicgep/app</x:v>
      </x:c>
      <x:c r="E8" s="52" t="n">
        <x:v>46236</x:v>
      </x:c>
      <x:c r="F8" t="str">
        <x:v>Rooftop solar RESCO; eight districts; EMD 184000; bid dates</x:v>
      </x:c>
      <x:c r="G8" t="str">
        <x:v>High</x:v>
      </x:c>
      <x:c r="H8" t="str">
        <x:v>Official MP eProcurement</x:v>
      </x:c>
    </x:row>
    <x:row r="9">
      <x:c r="A9" t="str">
        <x:v>EV-MP-02</x:v>
      </x:c>
      <x:c r="B9" t="str">
        <x:v>MPUVNL</x:v>
      </x:c>
      <x:c r="C9" t="str">
        <x:v>2026_MPUVN_511408_1</x:v>
      </x:c>
      <x:c r="D9" t="str">
        <x:v>https://mptenders.gov.in/nicgep/app</x:v>
      </x:c>
      <x:c r="E9" s="52" t="n">
        <x:v>46236</x:v>
      </x:c>
      <x:c r="F9" t="str">
        <x:v>Solar cooker tender under technical evaluation</x:v>
      </x:c>
      <x:c r="G9" t="str">
        <x:v>Medium</x:v>
      </x:c>
      <x:c r="H9" t="str">
        <x:v>Status page only</x:v>
      </x:c>
    </x:row>
    <x:row r="10">
      <x:c r="A10" t="str">
        <x:v>EV-RAJ-01</x:v>
      </x:c>
      <x:c r="B10" t="str">
        <x:v>Jodhpur VVNL</x:v>
      </x:c>
      <x:c r="C10" t="str">
        <x:v>2025_JdVVN_455300_1</x:v>
      </x:c>
      <x:c r="D10" t="str">
        <x:v>https://eproc.rajasthan.gov.in/nicgep/app</x:v>
      </x:c>
      <x:c r="E10" s="52" t="n">
        <x:v>46236</x:v>
      </x:c>
      <x:c r="F10" t="str">
        <x:v>PM-KUSUM RESCO solar; Nohar/Sangaria; extension dates</x:v>
      </x:c>
      <x:c r="G10" t="str">
        <x:v>High</x:v>
      </x:c>
      <x:c r="H10" t="str">
        <x:v>Official Rajasthan eProcurement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d85c6b02f0f04ad2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8" hidden="0" customWidth="1"/>
    <x:col min="5" max="5" width="14" hidden="0" customWidth="1"/>
    <x:col min="6" max="6" width="16" hidden="0" customWidth="1"/>
    <x:col min="7" max="7" width="36" hidden="0" customWidth="1"/>
    <x:col min="8" max="8" width="44" hidden="0" customWidth="1"/>
  </x:cols>
  <x:sheetData>
    <x:row r="1">
      <x:c r="A1" s="185" t="str">
        <x:v>Tender Exclusion Log</x:v>
      </x:c>
      <x:c r="B1" s="185"/>
      <x:c r="C1" s="185"/>
      <x:c r="D1" s="185"/>
      <x:c r="E1" s="185"/>
      <x:c r="F1" s="185"/>
      <x:c r="G1" s="185"/>
      <x:c r="H1" s="185"/>
    </x:row>
    <x:row r="2">
      <x:c r="A2" s="185"/>
      <x:c r="B2" s="185"/>
      <x:c r="C2" s="185"/>
      <x:c r="D2" s="185"/>
      <x:c r="E2" s="185"/>
      <x:c r="F2" s="185"/>
      <x:c r="G2" s="185"/>
      <x:c r="H2" s="185"/>
    </x:row>
    <x:row r="3">
      <x:c r="A3" s="187" t="str">
        <x:v>Excluded automatically under the configured scope: capacity below 100 MW, unconfirmed capacity, rooftop solar, or PM-KUSUM.</x:v>
      </x:c>
      <x:c r="B3" s="187"/>
      <x:c r="C3" s="187"/>
      <x:c r="D3" s="187"/>
      <x:c r="E3" s="187"/>
      <x:c r="F3" s="187"/>
      <x:c r="G3" s="187"/>
      <x:c r="H3" s="187"/>
    </x:row>
    <x:row r="5">
      <x:c r="A5" s="192" t="str">
        <x:v>Tender ID</x:v>
      </x:c>
      <x:c r="B5" s="192" t="str">
        <x:v>Agency</x:v>
      </x:c>
      <x:c r="C5" s="192" t="str">
        <x:v>Tender Number</x:v>
      </x:c>
      <x:c r="D5" s="192" t="str">
        <x:v>Technology</x:v>
      </x:c>
      <x:c r="E5" s="192" t="str">
        <x:v>Capacity MW</x:v>
      </x:c>
      <x:c r="F5" s="192" t="str">
        <x:v>Status</x:v>
      </x:c>
      <x:c r="G5" s="192" t="str">
        <x:v>Exclusion Reason</x:v>
      </x:c>
      <x:c r="H5" s="192" t="str">
        <x:v>Source URL</x:v>
      </x:c>
    </x:row>
    <x:row r="6">
      <x:c r="A6" t="str">
        <x:v>SECI000265</x:v>
      </x:c>
      <x:c r="B6" t="str">
        <x:v>SECI</x:v>
      </x:c>
      <x:c r="C6" t="str">
        <x:v>SECI/C&amp;P/IPP/11/0007/26-27</x:v>
      </x:c>
      <x:c r="D6" t="str">
        <x:v>Solar</x:v>
      </x:c>
      <x:c r="E6" t="n">
        <x:v>5.29</x:v>
      </x:c>
      <x:c r="F6" t="str">
        <x:v>Open</x:v>
      </x:c>
      <x:c r="G6" t="str">
        <x:v>Rooftop solar excluded; Capacity below 100 MW</x:v>
      </x:c>
      <x:c r="H6" t="str">
        <x:v>https://www.seci.co.in/tender-details/YmRy</x:v>
      </x:c>
    </x:row>
    <x:row r="7">
      <x:c r="A7" t="str">
        <x:v>SECI000264</x:v>
      </x:c>
      <x:c r="B7" t="str">
        <x:v>SECI</x:v>
      </x:c>
      <x:c r="C7" t="str">
        <x:v>SECI/C&amp;P/EOI/17/0002/26-27</x:v>
      </x:c>
      <x:c r="D7" t="str">
        <x:v>Other</x:v>
      </x:c>
      <x:c r="E7"/>
      <x:c r="F7" t="str">
        <x:v>Open</x:v>
      </x:c>
      <x:c r="G7" t="str">
        <x:v>Capacity not confirmed</x:v>
      </x:c>
      <x:c r="H7" t="str">
        <x:v>https://www.seci.co.in/tenders/</x:v>
      </x:c>
    </x:row>
    <x:row r="8">
      <x:c r="A8" t="str">
        <x:v>SECI000263</x:v>
      </x:c>
      <x:c r="B8" t="str">
        <x:v>SECI</x:v>
      </x:c>
      <x:c r="C8" t="str">
        <x:v>SECI/C&amp;P/OP/11/0003/26-27</x:v>
      </x:c>
      <x:c r="D8" t="str">
        <x:v>Wind</x:v>
      </x:c>
      <x:c r="E8" t="n">
        <x:v>45.6</x:v>
      </x:c>
      <x:c r="F8" t="str">
        <x:v>Open</x:v>
      </x:c>
      <x:c r="G8" t="str">
        <x:v>Capacity below 100 MW</x:v>
      </x:c>
      <x:c r="H8" t="str">
        <x:v>https://www.seci.co.in/tender-details/YmR0</x:v>
      </x:c>
    </x:row>
    <x:row r="9">
      <x:c r="A9" t="str">
        <x:v>SECI000252</x:v>
      </x:c>
      <x:c r="B9" t="str">
        <x:v>SECI</x:v>
      </x:c>
      <x:c r="C9" t="str">
        <x:v>SECI/C&amp;P/OP/11/0001/26-27</x:v>
      </x:c>
      <x:c r="D9" t="str">
        <x:v>Solar</x:v>
      </x:c>
      <x:c r="E9" t="n">
        <x:v>88</x:v>
      </x:c>
      <x:c r="F9" t="str">
        <x:v>Open</x:v>
      </x:c>
      <x:c r="G9" t="str">
        <x:v>Capacity below 100 MW</x:v>
      </x:c>
      <x:c r="H9" t="str">
        <x:v>https://www.seci.co.in/tender-details/Ymd1</x:v>
      </x:c>
    </x:row>
    <x:row r="10">
      <x:c r="A10" t="str">
        <x:v>SECI000262</x:v>
      </x:c>
      <x:c r="B10" t="str">
        <x:v>SECI</x:v>
      </x:c>
      <x:c r="C10" t="str">
        <x:v>SECI/C&amp;P/OP/11/0002/26-27</x:v>
      </x:c>
      <x:c r="D10" t="str">
        <x:v>Solar + BESS</x:v>
      </x:c>
      <x:c r="E10" t="n">
        <x:v>70</x:v>
      </x:c>
      <x:c r="F10" t="str">
        <x:v>Open</x:v>
      </x:c>
      <x:c r="G10" t="str">
        <x:v>Capacity below 100 MW</x:v>
      </x:c>
      <x:c r="H10" t="str">
        <x:v>https://www.seci.co.in/tenders/</x:v>
      </x:c>
    </x:row>
    <x:row r="11">
      <x:c r="A11" t="str">
        <x:v>GRIDCO-FSPV-2026</x:v>
      </x:c>
      <x:c r="B11" t="str">
        <x:v>GRIDCO</x:v>
      </x:c>
      <x:c r="C11" t="str">
        <x:v>GRIDCO/RE NODAL AGENCY/E-TENDER/01/2026-27</x:v>
      </x:c>
      <x:c r="D11" t="str">
        <x:v>Solar</x:v>
      </x:c>
      <x:c r="E11"/>
      <x:c r="F11" t="str">
        <x:v>Open</x:v>
      </x:c>
      <x:c r="G11" t="str">
        <x:v>Capacity not confirmed</x:v>
      </x:c>
      <x:c r="H11" t="str">
        <x:v>https://www.gridco.co.in/archive_tender.aspx</x:v>
      </x:c>
    </x:row>
    <x:row r="12">
      <x:c r="A12" t="str">
        <x:v>PSPCL-BIOMASS-65</x:v>
      </x:c>
      <x:c r="B12" t="str">
        <x:v>PSPCL</x:v>
      </x:c>
      <x:c r="C12" t="str">
        <x:v>65/Elec-H&amp;CG-92</x:v>
      </x:c>
      <x:c r="D12" t="str">
        <x:v>Other</x:v>
      </x:c>
      <x:c r="E12"/>
      <x:c r="F12" t="str">
        <x:v>Corrigendum</x:v>
      </x:c>
      <x:c r="G12" t="str">
        <x:v>Capacity not confirmed</x:v>
      </x:c>
      <x:c r="H12" t="str">
        <x:v>https://pspcl.in/renewable-purchase-obligation-circulars/Expression-of-interest</x:v>
      </x:c>
    </x:row>
    <x:row r="13">
      <x:c r="A13" t="str">
        <x:v>MPUVNL-484501</x:v>
      </x:c>
      <x:c r="B13" t="str">
        <x:v>MPUVNL</x:v>
      </x:c>
      <x:c r="C13" t="str">
        <x:v>2026_MPUVN_484501_1</x:v>
      </x:c>
      <x:c r="D13" t="str">
        <x:v>Solar</x:v>
      </x:c>
      <x:c r="E13"/>
      <x:c r="F13" t="str">
        <x:v>Closed</x:v>
      </x:c>
      <x:c r="G13" t="str">
        <x:v>Rooftop solar excluded; Capacity not confirmed</x:v>
      </x:c>
      <x:c r="H13" t="str">
        <x:v>https://mptenders.gov.in/nicgep/app</x:v>
      </x:c>
    </x:row>
    <x:row r="14">
      <x:c r="A14" t="str">
        <x:v>MPUVNL-511408</x:v>
      </x:c>
      <x:c r="B14" t="str">
        <x:v>MPUVNL</x:v>
      </x:c>
      <x:c r="C14" t="str">
        <x:v>2026_MPUVN_511408_1</x:v>
      </x:c>
      <x:c r="D14" t="str">
        <x:v>Other</x:v>
      </x:c>
      <x:c r="E14"/>
      <x:c r="F14" t="str">
        <x:v>Evaluation</x:v>
      </x:c>
      <x:c r="G14" t="str">
        <x:v>Capacity not confirmed</x:v>
      </x:c>
      <x:c r="H14" t="str">
        <x:v>https://mptenders.gov.in/nicgep/app</x:v>
      </x:c>
    </x:row>
    <x:row r="15">
      <x:c r="A15" t="str">
        <x:v>JDVVNL-KUSUM-100</x:v>
      </x:c>
      <x:c r="B15" t="str">
        <x:v>Jodhpur VVNL</x:v>
      </x:c>
      <x:c r="C15" t="str">
        <x:v>2025_JdVVN_455300_1</x:v>
      </x:c>
      <x:c r="D15" t="str">
        <x:v>Solar</x:v>
      </x:c>
      <x:c r="E15"/>
      <x:c r="F15" t="str">
        <x:v>Closed</x:v>
      </x:c>
      <x:c r="G15" t="str">
        <x:v>PM-KUSUM excluded; Capacity not confirmed</x:v>
      </x:c>
      <x:c r="H15" t="str">
        <x:v>https://eproc.rajasthan.gov.in/nicgep/app</x:v>
      </x:c>
    </x:row>
    <x:row r="16">
      <x:c r="A16" t="str">
        <x:v>NTPC29973</x:v>
      </x:c>
      <x:c r="B16" t="str">
        <x:v>NTPC REL</x:v>
      </x:c>
      <x:c r="C16" t="str">
        <x:v>NREL-CS-5824-004(BESS1)-9</x:v>
      </x:c>
      <x:c r="D16" t="str">
        <x:v>BESS</x:v>
      </x:c>
      <x:c r="E16" t="n">
        <x:v>240</x:v>
      </x:c>
      <x:c r="F16" t="str">
        <x:v>Closed</x:v>
      </x:c>
      <x:c r="G16" t="str">
        <x:v>Closed/expired as of 2026-08-02</x:v>
      </x:c>
      <x:c r="H16" t="str">
        <x:v>https://ntpctender.ntpc.co.in/NITDetails/NITs/29973</x:v>
      </x:c>
    </x:row>
    <x:row r="17">
      <x:c r="A17" t="str">
        <x:v>NTPC29990</x:v>
      </x:c>
      <x:c r="B17" t="str">
        <x:v>NTPC REL</x:v>
      </x:c>
      <x:c r="C17" t="str">
        <x:v>NRE-CS-5820-004(EPC)-9</x:v>
      </x:c>
      <x:c r="D17" t="str">
        <x:v>Solar</x:v>
      </x:c>
      <x:c r="E17" t="n">
        <x:v>600</x:v>
      </x:c>
      <x:c r="F17" t="str">
        <x:v>Closed</x:v>
      </x:c>
      <x:c r="G17" t="str">
        <x:v>Closed/expired as of 2026-08-02</x:v>
      </x:c>
      <x:c r="H17" t="str">
        <x:v>https://ntpctender.ntpc.co.in/NITDetails/NITs/29990</x:v>
      </x:c>
    </x:row>
    <x:row r="18">
      <x:c r="A18" t="str">
        <x:v>NTPC29893</x:v>
      </x:c>
      <x:c r="B18" t="str">
        <x:v>NTPC REL</x:v>
      </x:c>
      <x:c r="C18" t="str">
        <x:v>NRE-CS-5846-004(PHES)-9</x:v>
      </x:c>
      <x:c r="D18" t="str">
        <x:v>Pumped Storage</x:v>
      </x:c>
      <x:c r="E18" t="n">
        <x:v>2000</x:v>
      </x:c>
      <x:c r="F18" t="str">
        <x:v>Closed</x:v>
      </x:c>
      <x:c r="G18" t="str">
        <x:v>Closed/expired as of 2026-08-02</x:v>
      </x:c>
      <x:c r="H18" t="str">
        <x:v>https://ntpctender.ntpc.co.in/NITDetails/NITs/29893</x:v>
      </x:c>
    </x:row>
    <x:row r="19">
      <x:c r="A19" t="str">
        <x:v>NTPC29969</x:v>
      </x:c>
      <x:c r="B19" t="str">
        <x:v>NTPC REL</x:v>
      </x:c>
      <x:c r="C19" t="str">
        <x:v>NREL-CS-5823-004(BESS1)-9</x:v>
      </x:c>
      <x:c r="D19" t="str">
        <x:v>BESS</x:v>
      </x:c>
      <x:c r="E19" t="n">
        <x:v>550</x:v>
      </x:c>
      <x:c r="F19" t="str">
        <x:v>Closed</x:v>
      </x:c>
      <x:c r="G19" t="str">
        <x:v>Closed/expired as of 2026-08-02</x:v>
      </x:c>
      <x:c r="H19" t="str">
        <x:v>https://ntpctender.ntpc.co.in/NITDetails/NITs/29969</x:v>
      </x:c>
    </x:row>
    <x:row r="20">
      <x:c r="A20" t="str">
        <x:v>GRIDCO-BESS-125</x:v>
      </x:c>
      <x:c r="B20" t="str">
        <x:v>GRIDCO</x:v>
      </x:c>
      <x:c r="C20" t="str">
        <x:v>SECI/C&amp;P/IPP/15/0015/25-26</x:v>
      </x:c>
      <x:c r="D20" t="str">
        <x:v>BESS</x:v>
      </x:c>
      <x:c r="E20" t="n">
        <x:v>125</x:v>
      </x:c>
      <x:c r="F20" t="str">
        <x:v>Closed</x:v>
      </x:c>
      <x:c r="G20" t="str">
        <x:v>Closed/expired as of 2026-08-02</x:v>
      </x:c>
      <x:c r="H20" t="str">
        <x:v>https://gridco.co.in/archive_tender.aspx/writereaddata/Tenders/repowerghga.aspx</x:v>
      </x:c>
    </x:row>
    <x:row r="21">
      <x:c r="A21" t="str">
        <x:v>NHPC-849236</x:v>
      </x:c>
      <x:c r="B21" t="str">
        <x:v>NHPC</x:v>
      </x:c>
      <x:c r="C21" t="str">
        <x:v>2025_NHPC_849236_1</x:v>
      </x:c>
      <x:c r="D21" t="str">
        <x:v>BESS</x:v>
      </x:c>
      <x:c r="E21" t="n">
        <x:v>500</x:v>
      </x:c>
      <x:c r="F21" t="str">
        <x:v>Closed</x:v>
      </x:c>
      <x:c r="G21" t="str">
        <x:v>Closed/expired as of 2026-08-02</x:v>
      </x:c>
      <x:c r="H21" t="str">
        <x:v>https://www.nhpcindia.com/welcome/tender_detail/7841.html</x:v>
      </x:c>
    </x:row>
    <x:row r="22">
      <x:c r="A22" t="str">
        <x:v>NHPC-813414</x:v>
      </x:c>
      <x:c r="B22" t="str">
        <x:v>NHPC</x:v>
      </x:c>
      <x:c r="C22" t="str">
        <x:v>2024_NHPC_813414_1</x:v>
      </x:c>
      <x:c r="D22" t="str">
        <x:v>FDRE</x:v>
      </x:c>
      <x:c r="E22" t="n">
        <x:v>1200</x:v>
      </x:c>
      <x:c r="F22" t="str">
        <x:v>Closed</x:v>
      </x:c>
      <x:c r="G22" t="str">
        <x:v>Closed/expired as of 2026-08-02</x:v>
      </x:c>
      <x:c r="H22" t="str">
        <x:v>https://www.nhpcindia.com/welcome/tender_detail/7140.html</x:v>
      </x:c>
    </x:row>
    <x:row r="23">
      <x:c r="A23" t="str">
        <x:v>NHPC-835426</x:v>
      </x:c>
      <x:c r="B23" t="str">
        <x:v>NHPC</x:v>
      </x:c>
      <x:c r="C23" t="str">
        <x:v>2024_NHPC_835426_1</x:v>
      </x:c>
      <x:c r="D23" t="str">
        <x:v>Hybrid</x:v>
      </x:c>
      <x:c r="E23" t="n">
        <x:v>1200</x:v>
      </x:c>
      <x:c r="F23" t="str">
        <x:v>Closed</x:v>
      </x:c>
      <x:c r="G23" t="str">
        <x:v>Closed/expired as of 2026-08-02</x:v>
      </x:c>
      <x:c r="H23" t="str">
        <x:v>https://www.nhpcindia.com/welcome/tender_detail/7663.html</x:v>
      </x:c>
    </x:row>
    <x:row r="24">
      <x:c r="A24" t="str">
        <x:v>NTPC29985</x:v>
      </x:c>
      <x:c r="B24" t="str">
        <x:v>NTPC REL</x:v>
      </x:c>
      <x:c r="C24" t="str">
        <x:v>NRE-CS-5928-003(WTG)-9</x:v>
      </x:c>
      <x:c r="D24" t="str">
        <x:v>Wind</x:v>
      </x:c>
      <x:c r="E24" t="n">
        <x:v>813</x:v>
      </x:c>
      <x:c r="F24" t="str">
        <x:v>Extended</x:v>
      </x:c>
      <x:c r="G24" t="str">
        <x:v>Supply / installation / EPC / O&amp;M tender excluded</x:v>
      </x:c>
      <x:c r="H24" t="str">
        <x:v>https://ntpctender.ntpc.co.in/NITDetails/NITs/29985</x:v>
      </x:c>
    </x:row>
    <x:row r="25">
      <x:c r="A25" t="str">
        <x:v>SJVN-GEM7789243</x:v>
      </x:c>
      <x:c r="B25" t="str">
        <x:v>SJVN</x:v>
      </x:c>
      <x:c r="C25" t="str">
        <x:v>GEM/2026/B/7789243</x:v>
      </x:c>
      <x:c r="D25" t="str">
        <x:v>Solar</x:v>
      </x:c>
      <x:c r="E25" t="n">
        <x:v>200</x:v>
      </x:c>
      <x:c r="F25" t="str">
        <x:v>Open</x:v>
      </x:c>
      <x:c r="G25" t="str">
        <x:v>Supply / installation / EPC / O&amp;M tender excluded</x:v>
      </x:c>
      <x:c r="H25" t="str">
        <x:v>https://www.sjvn.nic.in/en/tender?page=2</x:v>
      </x:c>
    </x:row>
    <x:row r="26">
      <x:c r="A26" t="str">
        <x:v>NHPC-849707</x:v>
      </x:c>
      <x:c r="B26" t="str">
        <x:v>NHPC</x:v>
      </x:c>
      <x:c r="C26" t="str">
        <x:v>2025_NHPC_849707_1</x:v>
      </x:c>
      <x:c r="D26" t="str">
        <x:v>Solar + BESS</x:v>
      </x:c>
      <x:c r="E26" t="n">
        <x:v>1200</x:v>
      </x:c>
      <x:c r="F26" t="str">
        <x:v>Corrigendum</x:v>
      </x:c>
      <x:c r="G26" t="str">
        <x:v>Official bid deadline expired in 2025</x:v>
      </x:c>
      <x:c r="H26" t="str">
        <x:v>https://eprocure.gov.in/eprocure/app</x:v>
      </x:c>
    </x:row>
    <x:row r="27">
      <x:c r="A27" t="str">
        <x:v>NHPC-844873</x:v>
      </x:c>
      <x:c r="B27" t="str">
        <x:v>NHPC</x:v>
      </x:c>
      <x:c r="C27" t="str">
        <x:v>2025_NHPC_844873_1</x:v>
      </x:c>
      <x:c r="D27" t="str">
        <x:v>BESS</x:v>
      </x:c>
      <x:c r="E27" t="n">
        <x:v>125</x:v>
      </x:c>
      <x:c r="F27" t="str">
        <x:v>Corrigendum</x:v>
      </x:c>
      <x:c r="G27" t="str">
        <x:v>Official bid deadline expired in 2025</x:v>
      </x:c>
      <x:c r="H27" t="str">
        <x:v>https://www.nhpcindia.com/welcome/tender_detail/7738.html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38b7de41d9aa423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</x:cols>
  <x:sheetData>
    <x:row r="1">
      <x:c r="A1" s="185" t="str">
        <x:v>Tender Eligibility Rules</x:v>
      </x:c>
      <x:c r="B1" s="185"/>
      <x:c r="C1" s="185"/>
      <x:c r="D1" s="185"/>
      <x:c r="E1" s="185"/>
      <x:c r="F1" s="185"/>
    </x:row>
    <x:row r="2">
      <x:c r="A2" s="185"/>
      <x:c r="B2" s="185"/>
      <x:c r="C2" s="185"/>
      <x:c r="D2" s="185"/>
      <x:c r="E2" s="185"/>
      <x:c r="F2" s="185"/>
    </x:row>
    <x:row r="4">
      <x:c r="A4" s="192" t="str">
        <x:v>Rule</x:v>
      </x:c>
      <x:c r="B4" s="192" t="str">
        <x:v>Value</x:v>
      </x:c>
      <x:c r="C4" s="192" t="str">
        <x:v>Effect</x:v>
      </x:c>
    </x:row>
    <x:row r="5">
      <x:c r="A5" t="str">
        <x:v>Minimum verified capacity MW</x:v>
      </x:c>
      <x:c r="B5" t="n">
        <x:v>100</x:v>
      </x:c>
      <x:c r="C5" t="str">
        <x:v>Exclude lower-capacity tenders</x:v>
      </x:c>
    </x:row>
    <x:row r="6">
      <x:c r="A6" t="str">
        <x:v>Require confirmed capacity</x:v>
      </x:c>
      <x:c r="B6" t="str">
        <x:v>Yes</x:v>
      </x:c>
      <x:c r="C6" t="str">
        <x:v>Exclude blank/unknown capacities</x:v>
      </x:c>
    </x:row>
    <x:row r="7">
      <x:c r="A7" t="str">
        <x:v>Exclude rooftop solar</x:v>
      </x:c>
      <x:c r="B7" t="str">
        <x:v>Yes</x:v>
      </x:c>
      <x:c r="C7" t="str">
        <x:v>All rooftop/roof-top tenders excluded</x:v>
      </x:c>
    </x:row>
    <x:row r="8">
      <x:c r="A8" t="str">
        <x:v>Exclude PM-KUSUM</x:v>
      </x:c>
      <x:c r="B8" t="str">
        <x:v>Yes</x:v>
      </x:c>
      <x:c r="C8" t="str">
        <x:v>All KUSUM components excluded</x:v>
      </x:c>
    </x:row>
    <x:row r="9">
      <x:c r="A9" t="str">
        <x:v>Include utility-scale solar</x:v>
      </x:c>
      <x:c r="B9" t="str">
        <x:v>Yes</x:v>
      </x:c>
      <x:c r="C9" t="str">
        <x:v>Only if capacity ≥100 MW</x:v>
      </x:c>
    </x:row>
    <x:row r="10">
      <x:c r="A10" t="str">
        <x:v>Include BESS / FDRE / Hybrid</x:v>
      </x:c>
      <x:c r="B10" t="str">
        <x:v>Yes</x:v>
      </x:c>
      <x:c r="C10" t="str">
        <x:v>Only if capacity ≥100 MW</x:v>
      </x:c>
    </x:row>
    <x:row r="11">
      <x:c r="A11" t="str">
        <x:v>Include historical records</x:v>
      </x:c>
      <x:c r="B11" t="str">
        <x:v>Yes</x:v>
      </x:c>
      <x:c r="C11" t="str">
        <x:v>Kept for reference, classified separately</x:v>
      </x:c>
    </x:row>
    <x:row r="13">
      <x:c r="A13" s="200" t="str">
        <x:v>Active Database Rule</x:v>
      </x:c>
      <x:c r="B13" s="200" t="str">
        <x:v>Value</x:v>
      </x:c>
      <x:c r="C13" s="200" t="str">
        <x:v>Effect</x:v>
      </x:c>
    </x:row>
    <x:row r="14">
      <x:c r="A14" t="str">
        <x:v>Retain closed tenders</x:v>
      </x:c>
      <x:c r="B14" t="str">
        <x:v>No</x:v>
      </x:c>
      <x:c r="C14" t="str">
        <x:v>Removed from Master Tenders</x:v>
      </x:c>
    </x:row>
    <x:row r="15">
      <x:c r="A15" t="str">
        <x:v>Retain expired open tenders</x:v>
      </x:c>
      <x:c r="B15" t="str">
        <x:v>No</x:v>
      </x:c>
      <x:c r="C15" t="str">
        <x:v>Removed when deadline is before scan date</x:v>
      </x:c>
    </x:row>
    <x:row r="16">
      <x:c r="A16" t="str">
        <x:v>Corrigendum location</x:v>
      </x:c>
      <x:c r="B16" t="str">
        <x:v>Master Tenders</x:v>
      </x:c>
      <x:c r="C16" t="str">
        <x:v>Dates and details remain on the tender row</x:v>
      </x:c>
    </x:row>
    <x:row r="17">
      <x:c r="A17" t="str">
        <x:v>Notification date required</x:v>
      </x:c>
      <x:c r="B17" t="str">
        <x:v>Yes where verified</x:v>
      </x:c>
      <x:c r="C17" t="str">
        <x:v>Blank when official date is not verified</x:v>
      </x:c>
    </x:row>
    <x:row r="19">
      <x:c r="A19" s="213" t="str">
        <x:v>Procurement Scope Rule</x:v>
      </x:c>
      <x:c r="B19" s="213" t="str">
        <x:v>Value</x:v>
      </x:c>
      <x:c r="C19" s="213" t="str">
        <x:v>Effect</x:v>
      </x:c>
    </x:row>
    <x:row r="20">
      <x:c r="A20" t="str">
        <x:v>Exclude supply &amp; installation</x:v>
      </x:c>
      <x:c r="B20" t="str">
        <x:v>Yes</x:v>
      </x:c>
      <x:c r="C20" t="str">
        <x:v>Removes equipment and installation packages</x:v>
      </x:c>
    </x:row>
    <x:row r="21">
      <x:c r="A21" t="str">
        <x:v>Exclude EPC / turnkey / BoS</x:v>
      </x:c>
      <x:c r="B21" t="str">
        <x:v>Yes</x:v>
      </x:c>
      <x:c r="C21" t="str">
        <x:v>Removes project construction contracts</x:v>
      </x:c>
    </x:row>
    <x:row r="22">
      <x:c r="A22" t="str">
        <x:v>Exclude O&amp;M-only tenders</x:v>
      </x:c>
      <x:c r="B22" t="str">
        <x:v>Yes</x:v>
      </x:c>
      <x:c r="C22" t="str">
        <x:v>Removes maintenance/service tenders</x:v>
      </x:c>
    </x:row>
    <x:row r="23">
      <x:c r="A23" t="str">
        <x:v>Include only power / storage procurement</x:v>
      </x:c>
      <x:c r="B23" t="str">
        <x:v>Yes</x:v>
      </x:c>
      <x:c r="C23" t="str">
        <x:v>Retains RfS/PPA/BESPA/CfD opportunities</x:v>
      </x:c>
    </x:row>
    <x:row r="24">
      <x:c r="A24" t="str">
        <x:v>Detailed clause fields</x:v>
      </x:c>
      <x:c r="B24" t="str">
        <x:v>Master Tenders</x:v>
      </x:c>
      <x:c r="C24" t="str">
        <x:v>Supply, PLF/CUF, penalties and charging rules</x:v>
      </x:c>
    </x:row>
    <x:row r="26">
      <x:c r="A26" s="232" t="str">
        <x:v>V12 Automation Rule</x:v>
      </x:c>
      <x:c r="B26" s="232" t="str">
        <x:v>Value</x:v>
      </x:c>
      <x:c r="C26" s="232" t="str">
        <x:v>Effect</x:v>
      </x:c>
    </x:row>
    <x:row r="27">
      <x:c r="A27" t="str">
        <x:v>Daily GitHub Actions run</x:v>
      </x:c>
      <x:c r="B27" t="str">
        <x:v>Yes</x:v>
      </x:c>
      <x:c r="C27" t="str">
        <x:v>Scans and updates workbook automatically</x:v>
      </x:c>
    </x:row>
    <x:row r="28">
      <x:c r="A28" t="str">
        <x:v>Workflow commits workbook</x:v>
      </x:c>
      <x:c r="B28" t="str">
        <x:v>Yes</x:v>
      </x:c>
      <x:c r="C28" t="str">
        <x:v>Latest workbook stays in Output folder</x:v>
      </x:c>
    </x:row>
    <x:row r="29">
      <x:c r="A29" t="str">
        <x:v>Notification date</x:v>
      </x:c>
      <x:c r="B29" t="str">
        <x:v>First verified publication</x:v>
      </x:c>
      <x:c r="C29" t="str">
        <x:v>Stored in Master Tenders</x:v>
      </x:c>
    </x:row>
    <x:row r="30">
      <x:c r="A30" t="str">
        <x:v>Corrigenda</x:v>
      </x:c>
      <x:c r="B30" t="str">
        <x:v>Same Master row</x:v>
      </x:c>
      <x:c r="C30" t="str">
        <x:v>Dates/details appended and deadline updated</x:v>
      </x:c>
    </x:row>
    <x:row r="31">
      <x:c r="A31" t="str">
        <x:v>Closed/expired records</x:v>
      </x:c>
      <x:c r="B31" t="str">
        <x:v>Removed from Master</x:v>
      </x:c>
      <x:c r="C31" t="str">
        <x:v>Logged in Exclusion Log and history</x:v>
      </x:c>
    </x:row>
    <x:row r="32">
      <x:c r="A32" t="str">
        <x:v>Missing detailed clauses</x:v>
      </x:c>
      <x:c r="B32" t="str">
        <x:v>Not verified</x:v>
      </x:c>
      <x:c r="C32" t="str">
        <x:v>No fabricated commercial terms</x:v>
      </x:c>
    </x:row>
  </x:sheetData>
  <x:mergeCells>
    <x:mergeCell ref="A1:F2"/>
  </x:mergeCells>
  <x:dataValidations count="1">
    <x:dataValidation type="list" sqref="B6:B11">
      <x:formula1>"Yes,No"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30" hidden="0" customWidth="1"/>
    <x:col min="5" max="5" width="30" hidden="0" customWidth="1"/>
    <x:col min="6" max="6" width="22" hidden="0" customWidth="1"/>
    <x:col min="7" max="7" width="22" hidden="0" customWidth="1"/>
  </x:cols>
  <x:sheetData>
    <x:row r="1">
      <x:c r="A1" s="185" t="str">
        <x:v>Daily Update Operating Model</x:v>
      </x:c>
      <x:c r="B1" s="185"/>
      <x:c r="C1" s="185"/>
      <x:c r="D1" s="185"/>
      <x:c r="E1" s="185"/>
      <x:c r="F1" s="185"/>
      <x:c r="G1" s="185"/>
    </x:row>
    <x:row r="2">
      <x:c r="A2" s="185"/>
      <x:c r="B2" s="185"/>
      <x:c r="C2" s="185"/>
      <x:c r="D2" s="185"/>
      <x:c r="E2" s="185"/>
      <x:c r="F2" s="185"/>
      <x:c r="G2" s="185"/>
    </x:row>
    <x:row r="4">
      <x:c r="A4" s="192" t="str">
        <x:v>Step</x:v>
      </x:c>
      <x:c r="B4" s="192" t="str">
        <x:v>Process</x:v>
      </x:c>
      <x:c r="C4" s="192" t="str">
        <x:v>Runs Where</x:v>
      </x:c>
      <x:c r="D4" s="192" t="str">
        <x:v>Result</x:v>
      </x:c>
      <x:c r="E4" s="192" t="str">
        <x:v>Manual Action</x:v>
      </x:c>
      <x:c r="F4" s="192" t="str">
        <x:v>Recommended Frequency</x:v>
      </x:c>
      <x:c r="G4" s="192" t="str">
        <x:v>Status</x:v>
      </x:c>
    </x:row>
    <x:row r="5">
      <x:c r="A5" t="n">
        <x:v>1</x:v>
      </x:c>
      <x:c r="B5" t="str">
        <x:v>Scan official tender pages and configured portals</x:v>
      </x:c>
      <x:c r="C5" t="str">
        <x:v>Cloud runner</x:v>
      </x:c>
      <x:c r="D5" t="str">
        <x:v>Raw tender records</x:v>
      </x:c>
      <x:c r="E5" t="str">
        <x:v>None for accessible sites</x:v>
      </x:c>
      <x:c r="F5" t="str">
        <x:v>Daily</x:v>
      </x:c>
      <x:c r="G5" t="str">
        <x:v>Requires hosting</x:v>
      </x:c>
    </x:row>
    <x:row r="6">
      <x:c r="A6" t="n">
        <x:v>2</x:v>
      </x:c>
      <x:c r="B6" t="str">
        <x:v>Apply eligibility rules</x:v>
      </x:c>
      <x:c r="C6" t="str">
        <x:v>Cloud runner</x:v>
      </x:c>
      <x:c r="D6" t="str">
        <x:v>Rooftop, KUSUM and &lt;100 MW removed</x:v>
      </x:c>
      <x:c r="E6" t="str">
        <x:v>Review exclusions only</x:v>
      </x:c>
      <x:c r="F6" t="str">
        <x:v>Daily</x:v>
      </x:c>
      <x:c r="G6" t="str">
        <x:v>Configured</x:v>
      </x:c>
    </x:row>
    <x:row r="7">
      <x:c r="A7" t="n">
        <x:v>3</x:v>
      </x:c>
      <x:c r="B7" t="str">
        <x:v>Compare with prior workbook</x:v>
      </x:c>
      <x:c r="C7" t="str">
        <x:v>Cloud runner</x:v>
      </x:c>
      <x:c r="D7" t="str">
        <x:v>New/updated/closed/corrigendum changes</x:v>
      </x:c>
      <x:c r="E7" t="str">
        <x:v>Approve uncertain changes</x:v>
      </x:c>
      <x:c r="F7" t="str">
        <x:v>Daily</x:v>
      </x:c>
      <x:c r="G7" t="str">
        <x:v>Framework included</x:v>
      </x:c>
    </x:row>
    <x:row r="8">
      <x:c r="A8" t="n">
        <x:v>4</x:v>
      </x:c>
      <x:c r="B8" t="str">
        <x:v>Download and parse tender PDFs</x:v>
      </x:c>
      <x:c r="C8" t="str">
        <x:v>Cloud runner</x:v>
      </x:c>
      <x:c r="D8" t="str">
        <x:v>PLF, storage, EMD, BG and dates</x:v>
      </x:c>
      <x:c r="E8" t="str">
        <x:v>Review low-confidence fields</x:v>
      </x:c>
      <x:c r="F8" t="str">
        <x:v>Daily</x:v>
      </x:c>
      <x:c r="G8" t="str">
        <x:v>Framework included</x:v>
      </x:c>
    </x:row>
    <x:row r="9">
      <x:c r="A9" t="n">
        <x:v>5</x:v>
      </x:c>
      <x:c r="B9" t="str">
        <x:v>Update workbook and create backup</x:v>
      </x:c>
      <x:c r="C9" t="str">
        <x:v>Cloud runner</x:v>
      </x:c>
      <x:c r="D9" t="str">
        <x:v>New downloadable XLSX</x:v>
      </x:c>
      <x:c r="E9" t="str">
        <x:v>Download latest file</x:v>
      </x:c>
      <x:c r="F9" t="str">
        <x:v>Daily</x:v>
      </x:c>
      <x:c r="G9" t="str">
        <x:v>Framework included</x:v>
      </x:c>
    </x:row>
    <x:row r="10">
      <x:c r="A10" t="n">
        <x:v>6</x:v>
      </x:c>
      <x:c r="B10" t="str">
        <x:v>Restricted portal verification</x:v>
      </x:c>
      <x:c r="C10" t="str">
        <x:v>Manual browser review</x:v>
      </x:c>
      <x:c r="D10" t="str">
        <x:v>Verified additions</x:v>
      </x:c>
      <x:c r="E10" t="str">
        <x:v>Portal search/CAPTCHA</x:v>
      </x:c>
      <x:c r="F10" t="str">
        <x:v>Weekly or as needed</x:v>
      </x:c>
      <x:c r="G10" t="str">
        <x:v>Manual</x:v>
      </x:c>
    </x:row>
    <x:row r="11">
      <x:c r="A11" t="n">
        <x:v>7</x:v>
      </x:c>
      <x:c r="B11" t="str">
        <x:v>Distribute daily summary</x:v>
      </x:c>
      <x:c r="C11" t="str">
        <x:v>Email/cloud storage</x:v>
      </x:c>
      <x:c r="D11" t="str">
        <x:v>Daily digest and updated workbook</x:v>
      </x:c>
      <x:c r="E11" t="str">
        <x:v>Configure destination</x:v>
      </x:c>
      <x:c r="F11" t="str">
        <x:v>Daily</x:v>
      </x:c>
      <x:c r="G11" t="str">
        <x:v>Not configured</x:v>
      </x:c>
    </x:row>
    <x:row r="13">
      <x:c r="A13" s="200" t="str">
        <x:v>Daily Active-Record Rule</x:v>
      </x:c>
      <x:c r="B13" s="200" t="str">
        <x:v>Logic</x:v>
      </x:c>
      <x:c r="C13" s="200" t="str">
        <x:v>Result</x:v>
      </x:c>
      <x:c r="D13" s="200" t="str"/>
      <x:c r="E13" s="200" t="str"/>
      <x:c r="F13" s="200" t="str"/>
      <x:c r="G13" s="200" t="str"/>
    </x:row>
    <x:row r="14">
      <x:c r="A14" t="str">
        <x:v>Notification date</x:v>
      </x:c>
      <x:c r="B14" t="str">
        <x:v>Capture from first official tender publication</x:v>
      </x:c>
      <x:c r="C14" t="str">
        <x:v>Stored in Master Tenders</x:v>
      </x:c>
      <x:c r="D14" t="str"/>
      <x:c r="E14" t="str"/>
      <x:c r="F14" t="str"/>
      <x:c r="G14" t="str"/>
    </x:row>
    <x:row r="15">
      <x:c r="A15" t="str">
        <x:v>Corrigendum</x:v>
      </x:c>
      <x:c r="B15" t="str">
        <x:v>Update same tender row; append dates/details</x:v>
      </x:c>
      <x:c r="C15" t="str">
        <x:v>No separate corrigendum sheet</x:v>
      </x:c>
      <x:c r="D15" t="str"/>
      <x:c r="E15" t="str"/>
      <x:c r="F15" t="str"/>
      <x:c r="G15" t="str"/>
    </x:row>
    <x:row r="16">
      <x:c r="A16" t="str">
        <x:v>Closed status</x:v>
      </x:c>
      <x:c r="B16" t="str">
        <x:v>Remove from Master on scan date</x:v>
      </x:c>
      <x:c r="C16" t="str">
        <x:v>Logged in Exclusion Log</x:v>
      </x:c>
      <x:c r="D16" t="str"/>
      <x:c r="E16" t="str"/>
      <x:c r="F16" t="str"/>
      <x:c r="G16" t="str"/>
    </x:row>
    <x:row r="17">
      <x:c r="A17" t="str">
        <x:v>Expired deadline</x:v>
      </x:c>
      <x:c r="B17" t="str">
        <x:v>Remove unless a verified extension/corrigendum keeps it open</x:v>
      </x:c>
      <x:c r="C17" t="str">
        <x:v>Logged in Exclusion Log</x:v>
      </x:c>
      <x:c r="D17" t="str"/>
      <x:c r="E17" t="str"/>
      <x:c r="F17" t="str"/>
      <x:c r="G17" t="str"/>
    </x:row>
    <x:row r="18">
      <x:c r="A18" t="str">
        <x:v>Audit history</x:v>
      </x:c>
      <x:c r="B18" t="str">
        <x:v>Change remains in Tender History / Writeback Audit</x:v>
      </x:c>
      <x:c r="C18" t="str">
        <x:v>No loss of change trace</x:v>
      </x:c>
      <x:c r="D18" t="str"/>
      <x:c r="E18" t="str"/>
      <x:c r="F18" t="str"/>
      <x:c r="G18" t="str"/>
    </x:row>
  </x:sheetData>
  <x:mergeCells>
    <x:mergeCell ref="A1:G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38" hidden="0" customWidth="1"/>
  </x:cols>
  <x:sheetData>
    <x:row r="1">
      <x:c r="A1" s="225" t="str">
        <x:v>V12 GitHub Automation Setup</x:v>
      </x:c>
      <x:c r="B1" s="225"/>
      <x:c r="C1" s="225"/>
      <x:c r="D1" s="225"/>
      <x:c r="E1" s="225"/>
      <x:c r="F1" s="225"/>
      <x:c r="G1" s="225"/>
      <x:c r="H1" s="225"/>
    </x:row>
    <x:row r="2">
      <x:c r="A2" s="225"/>
      <x:c r="B2" s="225"/>
      <x:c r="C2" s="225"/>
      <x:c r="D2" s="225"/>
      <x:c r="E2" s="225"/>
      <x:c r="F2" s="225"/>
      <x:c r="G2" s="225"/>
      <x:c r="H2" s="225"/>
    </x:row>
    <x:row r="3">
      <x:c r="A3" s="227" t="str">
        <x:v>Upload the complete V12 repository package. GitHub Actions will scan sources, apply scope rules, update the workbook, create logs and commit the latest workbook.</x:v>
      </x:c>
      <x:c r="B3" s="227"/>
      <x:c r="C3" s="227"/>
      <x:c r="D3" s="227"/>
      <x:c r="E3" s="227"/>
      <x:c r="F3" s="227"/>
      <x:c r="G3" s="227"/>
      <x:c r="H3" s="227"/>
    </x:row>
    <x:row r="5">
      <x:c r="A5" s="232" t="str">
        <x:v>Step</x:v>
      </x:c>
      <x:c r="B5" s="232" t="str">
        <x:v>Action</x:v>
      </x:c>
      <x:c r="C5" s="232" t="str">
        <x:v>GitHub Location</x:v>
      </x:c>
      <x:c r="D5" s="232" t="str">
        <x:v>Result</x:v>
      </x:c>
    </x:row>
    <x:row r="6">
      <x:c r="A6" t="n">
        <x:v>1</x:v>
      </x:c>
      <x:c r="B6" t="str">
        <x:v>Upload all files and folders from the V12 ZIP</x:v>
      </x:c>
      <x:c r="C6" t="str">
        <x:v>Repository root</x:v>
      </x:c>
      <x:c r="D6" t="str">
        <x:v>Complete application available</x:v>
      </x:c>
    </x:row>
    <x:row r="7">
      <x:c r="A7" t="n">
        <x:v>2</x:v>
      </x:c>
      <x:c r="B7" t="str">
        <x:v>Enable Actions</x:v>
      </x:c>
      <x:c r="C7" t="str">
        <x:v>Repository &gt; Actions</x:v>
      </x:c>
      <x:c r="D7" t="str">
        <x:v>Scheduled runner enabled</x:v>
      </x:c>
    </x:row>
    <x:row r="8">
      <x:c r="A8" t="n">
        <x:v>3</x:v>
      </x:c>
      <x:c r="B8" t="str">
        <x:v>Allow workflow write permission</x:v>
      </x:c>
      <x:c r="C8" t="str">
        <x:v>Settings &gt; Actions &gt; General</x:v>
      </x:c>
      <x:c r="D8" t="str">
        <x:v>Workflow can commit updated workbook</x:v>
      </x:c>
    </x:row>
    <x:row r="9">
      <x:c r="A9" t="n">
        <x:v>4</x:v>
      </x:c>
      <x:c r="B9" t="str">
        <x:v>Run the workflow manually once</x:v>
      </x:c>
      <x:c r="C9" t="str">
        <x:v>Actions &gt; Daily Renewable Tender Update</x:v>
      </x:c>
      <x:c r="D9" t="str">
        <x:v>Initial validation run</x:v>
      </x:c>
    </x:row>
    <x:row r="10">
      <x:c r="A10" t="n">
        <x:v>5</x:v>
      </x:c>
      <x:c r="B10" t="str">
        <x:v>Review the workflow summary and logs</x:v>
      </x:c>
      <x:c r="C10" t="str">
        <x:v>Actions run page</x:v>
      </x:c>
      <x:c r="D10" t="str">
        <x:v>Errors and scan coverage visible</x:v>
      </x:c>
    </x:row>
    <x:row r="11">
      <x:c r="A11" t="n">
        <x:v>6</x:v>
      </x:c>
      <x:c r="B11" t="str">
        <x:v>Download or open latest workbook</x:v>
      </x:c>
      <x:c r="C11" t="str">
        <x:v>Output/Renewable_Tender_Tracker_V12.xlsx</x:v>
      </x:c>
      <x:c r="D11" t="str">
        <x:v>Latest active tender tracker</x:v>
      </x:c>
    </x:row>
    <x:row r="12">
      <x:c r="A12" t="n">
        <x:v>7</x:v>
      </x:c>
      <x:c r="B12" t="str">
        <x:v>Edit agency/source configuration as required</x:v>
      </x:c>
      <x:c r="C12" t="str">
        <x:v>Config/agencies.json</x:v>
      </x:c>
      <x:c r="D12" t="str">
        <x:v>Expanded or corrected source coverage</x:v>
      </x:c>
    </x:row>
    <x:row r="13">
      <x:c r="A13" t="n">
        <x:v>8</x:v>
      </x:c>
      <x:c r="B13" t="str">
        <x:v>Edit scope rules only when needed</x:v>
      </x:c>
      <x:c r="C13" t="str">
        <x:v>Config/scope_rules.json</x:v>
      </x:c>
      <x:c r="D13" t="str">
        <x:v>Eligibility criteria updated</x:v>
      </x:c>
    </x:row>
    <x:row r="14">
      <x:c r="A14" t="n">
        <x:v>9</x:v>
      </x:c>
      <x:c r="B14" t="str">
        <x:v>Restricted/CAPTCHA portals</x:v>
      </x:c>
      <x:c r="C14" t="str">
        <x:v>Manual Verification Queue</x:v>
      </x:c>
      <x:c r="D14" t="str">
        <x:v>Manual review remains visible</x:v>
      </x:c>
    </x:row>
    <x:row r="15">
      <x:c r="A15" t="n">
        <x:v>10</x:v>
      </x:c>
      <x:c r="B15" t="str">
        <x:v>Do not upload only the workbook</x:v>
      </x:c>
      <x:c r="C15" t="str">
        <x:v>Repository root</x:v>
      </x:c>
      <x:c r="D15" t="str">
        <x:v>Scripts and workflow are required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36" hidden="0" customWidth="1"/>
    <x:col min="6" max="6" width="22" hidden="0" customWidth="1"/>
    <x:col min="7" max="7" width="20" hidden="0" customWidth="1"/>
    <x:col min="8" max="8" width="20" hidden="0" customWidth="1"/>
    <x:col min="9" max="9" width="16" hidden="0" customWidth="1"/>
    <x:col min="10" max="10" width="32" hidden="0" customWidth="1"/>
  </x:cols>
  <x:sheetData>
    <x:row r="1">
      <x:c r="A1" s="225" t="str">
        <x:v>V12 Daily Automation Status</x:v>
      </x:c>
      <x:c r="B1" s="225"/>
      <x:c r="C1" s="225"/>
      <x:c r="D1" s="225"/>
      <x:c r="E1" s="225"/>
      <x:c r="F1" s="225"/>
      <x:c r="G1" s="225"/>
      <x:c r="H1" s="225"/>
      <x:c r="I1" s="225"/>
      <x:c r="J1" s="225"/>
    </x:row>
    <x:row r="2">
      <x:c r="A2" s="225"/>
      <x:c r="B2" s="225"/>
      <x:c r="C2" s="225"/>
      <x:c r="D2" s="225"/>
      <x:c r="E2" s="225"/>
      <x:c r="F2" s="225"/>
      <x:c r="G2" s="225"/>
      <x:c r="H2" s="225"/>
      <x:c r="I2" s="225"/>
      <x:c r="J2" s="225"/>
    </x:row>
    <x:row r="4">
      <x:c r="A4" s="232" t="str">
        <x:v>Setting</x:v>
      </x:c>
      <x:c r="B4" s="232" t="str">
        <x:v>Configured Value</x:v>
      </x:c>
      <x:c r="C4" s="232" t="str">
        <x:v>Runtime Value</x:v>
      </x:c>
      <x:c r="D4" s="232" t="str">
        <x:v>Notes</x:v>
      </x:c>
      <x:c r="F4" s="232" t="str">
        <x:v>Run ID</x:v>
      </x:c>
      <x:c r="G4" s="232" t="str">
        <x:v>Started</x:v>
      </x:c>
      <x:c r="H4" s="232" t="str">
        <x:v>Finished</x:v>
      </x:c>
      <x:c r="I4" s="232" t="str">
        <x:v>Records Active</x:v>
      </x:c>
      <x:c r="J4" s="232" t="str">
        <x:v>Result</x:v>
      </x:c>
    </x:row>
    <x:row r="5">
      <x:c r="A5" t="str">
        <x:v>Project Version</x:v>
      </x:c>
      <x:c r="B5" t="str">
        <x:v>14.0</x:v>
      </x:c>
      <x:c r="C5" t="str"/>
      <x:c r="D5" t="str"/>
      <x:c r="G5" s="60"/>
      <x:c r="H5" s="60"/>
    </x:row>
    <x:row r="6">
      <x:c r="A6" t="str">
        <x:v>Minimum Capacity MW</x:v>
      </x:c>
      <x:c r="B6" t="n">
        <x:v>100</x:v>
      </x:c>
      <x:c r="C6" t="str"/>
      <x:c r="D6" t="str">
        <x:v>Tenders below 100 MW are excluded</x:v>
      </x:c>
      <x:c r="G6" s="60"/>
      <x:c r="H6" s="60"/>
    </x:row>
    <x:row r="7">
      <x:c r="A7" t="str">
        <x:v>Exclude Rooftop</x:v>
      </x:c>
      <x:c r="B7" t="str">
        <x:v>Yes</x:v>
      </x:c>
      <x:c r="C7" t="str"/>
      <x:c r="D7" t="str"/>
      <x:c r="G7" s="60"/>
      <x:c r="H7" s="60"/>
    </x:row>
    <x:row r="8">
      <x:c r="A8" t="str">
        <x:v>Exclude PM-KUSUM</x:v>
      </x:c>
      <x:c r="B8" t="str">
        <x:v>Yes</x:v>
      </x:c>
      <x:c r="C8" t="str"/>
      <x:c r="D8" t="str"/>
      <x:c r="G8" s="60"/>
      <x:c r="H8" s="60"/>
    </x:row>
    <x:row r="9">
      <x:c r="A9" t="str">
        <x:v>Exclude EPC/Supply/Installation</x:v>
      </x:c>
      <x:c r="B9" t="str">
        <x:v>Daily 08:00 IST</x:v>
      </x:c>
      <x:c r="C9" t="str"/>
      <x:c r="D9" t="str"/>
      <x:c r="G9" s="60"/>
      <x:c r="H9" s="60"/>
    </x:row>
    <x:row r="10">
      <x:c r="A10" t="str">
        <x:v>Remove Closed/Expired</x:v>
      </x:c>
      <x:c r="B10" t="str">
        <x:v>Yes</x:v>
      </x:c>
      <x:c r="C10" t="str"/>
      <x:c r="D10" t="str"/>
      <x:c r="G10" s="60"/>
      <x:c r="H10" s="60"/>
    </x:row>
    <x:row r="11">
      <x:c r="A11" t="str">
        <x:v>Corrigendum Storage</x:v>
      </x:c>
      <x:c r="B11" t="str">
        <x:v>Same Master row</x:v>
      </x:c>
      <x:c r="C11" t="str"/>
      <x:c r="D11" t="str"/>
      <x:c r="G11" s="60"/>
      <x:c r="H11" s="60"/>
    </x:row>
    <x:row r="12">
      <x:c r="A12" t="str">
        <x:v>Schedule</x:v>
      </x:c>
      <x:c r="B12" t="str">
        <x:v>Daily 08:00 IST</x:v>
      </x:c>
      <x:c r="C12" t="str"/>
      <x:c r="D12" t="str">
        <x:v>02:30 UTC</x:v>
      </x:c>
      <x:c r="G12" s="60"/>
      <x:c r="H12" s="60"/>
    </x:row>
    <x:row r="13">
      <x:c r="A13" t="str">
        <x:v>Last Successful Run</x:v>
      </x:c>
      <x:c r="B13" t="str"/>
      <x:c r="C13" t="str"/>
      <x:c r="D13" t="str">
        <x:v>Written by automation</x:v>
      </x:c>
      <x:c r="G13" s="60"/>
      <x:c r="H13" s="60"/>
    </x:row>
    <x:row r="14">
      <x:c r="A14" t="str">
        <x:v>Last Run Result</x:v>
      </x:c>
      <x:c r="B14" t="str"/>
      <x:c r="C14" t="str"/>
      <x:c r="D14" t="str">
        <x:v>Written by automation</x:v>
      </x:c>
      <x:c r="G14" s="60"/>
      <x:c r="H14" s="60"/>
    </x:row>
    <x:row r="15">
      <x:c r="A15" t="str">
        <x:v>Latest Workbook Commit</x:v>
      </x:c>
      <x:c r="B15" t="str"/>
      <x:c r="C15" t="str"/>
      <x:c r="D15" t="str">
        <x:v>Written by automation</x:v>
      </x:c>
      <x:c r="G15" s="60"/>
      <x:c r="H15" s="60"/>
    </x:row>
    <x:row r="16">
      <x:c r="G16" s="60"/>
      <x:c r="H16" s="60"/>
    </x:row>
    <x:row r="17">
      <x:c r="G17" s="60"/>
      <x:c r="H17" s="60"/>
    </x:row>
    <x:row r="18">
      <x:c r="G18" s="60"/>
      <x:c r="H18" s="60"/>
    </x:row>
    <x:row r="19">
      <x:c r="G19" s="60"/>
      <x:c r="H19" s="60"/>
    </x:row>
    <x:row r="20">
      <x:c r="G20" s="60"/>
      <x:c r="H20" s="60"/>
    </x:row>
    <x:row r="21">
      <x:c r="G21" s="60"/>
      <x:c r="H21" s="60"/>
    </x:row>
    <x:row r="22">
      <x:c r="G22" s="60"/>
      <x:c r="H22" s="60"/>
    </x:row>
    <x:row r="23">
      <x:c r="G23" s="60"/>
      <x:c r="H23" s="60"/>
    </x:row>
    <x:row r="24">
      <x:c r="G24" s="60"/>
      <x:c r="H24" s="60"/>
    </x:row>
    <x:row r="25">
      <x:c r="G25" s="60"/>
      <x:c r="H25" s="60"/>
    </x:row>
    <x:row r="26">
      <x:c r="G26" s="60"/>
      <x:c r="H26" s="60"/>
    </x:row>
    <x:row r="27">
      <x:c r="G27" s="60"/>
      <x:c r="H27" s="60"/>
    </x:row>
    <x:row r="28">
      <x:c r="G28" s="60"/>
      <x:c r="H28" s="60"/>
    </x:row>
    <x:row r="29">
      <x:c r="G29" s="60"/>
      <x:c r="H29" s="60"/>
    </x:row>
    <x:row r="30">
      <x:c r="G30" s="60"/>
      <x:c r="H30" s="60"/>
    </x:row>
    <x:row r="31">
      <x:c r="G31" s="60"/>
      <x:c r="H31" s="60"/>
    </x:row>
    <x:row r="32">
      <x:c r="G32" s="60"/>
      <x:c r="H32" s="60"/>
    </x:row>
    <x:row r="33">
      <x:c r="G33" s="60"/>
      <x:c r="H33" s="60"/>
    </x:row>
    <x:row r="34">
      <x:c r="G34" s="60"/>
      <x:c r="H34" s="60"/>
    </x:row>
    <x:row r="35">
      <x:c r="G35" s="60"/>
      <x:c r="H35" s="60"/>
    </x:row>
    <x:row r="36">
      <x:c r="G36" s="60"/>
      <x:c r="H36" s="60"/>
    </x:row>
    <x:row r="37">
      <x:c r="G37" s="60"/>
      <x:c r="H37" s="60"/>
    </x:row>
    <x:row r="38">
      <x:c r="G38" s="60"/>
      <x:c r="H38" s="60"/>
    </x:row>
    <x:row r="39">
      <x:c r="G39" s="60"/>
      <x:c r="H39" s="60"/>
    </x:row>
    <x:row r="40">
      <x:c r="G40" s="60"/>
      <x:c r="H40" s="60"/>
    </x:row>
    <x:row r="41">
      <x:c r="G41" s="60"/>
      <x:c r="H41" s="60"/>
    </x:row>
    <x:row r="42">
      <x:c r="G42" s="60"/>
      <x:c r="H42" s="60"/>
    </x:row>
    <x:row r="43">
      <x:c r="G43" s="60"/>
      <x:c r="H43" s="60"/>
    </x:row>
    <x:row r="44">
      <x:c r="G44" s="60"/>
      <x:c r="H44" s="60"/>
    </x:row>
    <x:row r="45">
      <x:c r="G45" s="60"/>
      <x:c r="H45" s="60"/>
    </x:row>
    <x:row r="46">
      <x:c r="G46" s="60"/>
      <x:c r="H46" s="60"/>
    </x:row>
    <x:row r="47">
      <x:c r="G47" s="60"/>
      <x:c r="H47" s="60"/>
    </x:row>
    <x:row r="48">
      <x:c r="G48" s="60"/>
      <x:c r="H48" s="60"/>
    </x:row>
    <x:row r="49">
      <x:c r="G49" s="60"/>
      <x:c r="H49" s="60"/>
    </x:row>
    <x:row r="50">
      <x:c r="G50" s="60"/>
      <x:c r="H50" s="60"/>
    </x:row>
    <x:row r="51">
      <x:c r="G51" s="60"/>
      <x:c r="H51" s="60"/>
    </x:row>
    <x:row r="52">
      <x:c r="G52" s="60"/>
      <x:c r="H52" s="60"/>
    </x:row>
    <x:row r="53">
      <x:c r="G53" s="60"/>
      <x:c r="H53" s="60"/>
    </x:row>
    <x:row r="54">
      <x:c r="G54" s="60"/>
      <x:c r="H54" s="60"/>
    </x:row>
    <x:row r="55">
      <x:c r="G55" s="60"/>
      <x:c r="H55" s="60"/>
    </x:row>
    <x:row r="56">
      <x:c r="G56" s="60"/>
      <x:c r="H56" s="60"/>
    </x:row>
    <x:row r="57">
      <x:c r="G57" s="60"/>
      <x:c r="H57" s="60"/>
    </x:row>
    <x:row r="58">
      <x:c r="G58" s="60"/>
      <x:c r="H58" s="60"/>
    </x:row>
    <x:row r="59">
      <x:c r="G59" s="60"/>
      <x:c r="H59" s="60"/>
    </x:row>
    <x:row r="60">
      <x:c r="G60" s="60"/>
      <x:c r="H60" s="60"/>
    </x:row>
    <x:row r="61">
      <x:c r="G61" s="60"/>
      <x:c r="H61" s="60"/>
    </x:row>
    <x:row r="62">
      <x:c r="G62" s="60"/>
      <x:c r="H62" s="60"/>
    </x:row>
    <x:row r="63">
      <x:c r="G63" s="60"/>
      <x:c r="H63" s="60"/>
    </x:row>
    <x:row r="64">
      <x:c r="G64" s="60"/>
      <x:c r="H64" s="60"/>
    </x:row>
    <x:row r="65">
      <x:c r="G65" s="60"/>
      <x:c r="H65" s="60"/>
    </x:row>
    <x:row r="66">
      <x:c r="G66" s="60"/>
      <x:c r="H66" s="60"/>
    </x:row>
    <x:row r="67">
      <x:c r="G67" s="60"/>
      <x:c r="H67" s="60"/>
    </x:row>
    <x:row r="68">
      <x:c r="G68" s="60"/>
      <x:c r="H68" s="60"/>
    </x:row>
    <x:row r="69">
      <x:c r="G69" s="60"/>
      <x:c r="H69" s="60"/>
    </x:row>
    <x:row r="70">
      <x:c r="G70" s="60"/>
      <x:c r="H70" s="60"/>
    </x:row>
    <x:row r="71">
      <x:c r="G71" s="60"/>
      <x:c r="H71" s="60"/>
    </x:row>
    <x:row r="72">
      <x:c r="G72" s="60"/>
      <x:c r="H72" s="60"/>
    </x:row>
    <x:row r="73">
      <x:c r="G73" s="60"/>
      <x:c r="H73" s="60"/>
    </x:row>
    <x:row r="74">
      <x:c r="G74" s="60"/>
      <x:c r="H74" s="60"/>
    </x:row>
    <x:row r="75">
      <x:c r="G75" s="60"/>
      <x:c r="H75" s="60"/>
    </x:row>
    <x:row r="76">
      <x:c r="G76" s="60"/>
      <x:c r="H76" s="60"/>
    </x:row>
    <x:row r="77">
      <x:c r="G77" s="60"/>
      <x:c r="H77" s="60"/>
    </x:row>
    <x:row r="78">
      <x:c r="G78" s="60"/>
      <x:c r="H78" s="60"/>
    </x:row>
    <x:row r="79">
      <x:c r="G79" s="60"/>
      <x:c r="H79" s="60"/>
    </x:row>
    <x:row r="80">
      <x:c r="G80" s="60"/>
      <x:c r="H80" s="60"/>
    </x:row>
    <x:row r="81">
      <x:c r="G81" s="60"/>
      <x:c r="H81" s="60"/>
    </x:row>
    <x:row r="82">
      <x:c r="G82" s="60"/>
      <x:c r="H82" s="60"/>
    </x:row>
    <x:row r="83">
      <x:c r="G83" s="60"/>
      <x:c r="H83" s="60"/>
    </x:row>
    <x:row r="84">
      <x:c r="G84" s="60"/>
      <x:c r="H84" s="60"/>
    </x:row>
    <x:row r="85">
      <x:c r="G85" s="60"/>
      <x:c r="H85" s="60"/>
    </x:row>
    <x:row r="86">
      <x:c r="G86" s="60"/>
      <x:c r="H86" s="60"/>
    </x:row>
    <x:row r="87">
      <x:c r="G87" s="60"/>
      <x:c r="H87" s="60"/>
    </x:row>
    <x:row r="88">
      <x:c r="G88" s="60"/>
      <x:c r="H88" s="60"/>
    </x:row>
    <x:row r="89">
      <x:c r="G89" s="60"/>
      <x:c r="H89" s="60"/>
    </x:row>
    <x:row r="90">
      <x:c r="G90" s="60"/>
      <x:c r="H90" s="60"/>
    </x:row>
    <x:row r="91">
      <x:c r="G91" s="60"/>
      <x:c r="H91" s="60"/>
    </x:row>
    <x:row r="92">
      <x:c r="G92" s="60"/>
      <x:c r="H92" s="60"/>
    </x:row>
    <x:row r="93">
      <x:c r="G93" s="60"/>
      <x:c r="H93" s="60"/>
    </x:row>
    <x:row r="94">
      <x:c r="G94" s="60"/>
      <x:c r="H94" s="60"/>
    </x:row>
    <x:row r="95">
      <x:c r="G95" s="60"/>
      <x:c r="H95" s="60"/>
    </x:row>
    <x:row r="96">
      <x:c r="G96" s="60"/>
      <x:c r="H96" s="60"/>
    </x:row>
    <x:row r="97">
      <x:c r="G97" s="60"/>
      <x:c r="H97" s="60"/>
    </x:row>
    <x:row r="98">
      <x:c r="G98" s="60"/>
      <x:c r="H98" s="60"/>
    </x:row>
    <x:row r="99">
      <x:c r="G99" s="60"/>
      <x:c r="H99" s="60"/>
    </x:row>
    <x:row r="100">
      <x:c r="G100" s="60"/>
      <x:c r="H100" s="60"/>
    </x:row>
    <x:row r="101">
      <x:c r="G101" s="60"/>
      <x:c r="H101" s="60"/>
    </x:row>
    <x:row r="102">
      <x:c r="G102" s="60"/>
      <x:c r="H102" s="60"/>
    </x:row>
    <x:row r="103">
      <x:c r="G103" s="60"/>
      <x:c r="H103" s="60"/>
    </x:row>
    <x:row r="104">
      <x:c r="G104" s="60"/>
      <x:c r="H104" s="60"/>
    </x:row>
    <x:row r="105">
      <x:c r="G105" s="60"/>
      <x:c r="H105" s="60"/>
    </x:row>
    <x:row r="106">
      <x:c r="G106" s="60"/>
      <x:c r="H106" s="60"/>
    </x:row>
    <x:row r="107">
      <x:c r="G107" s="60"/>
      <x:c r="H107" s="60"/>
    </x:row>
    <x:row r="108">
      <x:c r="G108" s="60"/>
      <x:c r="H108" s="60"/>
    </x:row>
    <x:row r="109">
      <x:c r="G109" s="60"/>
      <x:c r="H109" s="60"/>
    </x:row>
    <x:row r="110">
      <x:c r="G110" s="60"/>
      <x:c r="H110" s="60"/>
    </x:row>
    <x:row r="111">
      <x:c r="G111" s="60"/>
      <x:c r="H111" s="60"/>
    </x:row>
    <x:row r="112">
      <x:c r="G112" s="60"/>
      <x:c r="H112" s="60"/>
    </x:row>
    <x:row r="113">
      <x:c r="G113" s="60"/>
      <x:c r="H113" s="60"/>
    </x:row>
    <x:row r="114">
      <x:c r="G114" s="60"/>
      <x:c r="H114" s="60"/>
    </x:row>
    <x:row r="115">
      <x:c r="G115" s="60"/>
      <x:c r="H115" s="60"/>
    </x:row>
    <x:row r="116">
      <x:c r="G116" s="60"/>
      <x:c r="H116" s="60"/>
    </x:row>
    <x:row r="117">
      <x:c r="G117" s="60"/>
      <x:c r="H117" s="60"/>
    </x:row>
    <x:row r="118">
      <x:c r="G118" s="60"/>
      <x:c r="H118" s="60"/>
    </x:row>
    <x:row r="119">
      <x:c r="G119" s="60"/>
      <x:c r="H119" s="60"/>
    </x:row>
    <x:row r="120">
      <x:c r="G120" s="60"/>
      <x:c r="H120" s="60"/>
    </x:row>
    <x:row r="121">
      <x:c r="G121" s="60"/>
      <x:c r="H121" s="60"/>
    </x:row>
    <x:row r="122">
      <x:c r="G122" s="60"/>
      <x:c r="H122" s="60"/>
    </x:row>
    <x:row r="123">
      <x:c r="G123" s="60"/>
      <x:c r="H123" s="60"/>
    </x:row>
    <x:row r="124">
      <x:c r="G124" s="60"/>
      <x:c r="H124" s="60"/>
    </x:row>
    <x:row r="125">
      <x:c r="G125" s="60"/>
      <x:c r="H125" s="60"/>
    </x:row>
    <x:row r="126">
      <x:c r="G126" s="60"/>
      <x:c r="H126" s="60"/>
    </x:row>
    <x:row r="127">
      <x:c r="G127" s="60"/>
      <x:c r="H127" s="60"/>
    </x:row>
    <x:row r="128">
      <x:c r="G128" s="60"/>
      <x:c r="H128" s="60"/>
    </x:row>
    <x:row r="129">
      <x:c r="G129" s="60"/>
      <x:c r="H129" s="60"/>
    </x:row>
    <x:row r="130">
      <x:c r="G130" s="60"/>
      <x:c r="H130" s="60"/>
    </x:row>
    <x:row r="131">
      <x:c r="G131" s="60"/>
      <x:c r="H131" s="60"/>
    </x:row>
    <x:row r="132">
      <x:c r="G132" s="60"/>
      <x:c r="H132" s="60"/>
    </x:row>
    <x:row r="133">
      <x:c r="G133" s="60"/>
      <x:c r="H133" s="60"/>
    </x:row>
    <x:row r="134">
      <x:c r="G134" s="60"/>
      <x:c r="H134" s="60"/>
    </x:row>
    <x:row r="135">
      <x:c r="G135" s="60"/>
      <x:c r="H135" s="60"/>
    </x:row>
    <x:row r="136">
      <x:c r="G136" s="60"/>
      <x:c r="H136" s="60"/>
    </x:row>
    <x:row r="137">
      <x:c r="G137" s="60"/>
      <x:c r="H137" s="60"/>
    </x:row>
    <x:row r="138">
      <x:c r="G138" s="60"/>
      <x:c r="H138" s="60"/>
    </x:row>
    <x:row r="139">
      <x:c r="G139" s="60"/>
      <x:c r="H139" s="60"/>
    </x:row>
    <x:row r="140">
      <x:c r="G140" s="60"/>
      <x:c r="H140" s="60"/>
    </x:row>
    <x:row r="141">
      <x:c r="G141" s="60"/>
      <x:c r="H141" s="60"/>
    </x:row>
    <x:row r="142">
      <x:c r="G142" s="60"/>
      <x:c r="H142" s="60"/>
    </x:row>
    <x:row r="143">
      <x:c r="G143" s="60"/>
      <x:c r="H143" s="60"/>
    </x:row>
    <x:row r="144">
      <x:c r="G144" s="60"/>
      <x:c r="H144" s="60"/>
    </x:row>
    <x:row r="145">
      <x:c r="G145" s="60"/>
      <x:c r="H145" s="60"/>
    </x:row>
    <x:row r="146">
      <x:c r="G146" s="60"/>
      <x:c r="H146" s="60"/>
    </x:row>
    <x:row r="147">
      <x:c r="G147" s="60"/>
      <x:c r="H147" s="60"/>
    </x:row>
    <x:row r="148">
      <x:c r="G148" s="60"/>
      <x:c r="H148" s="60"/>
    </x:row>
    <x:row r="149">
      <x:c r="G149" s="60"/>
      <x:c r="H149" s="60"/>
    </x:row>
    <x:row r="150">
      <x:c r="G150" s="60"/>
      <x:c r="H150" s="60"/>
    </x:row>
    <x:row r="151">
      <x:c r="G151" s="60"/>
      <x:c r="H151" s="60"/>
    </x:row>
    <x:row r="152">
      <x:c r="G152" s="60"/>
      <x:c r="H152" s="60"/>
    </x:row>
    <x:row r="153">
      <x:c r="G153" s="60"/>
      <x:c r="H153" s="60"/>
    </x:row>
    <x:row r="154">
      <x:c r="G154" s="60"/>
      <x:c r="H154" s="60"/>
    </x:row>
    <x:row r="155">
      <x:c r="G155" s="60"/>
      <x:c r="H155" s="60"/>
    </x:row>
    <x:row r="156">
      <x:c r="G156" s="60"/>
      <x:c r="H156" s="60"/>
    </x:row>
    <x:row r="157">
      <x:c r="G157" s="60"/>
      <x:c r="H157" s="60"/>
    </x:row>
    <x:row r="158">
      <x:c r="G158" s="60"/>
      <x:c r="H158" s="60"/>
    </x:row>
    <x:row r="159">
      <x:c r="G159" s="60"/>
      <x:c r="H159" s="60"/>
    </x:row>
    <x:row r="160">
      <x:c r="G160" s="60"/>
      <x:c r="H160" s="60"/>
    </x:row>
    <x:row r="161">
      <x:c r="G161" s="60"/>
      <x:c r="H161" s="60"/>
    </x:row>
    <x:row r="162">
      <x:c r="G162" s="60"/>
      <x:c r="H162" s="60"/>
    </x:row>
    <x:row r="163">
      <x:c r="G163" s="60"/>
      <x:c r="H163" s="60"/>
    </x:row>
    <x:row r="164">
      <x:c r="G164" s="60"/>
      <x:c r="H164" s="60"/>
    </x:row>
    <x:row r="165">
      <x:c r="G165" s="60"/>
      <x:c r="H165" s="60"/>
    </x:row>
    <x:row r="166">
      <x:c r="G166" s="60"/>
      <x:c r="H166" s="60"/>
    </x:row>
    <x:row r="167">
      <x:c r="G167" s="60"/>
      <x:c r="H167" s="60"/>
    </x:row>
    <x:row r="168">
      <x:c r="G168" s="60"/>
      <x:c r="H168" s="60"/>
    </x:row>
    <x:row r="169">
      <x:c r="G169" s="60"/>
      <x:c r="H169" s="60"/>
    </x:row>
    <x:row r="170">
      <x:c r="G170" s="60"/>
      <x:c r="H170" s="60"/>
    </x:row>
    <x:row r="171">
      <x:c r="G171" s="60"/>
      <x:c r="H171" s="60"/>
    </x:row>
    <x:row r="172">
      <x:c r="G172" s="60"/>
      <x:c r="H172" s="60"/>
    </x:row>
    <x:row r="173">
      <x:c r="G173" s="60"/>
      <x:c r="H173" s="60"/>
    </x:row>
    <x:row r="174">
      <x:c r="G174" s="60"/>
      <x:c r="H174" s="60"/>
    </x:row>
    <x:row r="175">
      <x:c r="G175" s="60"/>
      <x:c r="H175" s="60"/>
    </x:row>
    <x:row r="176">
      <x:c r="G176" s="60"/>
      <x:c r="H176" s="60"/>
    </x:row>
    <x:row r="177">
      <x:c r="G177" s="60"/>
      <x:c r="H177" s="60"/>
    </x:row>
    <x:row r="178">
      <x:c r="G178" s="60"/>
      <x:c r="H178" s="60"/>
    </x:row>
    <x:row r="179">
      <x:c r="G179" s="60"/>
      <x:c r="H179" s="60"/>
    </x:row>
    <x:row r="180">
      <x:c r="G180" s="60"/>
      <x:c r="H180" s="60"/>
    </x:row>
    <x:row r="181">
      <x:c r="G181" s="60"/>
      <x:c r="H181" s="60"/>
    </x:row>
    <x:row r="182">
      <x:c r="G182" s="60"/>
      <x:c r="H182" s="60"/>
    </x:row>
    <x:row r="183">
      <x:c r="G183" s="60"/>
      <x:c r="H183" s="60"/>
    </x:row>
    <x:row r="184">
      <x:c r="G184" s="60"/>
      <x:c r="H184" s="60"/>
    </x:row>
    <x:row r="185">
      <x:c r="G185" s="60"/>
      <x:c r="H185" s="60"/>
    </x:row>
    <x:row r="186">
      <x:c r="G186" s="60"/>
      <x:c r="H186" s="60"/>
    </x:row>
    <x:row r="187">
      <x:c r="G187" s="60"/>
      <x:c r="H187" s="60"/>
    </x:row>
    <x:row r="188">
      <x:c r="G188" s="60"/>
      <x:c r="H188" s="60"/>
    </x:row>
    <x:row r="189">
      <x:c r="G189" s="60"/>
      <x:c r="H189" s="60"/>
    </x:row>
    <x:row r="190">
      <x:c r="G190" s="60"/>
      <x:c r="H190" s="60"/>
    </x:row>
    <x:row r="191">
      <x:c r="G191" s="60"/>
      <x:c r="H191" s="60"/>
    </x:row>
    <x:row r="192">
      <x:c r="G192" s="60"/>
      <x:c r="H192" s="60"/>
    </x:row>
    <x:row r="193">
      <x:c r="G193" s="60"/>
      <x:c r="H193" s="60"/>
    </x:row>
    <x:row r="194">
      <x:c r="G194" s="60"/>
      <x:c r="H194" s="60"/>
    </x:row>
    <x:row r="195">
      <x:c r="G195" s="60"/>
      <x:c r="H195" s="60"/>
    </x:row>
    <x:row r="196">
      <x:c r="G196" s="60"/>
      <x:c r="H196" s="60"/>
    </x:row>
    <x:row r="197">
      <x:c r="G197" s="60"/>
      <x:c r="H197" s="60"/>
    </x:row>
    <x:row r="198">
      <x:c r="G198" s="60"/>
      <x:c r="H198" s="60"/>
    </x:row>
    <x:row r="199">
      <x:c r="G199" s="60"/>
      <x:c r="H199" s="60"/>
    </x:row>
    <x:row r="200">
      <x:c r="G200" s="60"/>
      <x:c r="H200" s="60"/>
    </x:row>
    <x:row r="201">
      <x:c r="G201" s="60"/>
      <x:c r="H201" s="60"/>
    </x:row>
    <x:row r="202">
      <x:c r="G202" s="60"/>
      <x:c r="H202" s="60"/>
    </x:row>
    <x:row r="203">
      <x:c r="G203" s="60"/>
      <x:c r="H203" s="60"/>
    </x:row>
    <x:row r="204">
      <x:c r="G204" s="60"/>
      <x:c r="H204" s="60"/>
    </x:row>
    <x:row r="205">
      <x:c r="G205" s="60"/>
      <x:c r="H205" s="60"/>
    </x:row>
    <x:row r="206">
      <x:c r="G206" s="60"/>
      <x:c r="H206" s="60"/>
    </x:row>
    <x:row r="207">
      <x:c r="G207" s="60"/>
      <x:c r="H207" s="60"/>
    </x:row>
    <x:row r="208">
      <x:c r="G208" s="60"/>
      <x:c r="H208" s="60"/>
    </x:row>
    <x:row r="209">
      <x:c r="G209" s="60"/>
      <x:c r="H209" s="60"/>
    </x:row>
    <x:row r="210">
      <x:c r="G210" s="60"/>
      <x:c r="H210" s="60"/>
    </x:row>
    <x:row r="211">
      <x:c r="G211" s="60"/>
      <x:c r="H211" s="60"/>
    </x:row>
    <x:row r="212">
      <x:c r="G212" s="60"/>
      <x:c r="H212" s="60"/>
    </x:row>
    <x:row r="213">
      <x:c r="G213" s="60"/>
      <x:c r="H213" s="60"/>
    </x:row>
    <x:row r="214">
      <x:c r="G214" s="60"/>
      <x:c r="H214" s="60"/>
    </x:row>
    <x:row r="215">
      <x:c r="G215" s="60"/>
      <x:c r="H215" s="60"/>
    </x:row>
    <x:row r="216">
      <x:c r="G216" s="60"/>
      <x:c r="H216" s="60"/>
    </x:row>
    <x:row r="217">
      <x:c r="G217" s="60"/>
      <x:c r="H217" s="60"/>
    </x:row>
    <x:row r="218">
      <x:c r="G218" s="60"/>
      <x:c r="H218" s="60"/>
    </x:row>
    <x:row r="219">
      <x:c r="G219" s="60"/>
      <x:c r="H219" s="60"/>
    </x:row>
    <x:row r="220">
      <x:c r="G220" s="60"/>
      <x:c r="H220" s="60"/>
    </x:row>
    <x:row r="221">
      <x:c r="G221" s="60"/>
      <x:c r="H221" s="60"/>
    </x:row>
    <x:row r="222">
      <x:c r="G222" s="60"/>
      <x:c r="H222" s="60"/>
    </x:row>
    <x:row r="223">
      <x:c r="G223" s="60"/>
      <x:c r="H223" s="60"/>
    </x:row>
    <x:row r="224">
      <x:c r="G224" s="60"/>
      <x:c r="H224" s="60"/>
    </x:row>
    <x:row r="225">
      <x:c r="G225" s="60"/>
      <x:c r="H225" s="60"/>
    </x:row>
    <x:row r="226">
      <x:c r="G226" s="60"/>
      <x:c r="H226" s="60"/>
    </x:row>
    <x:row r="227">
      <x:c r="G227" s="60"/>
      <x:c r="H227" s="60"/>
    </x:row>
    <x:row r="228">
      <x:c r="G228" s="60"/>
      <x:c r="H228" s="60"/>
    </x:row>
    <x:row r="229">
      <x:c r="G229" s="60"/>
      <x:c r="H229" s="60"/>
    </x:row>
    <x:row r="230">
      <x:c r="G230" s="60"/>
      <x:c r="H230" s="60"/>
    </x:row>
    <x:row r="231">
      <x:c r="G231" s="60"/>
      <x:c r="H231" s="60"/>
    </x:row>
    <x:row r="232">
      <x:c r="G232" s="60"/>
      <x:c r="H232" s="60"/>
    </x:row>
    <x:row r="233">
      <x:c r="G233" s="60"/>
      <x:c r="H233" s="60"/>
    </x:row>
    <x:row r="234">
      <x:c r="G234" s="60"/>
      <x:c r="H234" s="60"/>
    </x:row>
    <x:row r="235">
      <x:c r="G235" s="60"/>
      <x:c r="H235" s="60"/>
    </x:row>
    <x:row r="236">
      <x:c r="G236" s="60"/>
      <x:c r="H236" s="60"/>
    </x:row>
    <x:row r="237">
      <x:c r="G237" s="60"/>
      <x:c r="H237" s="60"/>
    </x:row>
    <x:row r="238">
      <x:c r="G238" s="60"/>
      <x:c r="H238" s="60"/>
    </x:row>
    <x:row r="239">
      <x:c r="G239" s="60"/>
      <x:c r="H239" s="60"/>
    </x:row>
    <x:row r="240">
      <x:c r="G240" s="60"/>
      <x:c r="H240" s="60"/>
    </x:row>
    <x:row r="241">
      <x:c r="G241" s="60"/>
      <x:c r="H241" s="60"/>
    </x:row>
    <x:row r="242">
      <x:c r="G242" s="60"/>
      <x:c r="H242" s="60"/>
    </x:row>
    <x:row r="243">
      <x:c r="G243" s="60"/>
      <x:c r="H243" s="60"/>
    </x:row>
    <x:row r="244">
      <x:c r="G244" s="60"/>
      <x:c r="H244" s="60"/>
    </x:row>
    <x:row r="245">
      <x:c r="G245" s="60"/>
      <x:c r="H245" s="60"/>
    </x:row>
    <x:row r="246">
      <x:c r="G246" s="60"/>
      <x:c r="H246" s="60"/>
    </x:row>
    <x:row r="247">
      <x:c r="G247" s="60"/>
      <x:c r="H247" s="60"/>
    </x:row>
    <x:row r="248">
      <x:c r="G248" s="60"/>
      <x:c r="H248" s="60"/>
    </x:row>
    <x:row r="249">
      <x:c r="G249" s="60"/>
      <x:c r="H249" s="60"/>
    </x:row>
    <x:row r="250">
      <x:c r="G250" s="60"/>
      <x:c r="H250" s="60"/>
    </x:row>
    <x:row r="251">
      <x:c r="G251" s="60"/>
      <x:c r="H251" s="60"/>
    </x:row>
    <x:row r="252">
      <x:c r="G252" s="60"/>
      <x:c r="H252" s="60"/>
    </x:row>
    <x:row r="253">
      <x:c r="G253" s="60"/>
      <x:c r="H253" s="60"/>
    </x:row>
    <x:row r="254">
      <x:c r="G254" s="60"/>
      <x:c r="H254" s="60"/>
    </x:row>
    <x:row r="255">
      <x:c r="G255" s="60"/>
      <x:c r="H255" s="60"/>
    </x:row>
    <x:row r="256">
      <x:c r="G256" s="60"/>
      <x:c r="H256" s="60"/>
    </x:row>
    <x:row r="257">
      <x:c r="G257" s="60"/>
      <x:c r="H257" s="60"/>
    </x:row>
    <x:row r="258">
      <x:c r="G258" s="60"/>
      <x:c r="H258" s="60"/>
    </x:row>
    <x:row r="259">
      <x:c r="G259" s="60"/>
      <x:c r="H259" s="60"/>
    </x:row>
    <x:row r="260">
      <x:c r="G260" s="60"/>
      <x:c r="H260" s="60"/>
    </x:row>
    <x:row r="261">
      <x:c r="G261" s="60"/>
      <x:c r="H261" s="60"/>
    </x:row>
    <x:row r="262">
      <x:c r="G262" s="60"/>
      <x:c r="H262" s="60"/>
    </x:row>
    <x:row r="263">
      <x:c r="G263" s="60"/>
      <x:c r="H263" s="60"/>
    </x:row>
    <x:row r="264">
      <x:c r="G264" s="60"/>
      <x:c r="H264" s="60"/>
    </x:row>
    <x:row r="265">
      <x:c r="G265" s="60"/>
      <x:c r="H265" s="60"/>
    </x:row>
    <x:row r="266">
      <x:c r="G266" s="60"/>
      <x:c r="H266" s="60"/>
    </x:row>
    <x:row r="267">
      <x:c r="G267" s="60"/>
      <x:c r="H267" s="60"/>
    </x:row>
    <x:row r="268">
      <x:c r="G268" s="60"/>
      <x:c r="H268" s="60"/>
    </x:row>
    <x:row r="269">
      <x:c r="G269" s="60"/>
      <x:c r="H269" s="60"/>
    </x:row>
    <x:row r="270">
      <x:c r="G270" s="60"/>
      <x:c r="H270" s="60"/>
    </x:row>
    <x:row r="271">
      <x:c r="G271" s="60"/>
      <x:c r="H271" s="60"/>
    </x:row>
    <x:row r="272">
      <x:c r="G272" s="60"/>
      <x:c r="H272" s="60"/>
    </x:row>
    <x:row r="273">
      <x:c r="G273" s="60"/>
      <x:c r="H273" s="60"/>
    </x:row>
    <x:row r="274">
      <x:c r="G274" s="60"/>
      <x:c r="H274" s="60"/>
    </x:row>
    <x:row r="275">
      <x:c r="G275" s="60"/>
      <x:c r="H275" s="60"/>
    </x:row>
    <x:row r="276">
      <x:c r="G276" s="60"/>
      <x:c r="H276" s="60"/>
    </x:row>
    <x:row r="277">
      <x:c r="G277" s="60"/>
      <x:c r="H277" s="60"/>
    </x:row>
    <x:row r="278">
      <x:c r="G278" s="60"/>
      <x:c r="H278" s="60"/>
    </x:row>
    <x:row r="279">
      <x:c r="G279" s="60"/>
      <x:c r="H279" s="60"/>
    </x:row>
    <x:row r="280">
      <x:c r="G280" s="60"/>
      <x:c r="H280" s="60"/>
    </x:row>
    <x:row r="281">
      <x:c r="G281" s="60"/>
      <x:c r="H281" s="60"/>
    </x:row>
    <x:row r="282">
      <x:c r="G282" s="60"/>
      <x:c r="H282" s="60"/>
    </x:row>
    <x:row r="283">
      <x:c r="G283" s="60"/>
      <x:c r="H283" s="60"/>
    </x:row>
    <x:row r="284">
      <x:c r="G284" s="60"/>
      <x:c r="H284" s="60"/>
    </x:row>
    <x:row r="285">
      <x:c r="G285" s="60"/>
      <x:c r="H285" s="60"/>
    </x:row>
    <x:row r="286">
      <x:c r="G286" s="60"/>
      <x:c r="H286" s="60"/>
    </x:row>
    <x:row r="287">
      <x:c r="G287" s="60"/>
      <x:c r="H287" s="60"/>
    </x:row>
    <x:row r="288">
      <x:c r="G288" s="60"/>
      <x:c r="H288" s="60"/>
    </x:row>
    <x:row r="289">
      <x:c r="G289" s="60"/>
      <x:c r="H289" s="60"/>
    </x:row>
    <x:row r="290">
      <x:c r="G290" s="60"/>
      <x:c r="H290" s="60"/>
    </x:row>
    <x:row r="291">
      <x:c r="G291" s="60"/>
      <x:c r="H291" s="60"/>
    </x:row>
    <x:row r="292">
      <x:c r="G292" s="60"/>
      <x:c r="H292" s="60"/>
    </x:row>
    <x:row r="293">
      <x:c r="G293" s="60"/>
      <x:c r="H293" s="60"/>
    </x:row>
    <x:row r="294">
      <x:c r="G294" s="60"/>
      <x:c r="H294" s="60"/>
    </x:row>
    <x:row r="295">
      <x:c r="G295" s="60"/>
      <x:c r="H295" s="60"/>
    </x:row>
    <x:row r="296">
      <x:c r="G296" s="60"/>
      <x:c r="H296" s="60"/>
    </x:row>
    <x:row r="297">
      <x:c r="G297" s="60"/>
      <x:c r="H297" s="60"/>
    </x:row>
    <x:row r="298">
      <x:c r="G298" s="60"/>
      <x:c r="H298" s="60"/>
    </x:row>
    <x:row r="299">
      <x:c r="G299" s="60"/>
      <x:c r="H299" s="60"/>
    </x:row>
    <x:row r="300">
      <x:c r="G300" s="60"/>
      <x:c r="H300" s="60"/>
    </x:row>
    <x:row r="301">
      <x:c r="G301" s="60"/>
      <x:c r="H301" s="60"/>
    </x:row>
    <x:row r="302">
      <x:c r="G302" s="60"/>
      <x:c r="H302" s="60"/>
    </x:row>
    <x:row r="303">
      <x:c r="G303" s="60"/>
      <x:c r="H303" s="60"/>
    </x:row>
    <x:row r="304">
      <x:c r="G304" s="60"/>
      <x:c r="H304" s="60"/>
    </x:row>
    <x:row r="305">
      <x:c r="G305" s="60"/>
      <x:c r="H305" s="60"/>
    </x:row>
    <x:row r="306">
      <x:c r="G306" s="60"/>
      <x:c r="H306" s="60"/>
    </x:row>
    <x:row r="307">
      <x:c r="G307" s="60"/>
      <x:c r="H307" s="60"/>
    </x:row>
    <x:row r="308">
      <x:c r="G308" s="60"/>
      <x:c r="H308" s="60"/>
    </x:row>
    <x:row r="309">
      <x:c r="G309" s="60"/>
      <x:c r="H309" s="60"/>
    </x:row>
    <x:row r="310">
      <x:c r="G310" s="60"/>
      <x:c r="H310" s="60"/>
    </x:row>
    <x:row r="311">
      <x:c r="G311" s="60"/>
      <x:c r="H311" s="60"/>
    </x:row>
    <x:row r="312">
      <x:c r="G312" s="60"/>
      <x:c r="H312" s="60"/>
    </x:row>
    <x:row r="313">
      <x:c r="G313" s="60"/>
      <x:c r="H313" s="60"/>
    </x:row>
    <x:row r="314">
      <x:c r="G314" s="60"/>
      <x:c r="H314" s="60"/>
    </x:row>
    <x:row r="315">
      <x:c r="G315" s="60"/>
      <x:c r="H315" s="60"/>
    </x:row>
    <x:row r="316">
      <x:c r="G316" s="60"/>
      <x:c r="H316" s="60"/>
    </x:row>
    <x:row r="317">
      <x:c r="G317" s="60"/>
      <x:c r="H317" s="60"/>
    </x:row>
    <x:row r="318">
      <x:c r="G318" s="60"/>
      <x:c r="H318" s="60"/>
    </x:row>
    <x:row r="319">
      <x:c r="G319" s="60"/>
      <x:c r="H319" s="60"/>
    </x:row>
    <x:row r="320">
      <x:c r="G320" s="60"/>
      <x:c r="H320" s="60"/>
    </x:row>
    <x:row r="321">
      <x:c r="G321" s="60"/>
      <x:c r="H321" s="60"/>
    </x:row>
    <x:row r="322">
      <x:c r="G322" s="60"/>
      <x:c r="H322" s="60"/>
    </x:row>
    <x:row r="323">
      <x:c r="G323" s="60"/>
      <x:c r="H323" s="60"/>
    </x:row>
    <x:row r="324">
      <x:c r="G324" s="60"/>
      <x:c r="H324" s="60"/>
    </x:row>
    <x:row r="325">
      <x:c r="G325" s="60"/>
      <x:c r="H325" s="60"/>
    </x:row>
    <x:row r="326">
      <x:c r="G326" s="60"/>
      <x:c r="H326" s="60"/>
    </x:row>
    <x:row r="327">
      <x:c r="G327" s="60"/>
      <x:c r="H327" s="60"/>
    </x:row>
    <x:row r="328">
      <x:c r="G328" s="60"/>
      <x:c r="H328" s="60"/>
    </x:row>
    <x:row r="329">
      <x:c r="G329" s="60"/>
      <x:c r="H329" s="60"/>
    </x:row>
    <x:row r="330">
      <x:c r="G330" s="60"/>
      <x:c r="H330" s="60"/>
    </x:row>
    <x:row r="331">
      <x:c r="G331" s="60"/>
      <x:c r="H331" s="60"/>
    </x:row>
    <x:row r="332">
      <x:c r="G332" s="60"/>
      <x:c r="H332" s="60"/>
    </x:row>
    <x:row r="333">
      <x:c r="G333" s="60"/>
      <x:c r="H333" s="60"/>
    </x:row>
    <x:row r="334">
      <x:c r="G334" s="60"/>
      <x:c r="H334" s="60"/>
    </x:row>
    <x:row r="335">
      <x:c r="G335" s="60"/>
      <x:c r="H335" s="60"/>
    </x:row>
    <x:row r="336">
      <x:c r="G336" s="60"/>
      <x:c r="H336" s="60"/>
    </x:row>
    <x:row r="337">
      <x:c r="G337" s="60"/>
      <x:c r="H337" s="60"/>
    </x:row>
    <x:row r="338">
      <x:c r="G338" s="60"/>
      <x:c r="H338" s="60"/>
    </x:row>
    <x:row r="339">
      <x:c r="G339" s="60"/>
      <x:c r="H339" s="60"/>
    </x:row>
    <x:row r="340">
      <x:c r="G340" s="60"/>
      <x:c r="H340" s="60"/>
    </x:row>
    <x:row r="341">
      <x:c r="G341" s="60"/>
      <x:c r="H341" s="60"/>
    </x:row>
    <x:row r="342">
      <x:c r="G342" s="60"/>
      <x:c r="H342" s="60"/>
    </x:row>
    <x:row r="343">
      <x:c r="G343" s="60"/>
      <x:c r="H343" s="60"/>
    </x:row>
    <x:row r="344">
      <x:c r="G344" s="60"/>
      <x:c r="H344" s="60"/>
    </x:row>
    <x:row r="345">
      <x:c r="G345" s="60"/>
      <x:c r="H345" s="60"/>
    </x:row>
    <x:row r="346">
      <x:c r="G346" s="60"/>
      <x:c r="H346" s="60"/>
    </x:row>
    <x:row r="347">
      <x:c r="G347" s="60"/>
      <x:c r="H347" s="60"/>
    </x:row>
    <x:row r="348">
      <x:c r="G348" s="60"/>
      <x:c r="H348" s="60"/>
    </x:row>
    <x:row r="349">
      <x:c r="G349" s="60"/>
      <x:c r="H349" s="60"/>
    </x:row>
    <x:row r="350">
      <x:c r="G350" s="60"/>
      <x:c r="H350" s="60"/>
    </x:row>
    <x:row r="351">
      <x:c r="G351" s="60"/>
      <x:c r="H351" s="60"/>
    </x:row>
    <x:row r="352">
      <x:c r="G352" s="60"/>
      <x:c r="H352" s="60"/>
    </x:row>
    <x:row r="353">
      <x:c r="G353" s="60"/>
      <x:c r="H353" s="60"/>
    </x:row>
    <x:row r="354">
      <x:c r="G354" s="60"/>
      <x:c r="H354" s="60"/>
    </x:row>
    <x:row r="355">
      <x:c r="G355" s="60"/>
      <x:c r="H355" s="60"/>
    </x:row>
    <x:row r="356">
      <x:c r="G356" s="60"/>
      <x:c r="H356" s="60"/>
    </x:row>
    <x:row r="357">
      <x:c r="G357" s="60"/>
      <x:c r="H357" s="60"/>
    </x:row>
    <x:row r="358">
      <x:c r="G358" s="60"/>
      <x:c r="H358" s="60"/>
    </x:row>
    <x:row r="359">
      <x:c r="G359" s="60"/>
      <x:c r="H359" s="60"/>
    </x:row>
    <x:row r="360">
      <x:c r="G360" s="60"/>
      <x:c r="H360" s="60"/>
    </x:row>
    <x:row r="361">
      <x:c r="G361" s="60"/>
      <x:c r="H361" s="60"/>
    </x:row>
    <x:row r="362">
      <x:c r="G362" s="60"/>
      <x:c r="H362" s="60"/>
    </x:row>
    <x:row r="363">
      <x:c r="G363" s="60"/>
      <x:c r="H363" s="60"/>
    </x:row>
    <x:row r="364">
      <x:c r="G364" s="60"/>
      <x:c r="H364" s="60"/>
    </x:row>
    <x:row r="365">
      <x:c r="G365" s="60"/>
      <x:c r="H365" s="60"/>
    </x:row>
    <x:row r="366">
      <x:c r="G366" s="60"/>
      <x:c r="H366" s="60"/>
    </x:row>
    <x:row r="367">
      <x:c r="G367" s="60"/>
      <x:c r="H367" s="60"/>
    </x:row>
    <x:row r="368">
      <x:c r="G368" s="60"/>
      <x:c r="H368" s="60"/>
    </x:row>
    <x:row r="369">
      <x:c r="G369" s="60"/>
      <x:c r="H369" s="60"/>
    </x:row>
    <x:row r="370">
      <x:c r="G370" s="60"/>
      <x:c r="H370" s="60"/>
    </x:row>
    <x:row r="371">
      <x:c r="G371" s="60"/>
      <x:c r="H371" s="60"/>
    </x:row>
    <x:row r="372">
      <x:c r="G372" s="60"/>
      <x:c r="H372" s="60"/>
    </x:row>
    <x:row r="373">
      <x:c r="G373" s="60"/>
      <x:c r="H373" s="60"/>
    </x:row>
    <x:row r="374">
      <x:c r="G374" s="60"/>
      <x:c r="H374" s="60"/>
    </x:row>
    <x:row r="375">
      <x:c r="G375" s="60"/>
      <x:c r="H375" s="60"/>
    </x:row>
    <x:row r="376">
      <x:c r="G376" s="60"/>
      <x:c r="H376" s="60"/>
    </x:row>
    <x:row r="377">
      <x:c r="G377" s="60"/>
      <x:c r="H377" s="60"/>
    </x:row>
    <x:row r="378">
      <x:c r="G378" s="60"/>
      <x:c r="H378" s="60"/>
    </x:row>
    <x:row r="379">
      <x:c r="G379" s="60"/>
      <x:c r="H379" s="60"/>
    </x:row>
    <x:row r="380">
      <x:c r="G380" s="60"/>
      <x:c r="H380" s="60"/>
    </x:row>
    <x:row r="381">
      <x:c r="G381" s="60"/>
      <x:c r="H381" s="60"/>
    </x:row>
    <x:row r="382">
      <x:c r="G382" s="60"/>
      <x:c r="H382" s="60"/>
    </x:row>
    <x:row r="383">
      <x:c r="G383" s="60"/>
      <x:c r="H383" s="60"/>
    </x:row>
    <x:row r="384">
      <x:c r="G384" s="60"/>
      <x:c r="H384" s="60"/>
    </x:row>
    <x:row r="385">
      <x:c r="G385" s="60"/>
      <x:c r="H385" s="60"/>
    </x:row>
    <x:row r="386">
      <x:c r="G386" s="60"/>
      <x:c r="H386" s="60"/>
    </x:row>
    <x:row r="387">
      <x:c r="G387" s="60"/>
      <x:c r="H387" s="60"/>
    </x:row>
    <x:row r="388">
      <x:c r="G388" s="60"/>
      <x:c r="H388" s="60"/>
    </x:row>
    <x:row r="389">
      <x:c r="G389" s="60"/>
      <x:c r="H389" s="60"/>
    </x:row>
    <x:row r="390">
      <x:c r="G390" s="60"/>
      <x:c r="H390" s="60"/>
    </x:row>
    <x:row r="391">
      <x:c r="G391" s="60"/>
      <x:c r="H391" s="60"/>
    </x:row>
    <x:row r="392">
      <x:c r="G392" s="60"/>
      <x:c r="H392" s="60"/>
    </x:row>
    <x:row r="393">
      <x:c r="G393" s="60"/>
      <x:c r="H393" s="60"/>
    </x:row>
    <x:row r="394">
      <x:c r="G394" s="60"/>
      <x:c r="H394" s="60"/>
    </x:row>
    <x:row r="395">
      <x:c r="G395" s="60"/>
      <x:c r="H395" s="60"/>
    </x:row>
    <x:row r="396">
      <x:c r="G396" s="60"/>
      <x:c r="H396" s="60"/>
    </x:row>
    <x:row r="397">
      <x:c r="G397" s="60"/>
      <x:c r="H397" s="60"/>
    </x:row>
    <x:row r="398">
      <x:c r="G398" s="60"/>
      <x:c r="H398" s="60"/>
    </x:row>
    <x:row r="399">
      <x:c r="G399" s="60"/>
      <x:c r="H399" s="60"/>
    </x:row>
    <x:row r="400">
      <x:c r="G400" s="60"/>
      <x:c r="H400" s="60"/>
    </x:row>
    <x:row r="401">
      <x:c r="G401" s="60"/>
      <x:c r="H401" s="60"/>
    </x:row>
    <x:row r="402">
      <x:c r="G402" s="60"/>
      <x:c r="H402" s="60"/>
    </x:row>
    <x:row r="403">
      <x:c r="G403" s="60"/>
      <x:c r="H403" s="60"/>
    </x:row>
    <x:row r="404">
      <x:c r="G404" s="60"/>
      <x:c r="H404" s="60"/>
    </x:row>
    <x:row r="405">
      <x:c r="G405" s="60"/>
      <x:c r="H405" s="60"/>
    </x:row>
    <x:row r="406">
      <x:c r="G406" s="60"/>
      <x:c r="H406" s="60"/>
    </x:row>
    <x:row r="407">
      <x:c r="G407" s="60"/>
      <x:c r="H407" s="60"/>
    </x:row>
    <x:row r="408">
      <x:c r="G408" s="60"/>
      <x:c r="H408" s="60"/>
    </x:row>
    <x:row r="409">
      <x:c r="G409" s="60"/>
      <x:c r="H409" s="60"/>
    </x:row>
    <x:row r="410">
      <x:c r="G410" s="60"/>
      <x:c r="H410" s="60"/>
    </x:row>
    <x:row r="411">
      <x:c r="G411" s="60"/>
      <x:c r="H411" s="60"/>
    </x:row>
    <x:row r="412">
      <x:c r="G412" s="60"/>
      <x:c r="H412" s="60"/>
    </x:row>
    <x:row r="413">
      <x:c r="G413" s="60"/>
      <x:c r="H413" s="60"/>
    </x:row>
    <x:row r="414">
      <x:c r="G414" s="60"/>
      <x:c r="H414" s="60"/>
    </x:row>
    <x:row r="415">
      <x:c r="G415" s="60"/>
      <x:c r="H415" s="60"/>
    </x:row>
    <x:row r="416">
      <x:c r="G416" s="60"/>
      <x:c r="H416" s="60"/>
    </x:row>
    <x:row r="417">
      <x:c r="G417" s="60"/>
      <x:c r="H417" s="60"/>
    </x:row>
    <x:row r="418">
      <x:c r="G418" s="60"/>
      <x:c r="H418" s="60"/>
    </x:row>
    <x:row r="419">
      <x:c r="G419" s="60"/>
      <x:c r="H419" s="60"/>
    </x:row>
    <x:row r="420">
      <x:c r="G420" s="60"/>
      <x:c r="H420" s="60"/>
    </x:row>
    <x:row r="421">
      <x:c r="G421" s="60"/>
      <x:c r="H421" s="60"/>
    </x:row>
    <x:row r="422">
      <x:c r="G422" s="60"/>
      <x:c r="H422" s="60"/>
    </x:row>
    <x:row r="423">
      <x:c r="G423" s="60"/>
      <x:c r="H423" s="60"/>
    </x:row>
    <x:row r="424">
      <x:c r="G424" s="60"/>
      <x:c r="H424" s="60"/>
    </x:row>
    <x:row r="425">
      <x:c r="G425" s="60"/>
      <x:c r="H425" s="60"/>
    </x:row>
    <x:row r="426">
      <x:c r="G426" s="60"/>
      <x:c r="H426" s="60"/>
    </x:row>
    <x:row r="427">
      <x:c r="G427" s="60"/>
      <x:c r="H427" s="60"/>
    </x:row>
    <x:row r="428">
      <x:c r="G428" s="60"/>
      <x:c r="H428" s="60"/>
    </x:row>
    <x:row r="429">
      <x:c r="G429" s="60"/>
      <x:c r="H429" s="60"/>
    </x:row>
    <x:row r="430">
      <x:c r="G430" s="60"/>
      <x:c r="H430" s="60"/>
    </x:row>
    <x:row r="431">
      <x:c r="G431" s="60"/>
      <x:c r="H431" s="60"/>
    </x:row>
    <x:row r="432">
      <x:c r="G432" s="60"/>
      <x:c r="H432" s="60"/>
    </x:row>
    <x:row r="433">
      <x:c r="G433" s="60"/>
      <x:c r="H433" s="60"/>
    </x:row>
    <x:row r="434">
      <x:c r="G434" s="60"/>
      <x:c r="H434" s="60"/>
    </x:row>
    <x:row r="435">
      <x:c r="G435" s="60"/>
      <x:c r="H435" s="60"/>
    </x:row>
    <x:row r="436">
      <x:c r="G436" s="60"/>
      <x:c r="H436" s="60"/>
    </x:row>
    <x:row r="437">
      <x:c r="G437" s="60"/>
      <x:c r="H437" s="60"/>
    </x:row>
    <x:row r="438">
      <x:c r="G438" s="60"/>
      <x:c r="H438" s="60"/>
    </x:row>
    <x:row r="439">
      <x:c r="G439" s="60"/>
      <x:c r="H439" s="60"/>
    </x:row>
    <x:row r="440">
      <x:c r="G440" s="60"/>
      <x:c r="H440" s="60"/>
    </x:row>
    <x:row r="441">
      <x:c r="G441" s="60"/>
      <x:c r="H441" s="60"/>
    </x:row>
    <x:row r="442">
      <x:c r="G442" s="60"/>
      <x:c r="H442" s="60"/>
    </x:row>
    <x:row r="443">
      <x:c r="G443" s="60"/>
      <x:c r="H443" s="60"/>
    </x:row>
    <x:row r="444">
      <x:c r="G444" s="60"/>
      <x:c r="H444" s="60"/>
    </x:row>
    <x:row r="445">
      <x:c r="G445" s="60"/>
      <x:c r="H445" s="60"/>
    </x:row>
    <x:row r="446">
      <x:c r="G446" s="60"/>
      <x:c r="H446" s="60"/>
    </x:row>
    <x:row r="447">
      <x:c r="G447" s="60"/>
      <x:c r="H447" s="60"/>
    </x:row>
    <x:row r="448">
      <x:c r="G448" s="60"/>
      <x:c r="H448" s="60"/>
    </x:row>
    <x:row r="449">
      <x:c r="G449" s="60"/>
      <x:c r="H449" s="60"/>
    </x:row>
    <x:row r="450">
      <x:c r="G450" s="60"/>
      <x:c r="H450" s="60"/>
    </x:row>
    <x:row r="451">
      <x:c r="G451" s="60"/>
      <x:c r="H451" s="60"/>
    </x:row>
    <x:row r="452">
      <x:c r="G452" s="60"/>
      <x:c r="H452" s="60"/>
    </x:row>
    <x:row r="453">
      <x:c r="G453" s="60"/>
      <x:c r="H453" s="60"/>
    </x:row>
    <x:row r="454">
      <x:c r="G454" s="60"/>
      <x:c r="H454" s="60"/>
    </x:row>
    <x:row r="455">
      <x:c r="G455" s="60"/>
      <x:c r="H455" s="60"/>
    </x:row>
    <x:row r="456">
      <x:c r="G456" s="60"/>
      <x:c r="H456" s="60"/>
    </x:row>
    <x:row r="457">
      <x:c r="G457" s="60"/>
      <x:c r="H457" s="60"/>
    </x:row>
    <x:row r="458">
      <x:c r="G458" s="60"/>
      <x:c r="H458" s="60"/>
    </x:row>
    <x:row r="459">
      <x:c r="G459" s="60"/>
      <x:c r="H459" s="60"/>
    </x:row>
    <x:row r="460">
      <x:c r="G460" s="60"/>
      <x:c r="H460" s="60"/>
    </x:row>
    <x:row r="461">
      <x:c r="G461" s="60"/>
      <x:c r="H461" s="60"/>
    </x:row>
    <x:row r="462">
      <x:c r="G462" s="60"/>
      <x:c r="H462" s="60"/>
    </x:row>
    <x:row r="463">
      <x:c r="G463" s="60"/>
      <x:c r="H463" s="60"/>
    </x:row>
    <x:row r="464">
      <x:c r="G464" s="60"/>
      <x:c r="H464" s="60"/>
    </x:row>
    <x:row r="465">
      <x:c r="G465" s="60"/>
      <x:c r="H465" s="60"/>
    </x:row>
    <x:row r="466">
      <x:c r="G466" s="60"/>
      <x:c r="H466" s="60"/>
    </x:row>
    <x:row r="467">
      <x:c r="G467" s="60"/>
      <x:c r="H467" s="60"/>
    </x:row>
    <x:row r="468">
      <x:c r="G468" s="60"/>
      <x:c r="H468" s="60"/>
    </x:row>
    <x:row r="469">
      <x:c r="G469" s="60"/>
      <x:c r="H469" s="60"/>
    </x:row>
    <x:row r="470">
      <x:c r="G470" s="60"/>
      <x:c r="H470" s="60"/>
    </x:row>
    <x:row r="471">
      <x:c r="G471" s="60"/>
      <x:c r="H471" s="60"/>
    </x:row>
    <x:row r="472">
      <x:c r="G472" s="60"/>
      <x:c r="H472" s="60"/>
    </x:row>
    <x:row r="473">
      <x:c r="G473" s="60"/>
      <x:c r="H473" s="60"/>
    </x:row>
    <x:row r="474">
      <x:c r="G474" s="60"/>
      <x:c r="H474" s="60"/>
    </x:row>
    <x:row r="475">
      <x:c r="G475" s="60"/>
      <x:c r="H475" s="60"/>
    </x:row>
    <x:row r="476">
      <x:c r="G476" s="60"/>
      <x:c r="H476" s="60"/>
    </x:row>
    <x:row r="477">
      <x:c r="G477" s="60"/>
      <x:c r="H477" s="60"/>
    </x:row>
    <x:row r="478">
      <x:c r="G478" s="60"/>
      <x:c r="H478" s="60"/>
    </x:row>
    <x:row r="479">
      <x:c r="G479" s="60"/>
      <x:c r="H479" s="60"/>
    </x:row>
    <x:row r="480">
      <x:c r="G480" s="60"/>
      <x:c r="H480" s="60"/>
    </x:row>
    <x:row r="481">
      <x:c r="G481" s="60"/>
      <x:c r="H481" s="60"/>
    </x:row>
    <x:row r="482">
      <x:c r="G482" s="60"/>
      <x:c r="H482" s="60"/>
    </x:row>
    <x:row r="483">
      <x:c r="G483" s="60"/>
      <x:c r="H483" s="60"/>
    </x:row>
    <x:row r="484">
      <x:c r="G484" s="60"/>
      <x:c r="H484" s="60"/>
    </x:row>
    <x:row r="485">
      <x:c r="G485" s="60"/>
      <x:c r="H485" s="60"/>
    </x:row>
    <x:row r="486">
      <x:c r="G486" s="60"/>
      <x:c r="H486" s="60"/>
    </x:row>
    <x:row r="487">
      <x:c r="G487" s="60"/>
      <x:c r="H487" s="60"/>
    </x:row>
    <x:row r="488">
      <x:c r="G488" s="60"/>
      <x:c r="H488" s="60"/>
    </x:row>
    <x:row r="489">
      <x:c r="G489" s="60"/>
      <x:c r="H489" s="60"/>
    </x:row>
    <x:row r="490">
      <x:c r="G490" s="60"/>
      <x:c r="H490" s="60"/>
    </x:row>
    <x:row r="491">
      <x:c r="G491" s="60"/>
      <x:c r="H491" s="60"/>
    </x:row>
    <x:row r="492">
      <x:c r="G492" s="60"/>
      <x:c r="H492" s="60"/>
    </x:row>
    <x:row r="493">
      <x:c r="G493" s="60"/>
      <x:c r="H493" s="60"/>
    </x:row>
    <x:row r="494">
      <x:c r="G494" s="60"/>
      <x:c r="H494" s="60"/>
    </x:row>
    <x:row r="495">
      <x:c r="G495" s="60"/>
      <x:c r="H495" s="60"/>
    </x:row>
    <x:row r="496">
      <x:c r="G496" s="60"/>
      <x:c r="H496" s="60"/>
    </x:row>
    <x:row r="497">
      <x:c r="G497" s="60"/>
      <x:c r="H497" s="60"/>
    </x:row>
    <x:row r="498">
      <x:c r="G498" s="60"/>
      <x:c r="H498" s="60"/>
    </x:row>
    <x:row r="499">
      <x:c r="G499" s="60"/>
      <x:c r="H499" s="60"/>
    </x:row>
    <x:row r="500">
      <x:c r="G500" s="60"/>
      <x:c r="H500" s="60"/>
    </x:row>
    <x:row r="501">
      <x:c r="G501" s="60"/>
      <x:c r="H501" s="60"/>
    </x:row>
    <x:row r="502">
      <x:c r="G502" s="60"/>
      <x:c r="H502" s="60"/>
    </x:row>
    <x:row r="503">
      <x:c r="G503" s="60"/>
      <x:c r="H503" s="60"/>
    </x:row>
    <x:row r="504">
      <x:c r="G504" s="60"/>
      <x:c r="H504" s="60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13bd9cbfc31d4ac0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46" hidden="0" customWidth="1"/>
    <x:col min="5" max="5" width="24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38" hidden="0" customWidth="1"/>
  </x:cols>
  <x:sheetData>
    <x:row r="1">
      <x:c r="A1" s="241" t="str">
        <x:v>V13 Dedicated Connector Health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</x:row>
    <x:row r="2">
      <x:c r="A2" s="241"/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</x:row>
    <x:row r="3">
      <x:c r="A3" s="243" t="str">
        <x:v>Each agency has its own connector module. Runtime health, extracted counts and failures are written by GitHub Actions.</x:v>
      </x:c>
      <x:c r="B3" s="243"/>
      <x:c r="C3" s="243"/>
      <x:c r="D3" s="243"/>
      <x:c r="E3" s="243"/>
      <x:c r="F3" s="243"/>
      <x:c r="G3" s="243"/>
      <x:c r="H3" s="243"/>
      <x:c r="I3" s="243"/>
      <x:c r="J3" s="243"/>
      <x:c r="K3" s="243"/>
    </x:row>
    <x:row r="5">
      <x:c r="A5" s="248" t="str">
        <x:v>Category</x:v>
      </x:c>
      <x:c r="B5" s="248" t="str">
        <x:v>Agency</x:v>
      </x:c>
      <x:c r="C5" s="248" t="str">
        <x:v>Connector Module</x:v>
      </x:c>
      <x:c r="D5" s="248" t="str">
        <x:v>Source URL</x:v>
      </x:c>
      <x:c r="E5" s="248" t="str">
        <x:v>Connector Type</x:v>
      </x:c>
      <x:c r="F5" s="248" t="str">
        <x:v>Last Run</x:v>
      </x:c>
      <x:c r="G5" s="248" t="str">
        <x:v>Records Found</x:v>
      </x:c>
      <x:c r="H5" s="248" t="str">
        <x:v>Accepted</x:v>
      </x:c>
      <x:c r="I5" s="248" t="str">
        <x:v>Rejected</x:v>
      </x:c>
      <x:c r="J5" s="248" t="str">
        <x:v>Status</x:v>
      </x:c>
      <x:c r="K5" s="248" t="str">
        <x:v>Error / Notes</x:v>
      </x:c>
    </x:row>
    <x:row r="6">
      <x:c r="A6" t="str">
        <x:v>Central</x:v>
      </x:c>
      <x:c r="B6" t="str">
        <x:v>SECI</x:v>
      </x:c>
      <x:c r="C6" t="str">
        <x:v>seci</x:v>
      </x:c>
      <x:c r="D6" t="str">
        <x:v>https://www.seci.co.in/tenders/</x:v>
      </x:c>
      <x:c r="E6" t="str">
        <x:v>Dedicated HTML</x:v>
      </x:c>
      <x:c r="F6" t="str"/>
      <x:c r="G6" t="n">
        <x:v>0</x:v>
      </x:c>
      <x:c r="H6" t="n">
        <x:v>0</x:v>
      </x:c>
      <x:c r="I6" t="n">
        <x:v>0</x:v>
      </x:c>
      <x:c r="J6" t="str">
        <x:v>Not Run</x:v>
      </x:c>
      <x:c r="K6" t="str"/>
    </x:row>
    <x:row r="7">
      <x:c r="A7" t="str">
        <x:v>Central</x:v>
      </x:c>
      <x:c r="B7" t="str">
        <x:v>NTPC REL</x:v>
      </x:c>
      <x:c r="C7" t="str">
        <x:v>ntpc_rel</x:v>
      </x:c>
      <x:c r="D7" t="str">
        <x:v>https://ntpctender.ntpc.co.in/Index/Search?Region=10&amp;Type=Reg</x:v>
      </x:c>
      <x:c r="E7" t="str">
        <x:v>Dedicated HTML</x:v>
      </x:c>
      <x:c r="F7" t="str"/>
      <x:c r="G7" t="n">
        <x:v>0</x:v>
      </x:c>
      <x:c r="H7" t="n">
        <x:v>0</x:v>
      </x:c>
      <x:c r="I7" t="n">
        <x:v>0</x:v>
      </x:c>
      <x:c r="J7" t="str">
        <x:v>Not Run</x:v>
      </x:c>
      <x:c r="K7" t="str"/>
    </x:row>
    <x:row r="8">
      <x:c r="A8" t="str">
        <x:v>Central</x:v>
      </x:c>
      <x:c r="B8" t="str">
        <x:v>NHPC</x:v>
      </x:c>
      <x:c r="C8" t="str">
        <x:v>nhpc</x:v>
      </x:c>
      <x:c r="D8" t="str">
        <x:v>https://www.nhpcindia.com/welcome/tender.html</x:v>
      </x:c>
      <x:c r="E8" t="str">
        <x:v>Dedicated HTML/PDF</x:v>
      </x:c>
      <x:c r="F8" t="str"/>
      <x:c r="G8" t="n">
        <x:v>0</x:v>
      </x:c>
      <x:c r="H8" t="n">
        <x:v>0</x:v>
      </x:c>
      <x:c r="I8" t="n">
        <x:v>0</x:v>
      </x:c>
      <x:c r="J8" t="str">
        <x:v>Not Run</x:v>
      </x:c>
      <x:c r="K8" t="str"/>
    </x:row>
    <x:row r="9">
      <x:c r="A9" t="str">
        <x:v>Central</x:v>
      </x:c>
      <x:c r="B9" t="str">
        <x:v>SJVN</x:v>
      </x:c>
      <x:c r="C9" t="str">
        <x:v>sjvn</x:v>
      </x:c>
      <x:c r="D9" t="str">
        <x:v>https://sjvn.nic.in/en/tender</x:v>
      </x:c>
      <x:c r="E9" t="str">
        <x:v>Dedicated HTML/PDF</x:v>
      </x:c>
      <x:c r="F9" t="str"/>
      <x:c r="G9" t="n">
        <x:v>0</x:v>
      </x:c>
      <x:c r="H9" t="n">
        <x:v>0</x:v>
      </x:c>
      <x:c r="I9" t="n">
        <x:v>0</x:v>
      </x:c>
      <x:c r="J9" t="str">
        <x:v>Not Run</x:v>
      </x:c>
      <x:c r="K9" t="str"/>
    </x:row>
    <x:row r="10">
      <x:c r="A10" t="str">
        <x:v>Central</x:v>
      </x:c>
      <x:c r="B10" t="str">
        <x:v>NLCIL</x:v>
      </x:c>
      <x:c r="C10" t="str">
        <x:v>nlcil</x:v>
      </x:c>
      <x:c r="D10" t="str">
        <x:v>https://www.nlcindia.in/</x:v>
      </x:c>
      <x:c r="E10" t="str">
        <x:v>Dedicated HTML/PDF</x:v>
      </x:c>
      <x:c r="F10" t="str"/>
      <x:c r="G10" t="n">
        <x:v>0</x:v>
      </x:c>
      <x:c r="H10" t="n">
        <x:v>0</x:v>
      </x:c>
      <x:c r="I10" t="n">
        <x:v>0</x:v>
      </x:c>
      <x:c r="J10" t="str">
        <x:v>Not Run</x:v>
      </x:c>
      <x:c r="K10" t="str"/>
    </x:row>
    <x:row r="11">
      <x:c r="A11" t="str">
        <x:v>Central</x:v>
      </x:c>
      <x:c r="B11" t="str">
        <x:v>GUVNL (ISTS)</x:v>
      </x:c>
      <x:c r="C11" t="str">
        <x:v>guvnl_ists</x:v>
      </x:c>
      <x:c r="D11" t="str">
        <x:v>https://www.guvnl.com/</x:v>
      </x:c>
      <x:c r="E11" t="str">
        <x:v>Dedicated HTML/PDF</x:v>
      </x:c>
      <x:c r="F11" t="str"/>
      <x:c r="G11" t="n">
        <x:v>0</x:v>
      </x:c>
      <x:c r="H11" t="n">
        <x:v>0</x:v>
      </x:c>
      <x:c r="I11" t="n">
        <x:v>0</x:v>
      </x:c>
      <x:c r="J11" t="str">
        <x:v>Not Run</x:v>
      </x:c>
      <x:c r="K11" t="str"/>
    </x:row>
    <x:row r="12">
      <x:c r="A12" t="str">
        <x:v>Central</x:v>
      </x:c>
      <x:c r="B12" t="str">
        <x:v>REMCL</x:v>
      </x:c>
      <x:c r="C12" t="str">
        <x:v>remcl</x:v>
      </x:c>
      <x:c r="D12" t="str">
        <x:v>https://www.remcl.in/</x:v>
      </x:c>
      <x:c r="E12" t="str">
        <x:v>Dedicated HTML/PDF</x:v>
      </x:c>
      <x:c r="F12" t="str"/>
      <x:c r="G12" t="n">
        <x:v>0</x:v>
      </x:c>
      <x:c r="H12" t="n">
        <x:v>0</x:v>
      </x:c>
      <x:c r="I12" t="n">
        <x:v>0</x:v>
      </x:c>
      <x:c r="J12" t="str">
        <x:v>Not Run</x:v>
      </x:c>
      <x:c r="K12" t="str"/>
    </x:row>
    <x:row r="13">
      <x:c r="A13" t="str">
        <x:v>Rajasthan</x:v>
      </x:c>
      <x:c r="B13" t="str">
        <x:v>RUVNL</x:v>
      </x:c>
      <x:c r="C13" t="str">
        <x:v>ruvnl</x:v>
      </x:c>
      <x:c r="D13" t="str">
        <x:v>https://eproc.rajasthan.gov.in/nicgep/app</x:v>
      </x:c>
      <x:c r="E13" t="str">
        <x:v>Portal connector</x:v>
      </x:c>
      <x:c r="F13" t="str"/>
      <x:c r="G13" t="n">
        <x:v>0</x:v>
      </x:c>
      <x:c r="H13" t="n">
        <x:v>0</x:v>
      </x:c>
      <x:c r="I13" t="n">
        <x:v>0</x:v>
      </x:c>
      <x:c r="J13" t="str">
        <x:v>Not Run</x:v>
      </x:c>
      <x:c r="K13" t="str"/>
    </x:row>
    <x:row r="14">
      <x:c r="A14" t="str">
        <x:v>Rajasthan</x:v>
      </x:c>
      <x:c r="B14" t="str">
        <x:v>RVPN</x:v>
      </x:c>
      <x:c r="C14" t="str">
        <x:v>rvpn</x:v>
      </x:c>
      <x:c r="D14" t="str">
        <x:v>https://energy.rajasthan.gov.in/rvpnl</x:v>
      </x:c>
      <x:c r="E14" t="str">
        <x:v>Dedicated HTML/Portal</x:v>
      </x:c>
      <x:c r="F14" t="str"/>
      <x:c r="G14" t="n">
        <x:v>0</x:v>
      </x:c>
      <x:c r="H14" t="n">
        <x:v>0</x:v>
      </x:c>
      <x:c r="I14" t="n">
        <x:v>0</x:v>
      </x:c>
      <x:c r="J14" t="str">
        <x:v>Not Run</x:v>
      </x:c>
      <x:c r="K14" t="str"/>
    </x:row>
    <x:row r="15">
      <x:c r="A15" t="str">
        <x:v>Karnataka</x:v>
      </x:c>
      <x:c r="B15" t="str">
        <x:v>KREDL</x:v>
      </x:c>
      <x:c r="C15" t="str">
        <x:v>kredl</x:v>
      </x:c>
      <x:c r="D15" t="str">
        <x:v>https://kppp.karnataka.gov.in/</x:v>
      </x:c>
      <x:c r="E15" t="str">
        <x:v>Portal connector</x:v>
      </x:c>
      <x:c r="F15" t="str"/>
      <x:c r="G15" t="n">
        <x:v>0</x:v>
      </x:c>
      <x:c r="H15" t="n">
        <x:v>0</x:v>
      </x:c>
      <x:c r="I15" t="n">
        <x:v>0</x:v>
      </x:c>
      <x:c r="J15" t="str">
        <x:v>Not Run</x:v>
      </x:c>
      <x:c r="K15" t="str"/>
    </x:row>
    <x:row r="16">
      <x:c r="A16" t="str">
        <x:v>Karnataka</x:v>
      </x:c>
      <x:c r="B16" t="str">
        <x:v>KPTCL</x:v>
      </x:c>
      <x:c r="C16" t="str">
        <x:v>kptcl</x:v>
      </x:c>
      <x:c r="D16" t="str">
        <x:v>https://kptcl.karnataka.gov.in/</x:v>
      </x:c>
      <x:c r="E16" t="str">
        <x:v>Dedicated HTML/Portal</x:v>
      </x:c>
      <x:c r="F16" t="str"/>
      <x:c r="G16" t="n">
        <x:v>0</x:v>
      </x:c>
      <x:c r="H16" t="n">
        <x:v>0</x:v>
      </x:c>
      <x:c r="I16" t="n">
        <x:v>0</x:v>
      </x:c>
      <x:c r="J16" t="str">
        <x:v>Not Run</x:v>
      </x:c>
      <x:c r="K16" t="str"/>
    </x:row>
    <x:row r="17">
      <x:c r="A17" t="str">
        <x:v>Karnataka</x:v>
      </x:c>
      <x:c r="B17" t="str">
        <x:v>KPCL</x:v>
      </x:c>
      <x:c r="C17" t="str">
        <x:v>kpcl</x:v>
      </x:c>
      <x:c r="D17" t="str">
        <x:v>https://karnatakapower.com/</x:v>
      </x:c>
      <x:c r="E17" t="str">
        <x:v>Dedicated HTML/Portal</x:v>
      </x:c>
      <x:c r="F17" t="str"/>
      <x:c r="G17" t="n">
        <x:v>0</x:v>
      </x:c>
      <x:c r="H17" t="n">
        <x:v>0</x:v>
      </x:c>
      <x:c r="I17" t="n">
        <x:v>0</x:v>
      </x:c>
      <x:c r="J17" t="str">
        <x:v>Not Run</x:v>
      </x:c>
      <x:c r="K17" t="str"/>
    </x:row>
    <x:row r="18">
      <x:c r="A18" t="str">
        <x:v>Madhya Pradesh</x:v>
      </x:c>
      <x:c r="B18" t="str">
        <x:v>MPUVNL</x:v>
      </x:c>
      <x:c r="C18" t="str">
        <x:v>mpuvnl</x:v>
      </x:c>
      <x:c r="D18" t="str">
        <x:v>https://mptenders.gov.in/nicgep/app</x:v>
      </x:c>
      <x:c r="E18" t="str">
        <x:v>Portal connector</x:v>
      </x:c>
      <x:c r="F18" t="str"/>
      <x:c r="G18" t="n">
        <x:v>0</x:v>
      </x:c>
      <x:c r="H18" t="n">
        <x:v>0</x:v>
      </x:c>
      <x:c r="I18" t="n">
        <x:v>0</x:v>
      </x:c>
      <x:c r="J18" t="str">
        <x:v>Not Run</x:v>
      </x:c>
      <x:c r="K18" t="str"/>
    </x:row>
    <x:row r="19">
      <x:c r="A19" t="str">
        <x:v>Madhya Pradesh</x:v>
      </x:c>
      <x:c r="B19" t="str">
        <x:v>MPPMCL</x:v>
      </x:c>
      <x:c r="C19" t="str">
        <x:v>mppmcl</x:v>
      </x:c>
      <x:c r="D19" t="str">
        <x:v>https://mppmcl.com/</x:v>
      </x:c>
      <x:c r="E19" t="str">
        <x:v>Dedicated HTML/Portal</x:v>
      </x:c>
      <x:c r="F19" t="str"/>
      <x:c r="G19" t="n">
        <x:v>0</x:v>
      </x:c>
      <x:c r="H19" t="n">
        <x:v>0</x:v>
      </x:c>
      <x:c r="I19" t="n">
        <x:v>0</x:v>
      </x:c>
      <x:c r="J19" t="str">
        <x:v>Not Run</x:v>
      </x:c>
      <x:c r="K19" t="str"/>
    </x:row>
    <x:row r="20">
      <x:c r="A20" t="str">
        <x:v>Madhya Pradesh</x:v>
      </x:c>
      <x:c r="B20" t="str">
        <x:v>MP Urja Vikas Nigam</x:v>
      </x:c>
      <x:c r="C20" t="str">
        <x:v>mp_urja</x:v>
      </x:c>
      <x:c r="D20" t="str">
        <x:v>https://www.mprenewable.nic.in/</x:v>
      </x:c>
      <x:c r="E20" t="str">
        <x:v>Dedicated HTML/Portal</x:v>
      </x:c>
      <x:c r="F20" t="str"/>
      <x:c r="G20" t="n">
        <x:v>0</x:v>
      </x:c>
      <x:c r="H20" t="n">
        <x:v>0</x:v>
      </x:c>
      <x:c r="I20" t="n">
        <x:v>0</x:v>
      </x:c>
      <x:c r="J20" t="str">
        <x:v>Not Run</x:v>
      </x:c>
      <x:c r="K20" t="str"/>
    </x:row>
    <x:row r="21">
      <x:c r="A21" t="str">
        <x:v>Maharashtra</x:v>
      </x:c>
      <x:c r="B21" t="str">
        <x:v>MSEDCL</x:v>
      </x:c>
      <x:c r="C21" t="str">
        <x:v>msedcl</x:v>
      </x:c>
      <x:c r="D21" t="str">
        <x:v>https://www.mahadiscom.in/en/supplier/tenders/</x:v>
      </x:c>
      <x:c r="E21" t="str">
        <x:v>Dedicated HTML/PDF</x:v>
      </x:c>
      <x:c r="F21" t="str"/>
      <x:c r="G21" t="n">
        <x:v>0</x:v>
      </x:c>
      <x:c r="H21" t="n">
        <x:v>0</x:v>
      </x:c>
      <x:c r="I21" t="n">
        <x:v>0</x:v>
      </x:c>
      <x:c r="J21" t="str">
        <x:v>Not Run</x:v>
      </x:c>
      <x:c r="K21" t="str"/>
    </x:row>
    <x:row r="22">
      <x:c r="A22" t="str">
        <x:v>Maharashtra</x:v>
      </x:c>
      <x:c r="B22" t="str">
        <x:v>MAHAGENCO</x:v>
      </x:c>
      <x:c r="C22" t="str">
        <x:v>mahagenco</x:v>
      </x:c>
      <x:c r="D22" t="str">
        <x:v>https://www.mahagenco.in/</x:v>
      </x:c>
      <x:c r="E22" t="str">
        <x:v>Dedicated HTML/PDF</x:v>
      </x:c>
      <x:c r="F22" t="str"/>
      <x:c r="G22" t="n">
        <x:v>0</x:v>
      </x:c>
      <x:c r="H22" t="n">
        <x:v>0</x:v>
      </x:c>
      <x:c r="I22" t="n">
        <x:v>0</x:v>
      </x:c>
      <x:c r="J22" t="str">
        <x:v>Not Run</x:v>
      </x:c>
      <x:c r="K22" t="str"/>
    </x:row>
    <x:row r="23">
      <x:c r="A23" t="str">
        <x:v>Gujarat</x:v>
      </x:c>
      <x:c r="B23" t="str">
        <x:v>GUVNL</x:v>
      </x:c>
      <x:c r="C23" t="str">
        <x:v>guvnl</x:v>
      </x:c>
      <x:c r="D23" t="str">
        <x:v>https://www.guvnl.com/</x:v>
      </x:c>
      <x:c r="E23" t="str">
        <x:v>Dedicated HTML/PDF</x:v>
      </x:c>
      <x:c r="F23" t="str"/>
      <x:c r="G23" t="n">
        <x:v>0</x:v>
      </x:c>
      <x:c r="H23" t="n">
        <x:v>0</x:v>
      </x:c>
      <x:c r="I23" t="n">
        <x:v>0</x:v>
      </x:c>
      <x:c r="J23" t="str">
        <x:v>Not Run</x:v>
      </x:c>
      <x:c r="K23" t="str"/>
    </x:row>
    <x:row r="24">
      <x:c r="A24" t="str">
        <x:v>Gujarat</x:v>
      </x:c>
      <x:c r="B24" t="str">
        <x:v>GPCL</x:v>
      </x:c>
      <x:c r="C24" t="str">
        <x:v>gpcl</x:v>
      </x:c>
      <x:c r="D24" t="str">
        <x:v>https://gpcl.gujarat.gov.in/</x:v>
      </x:c>
      <x:c r="E24" t="str">
        <x:v>Dedicated HTML/PDF</x:v>
      </x:c>
      <x:c r="F24" t="str"/>
      <x:c r="G24" t="n">
        <x:v>0</x:v>
      </x:c>
      <x:c r="H24" t="n">
        <x:v>0</x:v>
      </x:c>
      <x:c r="I24" t="n">
        <x:v>0</x:v>
      </x:c>
      <x:c r="J24" t="str">
        <x:v>Not Run</x:v>
      </x:c>
      <x:c r="K24" t="str"/>
    </x:row>
    <x:row r="25">
      <x:c r="A25" t="str">
        <x:v>Andhra Pradesh</x:v>
      </x:c>
      <x:c r="B25" t="str">
        <x:v>APSPDCL</x:v>
      </x:c>
      <x:c r="C25" t="str">
        <x:v>apspdcl</x:v>
      </x:c>
      <x:c r="D25" t="str">
        <x:v>https://www.apspdcl.in/</x:v>
      </x:c>
      <x:c r="E25" t="str">
        <x:v>Dedicated HTML/Portal</x:v>
      </x:c>
      <x:c r="F25" t="str"/>
      <x:c r="G25" t="n">
        <x:v>0</x:v>
      </x:c>
      <x:c r="H25" t="n">
        <x:v>0</x:v>
      </x:c>
      <x:c r="I25" t="n">
        <x:v>0</x:v>
      </x:c>
      <x:c r="J25" t="str">
        <x:v>Not Run</x:v>
      </x:c>
      <x:c r="K25" t="str"/>
    </x:row>
    <x:row r="26">
      <x:c r="A26" t="str">
        <x:v>Andhra Pradesh</x:v>
      </x:c>
      <x:c r="B26" t="str">
        <x:v>APGENCO</x:v>
      </x:c>
      <x:c r="C26" t="str">
        <x:v>apgenco</x:v>
      </x:c>
      <x:c r="D26" t="str">
        <x:v>https://apgenco.gov.in/</x:v>
      </x:c>
      <x:c r="E26" t="str">
        <x:v>Dedicated HTML/Portal</x:v>
      </x:c>
      <x:c r="F26" t="str"/>
      <x:c r="G26" t="n">
        <x:v>0</x:v>
      </x:c>
      <x:c r="H26" t="n">
        <x:v>0</x:v>
      </x:c>
      <x:c r="I26" t="n">
        <x:v>0</x:v>
      </x:c>
      <x:c r="J26" t="str">
        <x:v>Not Run</x:v>
      </x:c>
      <x:c r="K26" t="str"/>
    </x:row>
    <x:row r="27">
      <x:c r="A27" t="str">
        <x:v>Andhra Pradesh</x:v>
      </x:c>
      <x:c r="B27" t="str">
        <x:v>NREDCAP</x:v>
      </x:c>
      <x:c r="C27" t="str">
        <x:v>nredcap</x:v>
      </x:c>
      <x:c r="D27" t="str">
        <x:v>https://nredcap.in/</x:v>
      </x:c>
      <x:c r="E27" t="str">
        <x:v>Dedicated HTML/Portal</x:v>
      </x:c>
      <x:c r="F27" t="str"/>
      <x:c r="G27" t="n">
        <x:v>0</x:v>
      </x:c>
      <x:c r="H27" t="n">
        <x:v>0</x:v>
      </x:c>
      <x:c r="I27" t="n">
        <x:v>0</x:v>
      </x:c>
      <x:c r="J27" t="str">
        <x:v>Not Run</x:v>
      </x:c>
      <x:c r="K27" t="str"/>
    </x:row>
    <x:row r="28">
      <x:c r="A28" t="str">
        <x:v>Telangana</x:v>
      </x:c>
      <x:c r="B28" t="str">
        <x:v>TGNPDCL</x:v>
      </x:c>
      <x:c r="C28" t="str">
        <x:v>tgnpdcl</x:v>
      </x:c>
      <x:c r="D28" t="str">
        <x:v>https://tgnpdcl.com/</x:v>
      </x:c>
      <x:c r="E28" t="str">
        <x:v>Dedicated HTML/Portal</x:v>
      </x:c>
      <x:c r="F28" t="str"/>
      <x:c r="G28" t="n">
        <x:v>0</x:v>
      </x:c>
      <x:c r="H28" t="n">
        <x:v>0</x:v>
      </x:c>
      <x:c r="I28" t="n">
        <x:v>0</x:v>
      </x:c>
      <x:c r="J28" t="str">
        <x:v>Not Run</x:v>
      </x:c>
      <x:c r="K28" t="str"/>
    </x:row>
    <x:row r="29">
      <x:c r="A29" t="str">
        <x:v>Telangana</x:v>
      </x:c>
      <x:c r="B29" t="str">
        <x:v>TSSPDCL</x:v>
      </x:c>
      <x:c r="C29" t="str">
        <x:v>tsspdcl</x:v>
      </x:c>
      <x:c r="D29" t="str">
        <x:v>https://www.tssouthernpower.com/</x:v>
      </x:c>
      <x:c r="E29" t="str">
        <x:v>Dedicated HTML/Portal</x:v>
      </x:c>
      <x:c r="F29" t="str"/>
      <x:c r="G29" t="n">
        <x:v>0</x:v>
      </x:c>
      <x:c r="H29" t="n">
        <x:v>0</x:v>
      </x:c>
      <x:c r="I29" t="n">
        <x:v>0</x:v>
      </x:c>
      <x:c r="J29" t="str">
        <x:v>Not Run</x:v>
      </x:c>
      <x:c r="K29" t="str"/>
    </x:row>
    <x:row r="30">
      <x:c r="A30" t="str">
        <x:v>Tamil Nadu</x:v>
      </x:c>
      <x:c r="B30" t="str">
        <x:v>TNGECL</x:v>
      </x:c>
      <x:c r="C30" t="str">
        <x:v>tngecl</x:v>
      </x:c>
      <x:c r="D30" t="str">
        <x:v>https://www.tangedco.gov.in/</x:v>
      </x:c>
      <x:c r="E30" t="str">
        <x:v>Dedicated HTML/Portal</x:v>
      </x:c>
      <x:c r="F30" t="str"/>
      <x:c r="G30" t="n">
        <x:v>0</x:v>
      </x:c>
      <x:c r="H30" t="n">
        <x:v>0</x:v>
      </x:c>
      <x:c r="I30" t="n">
        <x:v>0</x:v>
      </x:c>
      <x:c r="J30" t="str">
        <x:v>Not Run</x:v>
      </x:c>
      <x:c r="K30" t="str"/>
    </x:row>
    <x:row r="31">
      <x:c r="A31" t="str">
        <x:v>Tamil Nadu</x:v>
      </x:c>
      <x:c r="B31" t="str">
        <x:v>TANTRANSCO</x:v>
      </x:c>
      <x:c r="C31" t="str">
        <x:v>tantransco</x:v>
      </x:c>
      <x:c r="D31" t="str">
        <x:v>https://www.tantransco.gov.in/</x:v>
      </x:c>
      <x:c r="E31" t="str">
        <x:v>Dedicated HTML/Portal</x:v>
      </x:c>
      <x:c r="F31" t="str"/>
      <x:c r="G31" t="n">
        <x:v>0</x:v>
      </x:c>
      <x:c r="H31" t="n">
        <x:v>0</x:v>
      </x:c>
      <x:c r="I31" t="n">
        <x:v>0</x:v>
      </x:c>
      <x:c r="J31" t="str">
        <x:v>Not Run</x:v>
      </x:c>
      <x:c r="K31" t="str"/>
    </x:row>
    <x:row r="32">
      <x:c r="A32" t="str">
        <x:v>Odisha</x:v>
      </x:c>
      <x:c r="B32" t="str">
        <x:v>GRIDCO</x:v>
      </x:c>
      <x:c r="C32" t="str">
        <x:v>gridco</x:v>
      </x:c>
      <x:c r="D32" t="str">
        <x:v>https://www.gridco.co.in/tender.aspx</x:v>
      </x:c>
      <x:c r="E32" t="str">
        <x:v>Dedicated HTML/PDF</x:v>
      </x:c>
      <x:c r="F32" t="str"/>
      <x:c r="G32" t="n">
        <x:v>0</x:v>
      </x:c>
      <x:c r="H32" t="n">
        <x:v>0</x:v>
      </x:c>
      <x:c r="I32" t="n">
        <x:v>0</x:v>
      </x:c>
      <x:c r="J32" t="str">
        <x:v>Not Run</x:v>
      </x:c>
      <x:c r="K32" t="str"/>
    </x:row>
    <x:row r="33">
      <x:c r="A33" t="str">
        <x:v>Haryana</x:v>
      </x:c>
      <x:c r="B33" t="str">
        <x:v>HAREDA</x:v>
      </x:c>
      <x:c r="C33" t="str">
        <x:v>hareda</x:v>
      </x:c>
      <x:c r="D33" t="str">
        <x:v>https://hareda.gov.in/</x:v>
      </x:c>
      <x:c r="E33" t="str">
        <x:v>Dedicated HTML/Portal</x:v>
      </x:c>
      <x:c r="F33" t="str"/>
      <x:c r="G33" t="n">
        <x:v>0</x:v>
      </x:c>
      <x:c r="H33" t="n">
        <x:v>0</x:v>
      </x:c>
      <x:c r="I33" t="n">
        <x:v>0</x:v>
      </x:c>
      <x:c r="J33" t="str">
        <x:v>Not Run</x:v>
      </x:c>
      <x:c r="K33" t="str"/>
    </x:row>
    <x:row r="34">
      <x:c r="A34" t="str">
        <x:v>Punjab</x:v>
      </x:c>
      <x:c r="B34" t="str">
        <x:v>PSPCL</x:v>
      </x:c>
      <x:c r="C34" t="str">
        <x:v>pspcl</x:v>
      </x:c>
      <x:c r="D34" t="str">
        <x:v>https://pspcl.in/tenders</x:v>
      </x:c>
      <x:c r="E34" t="str">
        <x:v>Dedicated HTML/PDF</x:v>
      </x:c>
      <x:c r="F34" t="str"/>
      <x:c r="G34" t="n">
        <x:v>0</x:v>
      </x:c>
      <x:c r="H34" t="n">
        <x:v>0</x:v>
      </x:c>
      <x:c r="I34" t="n">
        <x:v>0</x:v>
      </x:c>
      <x:c r="J34" t="str">
        <x:v>Not Run</x:v>
      </x:c>
      <x:c r="K34" t="str"/>
    </x:row>
    <x:row r="35">
      <x:c r="A35" t="str">
        <x:v>Uttar Pradesh</x:v>
      </x:c>
      <x:c r="B35" t="str">
        <x:v>UPNEDA</x:v>
      </x:c>
      <x:c r="C35" t="str">
        <x:v>upneda</x:v>
      </x:c>
      <x:c r="D35" t="str">
        <x:v>https://upneda.org.in/</x:v>
      </x:c>
      <x:c r="E35" t="str">
        <x:v>Dedicated HTML/Portal</x:v>
      </x:c>
      <x:c r="F35" t="str"/>
      <x:c r="G35" t="n">
        <x:v>0</x:v>
      </x:c>
      <x:c r="H35" t="n">
        <x:v>0</x:v>
      </x:c>
      <x:c r="I35" t="n">
        <x:v>0</x:v>
      </x:c>
      <x:c r="J35" t="str">
        <x:v>Not Run</x:v>
      </x:c>
      <x:c r="K35" t="str"/>
    </x:row>
    <x:row r="36">
      <x:c r="A36" t="str">
        <x:v>Bihar</x:v>
      </x:c>
      <x:c r="B36" t="str">
        <x:v>BSPHCL</x:v>
      </x:c>
      <x:c r="C36" t="str">
        <x:v>bsphcl</x:v>
      </x:c>
      <x:c r="D36" t="str">
        <x:v>https://www.bsphcl.co.in/</x:v>
      </x:c>
      <x:c r="E36" t="str">
        <x:v>Dedicated HTML/Portal</x:v>
      </x:c>
      <x:c r="F36" t="str"/>
      <x:c r="G36" t="n">
        <x:v>0</x:v>
      </x:c>
      <x:c r="H36" t="n">
        <x:v>0</x:v>
      </x:c>
      <x:c r="I36" t="n">
        <x:v>0</x:v>
      </x:c>
      <x:c r="J36" t="str">
        <x:v>Not Run</x:v>
      </x:c>
      <x:c r="K36" t="str"/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5529a749a3014889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2" hidden="0" customWidth="1"/>
    <x:col min="6" max="6" width="14" hidden="0" customWidth="1"/>
    <x:col min="7" max="7" width="14" hidden="0" customWidth="1"/>
    <x:col min="8" max="8" width="54" hidden="0" customWidth="1"/>
    <x:col min="9" max="9" width="48" hidden="0" customWidth="1"/>
    <x:col min="10" max="10" width="10" hidden="0" customWidth="1"/>
    <x:col min="11" max="11" width="16" hidden="0" customWidth="1"/>
    <x:col min="12" max="12" width="38" hidden="0" customWidth="1"/>
  </x:cols>
  <x:sheetData>
    <x:row r="1">
      <x:c r="A1" s="241" t="str">
        <x:v>V13 PLF and Supply-Clause Extraction Quality Review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</x:row>
    <x:row r="2">
      <x:c r="A2" s="241"/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</x:row>
    <x:row r="4">
      <x:c r="A4" s="248" t="str">
        <x:v>Extraction ID</x:v>
      </x:c>
      <x:c r="B4" s="248" t="str">
        <x:v>Tender ID</x:v>
      </x:c>
      <x:c r="C4" s="248" t="str">
        <x:v>Agency</x:v>
      </x:c>
      <x:c r="D4" s="248" t="str">
        <x:v>Field</x:v>
      </x:c>
      <x:c r="E4" s="248" t="str">
        <x:v>Extracted Value</x:v>
      </x:c>
      <x:c r="F4" s="248" t="str">
        <x:v>Unit</x:v>
      </x:c>
      <x:c r="G4" s="248" t="str">
        <x:v>Confidence %</x:v>
      </x:c>
      <x:c r="H4" s="248" t="str">
        <x:v>Evidence Snippet</x:v>
      </x:c>
      <x:c r="I4" s="248" t="str">
        <x:v>Source Document</x:v>
      </x:c>
      <x:c r="J4" s="248" t="str">
        <x:v>Page</x:v>
      </x:c>
      <x:c r="K4" s="248" t="str">
        <x:v>Review Decision</x:v>
      </x:c>
      <x:c r="L4" s="248" t="str">
        <x:v>Reviewer Notes</x:v>
      </x:c>
    </x:row>
    <x:row r="5">
      <x:c r="G5" s="123"/>
    </x:row>
    <x:row r="6">
      <x:c r="G6" s="123"/>
    </x:row>
    <x:row r="7">
      <x:c r="G7" s="123"/>
    </x:row>
    <x:row r="8">
      <x:c r="G8" s="123"/>
    </x:row>
    <x:row r="9">
      <x:c r="G9" s="123"/>
    </x:row>
    <x:row r="10">
      <x:c r="G10" s="123"/>
    </x:row>
    <x:row r="11">
      <x:c r="G11" s="123"/>
    </x:row>
    <x:row r="12">
      <x:c r="G12" s="123"/>
    </x:row>
    <x:row r="13">
      <x:c r="G13" s="123"/>
    </x:row>
    <x:row r="14">
      <x:c r="G14" s="123"/>
    </x:row>
    <x:row r="15">
      <x:c r="G15" s="123"/>
    </x:row>
    <x:row r="16">
      <x:c r="G16" s="123"/>
    </x:row>
    <x:row r="17">
      <x:c r="G17" s="123"/>
    </x:row>
    <x:row r="18">
      <x:c r="G18" s="123"/>
    </x:row>
    <x:row r="19">
      <x:c r="G19" s="123"/>
    </x:row>
    <x:row r="20">
      <x:c r="G20" s="123"/>
    </x:row>
    <x:row r="21">
      <x:c r="G21" s="123"/>
    </x:row>
    <x:row r="22">
      <x:c r="G22" s="123"/>
    </x:row>
    <x:row r="23">
      <x:c r="G23" s="123"/>
    </x:row>
    <x:row r="24">
      <x:c r="G24" s="123"/>
    </x:row>
    <x:row r="25">
      <x:c r="G25" s="123"/>
    </x:row>
    <x:row r="26">
      <x:c r="G26" s="123"/>
    </x:row>
    <x:row r="27">
      <x:c r="G27" s="123"/>
    </x:row>
    <x:row r="28">
      <x:c r="G28" s="123"/>
    </x:row>
    <x:row r="29">
      <x:c r="G29" s="123"/>
    </x:row>
    <x:row r="30">
      <x:c r="G30" s="123"/>
    </x:row>
    <x:row r="31">
      <x:c r="G31" s="123"/>
    </x:row>
    <x:row r="32">
      <x:c r="G32" s="123"/>
    </x:row>
    <x:row r="33">
      <x:c r="G33" s="123"/>
    </x:row>
    <x:row r="34">
      <x:c r="G34" s="123"/>
    </x:row>
    <x:row r="35">
      <x:c r="G35" s="123"/>
    </x:row>
    <x:row r="36">
      <x:c r="G36" s="123"/>
    </x:row>
    <x:row r="37">
      <x:c r="G37" s="123"/>
    </x:row>
    <x:row r="38">
      <x:c r="G38" s="123"/>
    </x:row>
    <x:row r="39">
      <x:c r="G39" s="123"/>
    </x:row>
    <x:row r="40">
      <x:c r="G40" s="123"/>
    </x:row>
    <x:row r="41">
      <x:c r="G41" s="123"/>
    </x:row>
    <x:row r="42">
      <x:c r="G42" s="123"/>
    </x:row>
    <x:row r="43">
      <x:c r="G43" s="123"/>
    </x:row>
    <x:row r="44">
      <x:c r="G44" s="123"/>
    </x:row>
    <x:row r="45">
      <x:c r="G45" s="123"/>
    </x:row>
    <x:row r="46">
      <x:c r="G46" s="123"/>
    </x:row>
    <x:row r="47">
      <x:c r="G47" s="123"/>
    </x:row>
    <x:row r="48">
      <x:c r="G48" s="123"/>
    </x:row>
    <x:row r="49">
      <x:c r="G49" s="123"/>
    </x:row>
    <x:row r="50">
      <x:c r="G50" s="123"/>
    </x:row>
    <x:row r="51">
      <x:c r="G51" s="123"/>
    </x:row>
    <x:row r="52">
      <x:c r="G52" s="123"/>
    </x:row>
    <x:row r="53">
      <x:c r="G53" s="123"/>
    </x:row>
    <x:row r="54">
      <x:c r="G54" s="123"/>
    </x:row>
    <x:row r="55">
      <x:c r="G55" s="123"/>
    </x:row>
    <x:row r="56">
      <x:c r="G56" s="123"/>
    </x:row>
    <x:row r="57">
      <x:c r="G57" s="123"/>
    </x:row>
    <x:row r="58">
      <x:c r="G58" s="123"/>
    </x:row>
    <x:row r="59">
      <x:c r="G59" s="123"/>
    </x:row>
    <x:row r="60">
      <x:c r="G60" s="123"/>
    </x:row>
    <x:row r="61">
      <x:c r="G61" s="123"/>
    </x:row>
    <x:row r="62">
      <x:c r="G62" s="123"/>
    </x:row>
    <x:row r="63">
      <x:c r="G63" s="123"/>
    </x:row>
    <x:row r="64">
      <x:c r="G64" s="123"/>
    </x:row>
    <x:row r="65">
      <x:c r="G65" s="123"/>
    </x:row>
    <x:row r="66">
      <x:c r="G66" s="123"/>
    </x:row>
    <x:row r="67">
      <x:c r="G67" s="123"/>
    </x:row>
    <x:row r="68">
      <x:c r="G68" s="123"/>
    </x:row>
    <x:row r="69">
      <x:c r="G69" s="123"/>
    </x:row>
    <x:row r="70">
      <x:c r="G70" s="123"/>
    </x:row>
    <x:row r="71">
      <x:c r="G71" s="123"/>
    </x:row>
    <x:row r="72">
      <x:c r="G72" s="123"/>
    </x:row>
    <x:row r="73">
      <x:c r="G73" s="123"/>
    </x:row>
    <x:row r="74">
      <x:c r="G74" s="123"/>
    </x:row>
    <x:row r="75">
      <x:c r="G75" s="123"/>
    </x:row>
    <x:row r="76">
      <x:c r="G76" s="123"/>
    </x:row>
    <x:row r="77">
      <x:c r="G77" s="123"/>
    </x:row>
    <x:row r="78">
      <x:c r="G78" s="123"/>
    </x:row>
    <x:row r="79">
      <x:c r="G79" s="123"/>
    </x:row>
    <x:row r="80">
      <x:c r="G80" s="123"/>
    </x:row>
    <x:row r="81">
      <x:c r="G81" s="123"/>
    </x:row>
    <x:row r="82">
      <x:c r="G82" s="123"/>
    </x:row>
    <x:row r="83">
      <x:c r="G83" s="123"/>
    </x:row>
    <x:row r="84">
      <x:c r="G84" s="123"/>
    </x:row>
    <x:row r="85">
      <x:c r="G85" s="123"/>
    </x:row>
    <x:row r="86">
      <x:c r="G86" s="123"/>
    </x:row>
    <x:row r="87">
      <x:c r="G87" s="123"/>
    </x:row>
    <x:row r="88">
      <x:c r="G88" s="123"/>
    </x:row>
    <x:row r="89">
      <x:c r="G89" s="123"/>
    </x:row>
    <x:row r="90">
      <x:c r="G90" s="123"/>
    </x:row>
    <x:row r="91">
      <x:c r="G91" s="123"/>
    </x:row>
    <x:row r="92">
      <x:c r="G92" s="123"/>
    </x:row>
    <x:row r="93">
      <x:c r="G93" s="123"/>
    </x:row>
    <x:row r="94">
      <x:c r="G94" s="123"/>
    </x:row>
    <x:row r="95">
      <x:c r="G95" s="123"/>
    </x:row>
    <x:row r="96">
      <x:c r="G96" s="123"/>
    </x:row>
    <x:row r="97">
      <x:c r="G97" s="123"/>
    </x:row>
    <x:row r="98">
      <x:c r="G98" s="123"/>
    </x:row>
    <x:row r="99">
      <x:c r="G99" s="123"/>
    </x:row>
    <x:row r="100">
      <x:c r="G100" s="123"/>
    </x:row>
    <x:row r="101">
      <x:c r="G101" s="123"/>
    </x:row>
    <x:row r="102">
      <x:c r="G102" s="123"/>
    </x:row>
    <x:row r="103">
      <x:c r="G103" s="123"/>
    </x:row>
    <x:row r="104">
      <x:c r="G104" s="123"/>
    </x:row>
    <x:row r="105">
      <x:c r="G105" s="123"/>
    </x:row>
    <x:row r="106">
      <x:c r="G106" s="123"/>
    </x:row>
    <x:row r="107">
      <x:c r="G107" s="123"/>
    </x:row>
    <x:row r="108">
      <x:c r="G108" s="123"/>
    </x:row>
    <x:row r="109">
      <x:c r="G109" s="123"/>
    </x:row>
    <x:row r="110">
      <x:c r="G110" s="123"/>
    </x:row>
    <x:row r="111">
      <x:c r="G111" s="123"/>
    </x:row>
    <x:row r="112">
      <x:c r="G112" s="123"/>
    </x:row>
    <x:row r="113">
      <x:c r="G113" s="123"/>
    </x:row>
    <x:row r="114">
      <x:c r="G114" s="123"/>
    </x:row>
    <x:row r="115">
      <x:c r="G115" s="123"/>
    </x:row>
    <x:row r="116">
      <x:c r="G116" s="123"/>
    </x:row>
    <x:row r="117">
      <x:c r="G117" s="123"/>
    </x:row>
    <x:row r="118">
      <x:c r="G118" s="123"/>
    </x:row>
    <x:row r="119">
      <x:c r="G119" s="123"/>
    </x:row>
    <x:row r="120">
      <x:c r="G120" s="123"/>
    </x:row>
    <x:row r="121">
      <x:c r="G121" s="123"/>
    </x:row>
    <x:row r="122">
      <x:c r="G122" s="123"/>
    </x:row>
    <x:row r="123">
      <x:c r="G123" s="123"/>
    </x:row>
    <x:row r="124">
      <x:c r="G124" s="123"/>
    </x:row>
    <x:row r="125">
      <x:c r="G125" s="123"/>
    </x:row>
    <x:row r="126">
      <x:c r="G126" s="123"/>
    </x:row>
    <x:row r="127">
      <x:c r="G127" s="123"/>
    </x:row>
    <x:row r="128">
      <x:c r="G128" s="123"/>
    </x:row>
    <x:row r="129">
      <x:c r="G129" s="123"/>
    </x:row>
    <x:row r="130">
      <x:c r="G130" s="123"/>
    </x:row>
    <x:row r="131">
      <x:c r="G131" s="123"/>
    </x:row>
    <x:row r="132">
      <x:c r="G132" s="123"/>
    </x:row>
    <x:row r="133">
      <x:c r="G133" s="123"/>
    </x:row>
    <x:row r="134">
      <x:c r="G134" s="123"/>
    </x:row>
    <x:row r="135">
      <x:c r="G135" s="123"/>
    </x:row>
    <x:row r="136">
      <x:c r="G136" s="123"/>
    </x:row>
    <x:row r="137">
      <x:c r="G137" s="123"/>
    </x:row>
    <x:row r="138">
      <x:c r="G138" s="123"/>
    </x:row>
    <x:row r="139">
      <x:c r="G139" s="123"/>
    </x:row>
    <x:row r="140">
      <x:c r="G140" s="123"/>
    </x:row>
    <x:row r="141">
      <x:c r="G141" s="123"/>
    </x:row>
    <x:row r="142">
      <x:c r="G142" s="123"/>
    </x:row>
    <x:row r="143">
      <x:c r="G143" s="123"/>
    </x:row>
    <x:row r="144">
      <x:c r="G144" s="123"/>
    </x:row>
    <x:row r="145">
      <x:c r="G145" s="123"/>
    </x:row>
    <x:row r="146">
      <x:c r="G146" s="123"/>
    </x:row>
    <x:row r="147">
      <x:c r="G147" s="123"/>
    </x:row>
    <x:row r="148">
      <x:c r="G148" s="123"/>
    </x:row>
    <x:row r="149">
      <x:c r="G149" s="123"/>
    </x:row>
    <x:row r="150">
      <x:c r="G150" s="123"/>
    </x:row>
    <x:row r="151">
      <x:c r="G151" s="123"/>
    </x:row>
    <x:row r="152">
      <x:c r="G152" s="123"/>
    </x:row>
    <x:row r="153">
      <x:c r="G153" s="123"/>
    </x:row>
    <x:row r="154">
      <x:c r="G154" s="123"/>
    </x:row>
    <x:row r="155">
      <x:c r="G155" s="123"/>
    </x:row>
    <x:row r="156">
      <x:c r="G156" s="123"/>
    </x:row>
    <x:row r="157">
      <x:c r="G157" s="123"/>
    </x:row>
    <x:row r="158">
      <x:c r="G158" s="123"/>
    </x:row>
    <x:row r="159">
      <x:c r="G159" s="123"/>
    </x:row>
    <x:row r="160">
      <x:c r="G160" s="123"/>
    </x:row>
    <x:row r="161">
      <x:c r="G161" s="123"/>
    </x:row>
    <x:row r="162">
      <x:c r="G162" s="123"/>
    </x:row>
    <x:row r="163">
      <x:c r="G163" s="123"/>
    </x:row>
    <x:row r="164">
      <x:c r="G164" s="123"/>
    </x:row>
    <x:row r="165">
      <x:c r="G165" s="123"/>
    </x:row>
    <x:row r="166">
      <x:c r="G166" s="123"/>
    </x:row>
    <x:row r="167">
      <x:c r="G167" s="123"/>
    </x:row>
    <x:row r="168">
      <x:c r="G168" s="123"/>
    </x:row>
    <x:row r="169">
      <x:c r="G169" s="123"/>
    </x:row>
    <x:row r="170">
      <x:c r="G170" s="123"/>
    </x:row>
    <x:row r="171">
      <x:c r="G171" s="123"/>
    </x:row>
    <x:row r="172">
      <x:c r="G172" s="123"/>
    </x:row>
    <x:row r="173">
      <x:c r="G173" s="123"/>
    </x:row>
    <x:row r="174">
      <x:c r="G174" s="123"/>
    </x:row>
    <x:row r="175">
      <x:c r="G175" s="123"/>
    </x:row>
    <x:row r="176">
      <x:c r="G176" s="123"/>
    </x:row>
    <x:row r="177">
      <x:c r="G177" s="123"/>
    </x:row>
    <x:row r="178">
      <x:c r="G178" s="123"/>
    </x:row>
    <x:row r="179">
      <x:c r="G179" s="123"/>
    </x:row>
    <x:row r="180">
      <x:c r="G180" s="123"/>
    </x:row>
    <x:row r="181">
      <x:c r="G181" s="123"/>
    </x:row>
    <x:row r="182">
      <x:c r="G182" s="123"/>
    </x:row>
    <x:row r="183">
      <x:c r="G183" s="123"/>
    </x:row>
    <x:row r="184">
      <x:c r="G184" s="123"/>
    </x:row>
    <x:row r="185">
      <x:c r="G185" s="123"/>
    </x:row>
    <x:row r="186">
      <x:c r="G186" s="123"/>
    </x:row>
    <x:row r="187">
      <x:c r="G187" s="123"/>
    </x:row>
    <x:row r="188">
      <x:c r="G188" s="123"/>
    </x:row>
    <x:row r="189">
      <x:c r="G189" s="123"/>
    </x:row>
    <x:row r="190">
      <x:c r="G190" s="123"/>
    </x:row>
    <x:row r="191">
      <x:c r="G191" s="123"/>
    </x:row>
    <x:row r="192">
      <x:c r="G192" s="123"/>
    </x:row>
    <x:row r="193">
      <x:c r="G193" s="123"/>
    </x:row>
    <x:row r="194">
      <x:c r="G194" s="123"/>
    </x:row>
    <x:row r="195">
      <x:c r="G195" s="123"/>
    </x:row>
    <x:row r="196">
      <x:c r="G196" s="123"/>
    </x:row>
    <x:row r="197">
      <x:c r="G197" s="123"/>
    </x:row>
    <x:row r="198">
      <x:c r="G198" s="123"/>
    </x:row>
    <x:row r="199">
      <x:c r="G199" s="123"/>
    </x:row>
    <x:row r="200">
      <x:c r="G200" s="123"/>
    </x:row>
    <x:row r="201">
      <x:c r="G201" s="123"/>
    </x:row>
    <x:row r="202">
      <x:c r="G202" s="123"/>
    </x:row>
    <x:row r="203">
      <x:c r="G203" s="123"/>
    </x:row>
    <x:row r="204">
      <x:c r="G204" s="123"/>
    </x:row>
    <x:row r="205">
      <x:c r="G205" s="123"/>
    </x:row>
    <x:row r="206">
      <x:c r="G206" s="123"/>
    </x:row>
    <x:row r="207">
      <x:c r="G207" s="123"/>
    </x:row>
    <x:row r="208">
      <x:c r="G208" s="123"/>
    </x:row>
    <x:row r="209">
      <x:c r="G209" s="123"/>
    </x:row>
    <x:row r="210">
      <x:c r="G210" s="123"/>
    </x:row>
    <x:row r="211">
      <x:c r="G211" s="123"/>
    </x:row>
    <x:row r="212">
      <x:c r="G212" s="123"/>
    </x:row>
    <x:row r="213">
      <x:c r="G213" s="123"/>
    </x:row>
    <x:row r="214">
      <x:c r="G214" s="123"/>
    </x:row>
    <x:row r="215">
      <x:c r="G215" s="123"/>
    </x:row>
    <x:row r="216">
      <x:c r="G216" s="123"/>
    </x:row>
    <x:row r="217">
      <x:c r="G217" s="123"/>
    </x:row>
    <x:row r="218">
      <x:c r="G218" s="123"/>
    </x:row>
    <x:row r="219">
      <x:c r="G219" s="123"/>
    </x:row>
    <x:row r="220">
      <x:c r="G220" s="123"/>
    </x:row>
    <x:row r="221">
      <x:c r="G221" s="123"/>
    </x:row>
    <x:row r="222">
      <x:c r="G222" s="123"/>
    </x:row>
    <x:row r="223">
      <x:c r="G223" s="123"/>
    </x:row>
    <x:row r="224">
      <x:c r="G224" s="123"/>
    </x:row>
    <x:row r="225">
      <x:c r="G225" s="123"/>
    </x:row>
    <x:row r="226">
      <x:c r="G226" s="123"/>
    </x:row>
    <x:row r="227">
      <x:c r="G227" s="123"/>
    </x:row>
    <x:row r="228">
      <x:c r="G228" s="123"/>
    </x:row>
    <x:row r="229">
      <x:c r="G229" s="123"/>
    </x:row>
    <x:row r="230">
      <x:c r="G230" s="123"/>
    </x:row>
    <x:row r="231">
      <x:c r="G231" s="123"/>
    </x:row>
    <x:row r="232">
      <x:c r="G232" s="123"/>
    </x:row>
    <x:row r="233">
      <x:c r="G233" s="123"/>
    </x:row>
    <x:row r="234">
      <x:c r="G234" s="123"/>
    </x:row>
    <x:row r="235">
      <x:c r="G235" s="123"/>
    </x:row>
    <x:row r="236">
      <x:c r="G236" s="123"/>
    </x:row>
    <x:row r="237">
      <x:c r="G237" s="123"/>
    </x:row>
    <x:row r="238">
      <x:c r="G238" s="123"/>
    </x:row>
    <x:row r="239">
      <x:c r="G239" s="123"/>
    </x:row>
    <x:row r="240">
      <x:c r="G240" s="123"/>
    </x:row>
    <x:row r="241">
      <x:c r="G241" s="123"/>
    </x:row>
    <x:row r="242">
      <x:c r="G242" s="123"/>
    </x:row>
    <x:row r="243">
      <x:c r="G243" s="123"/>
    </x:row>
    <x:row r="244">
      <x:c r="G244" s="123"/>
    </x:row>
    <x:row r="245">
      <x:c r="G245" s="123"/>
    </x:row>
    <x:row r="246">
      <x:c r="G246" s="123"/>
    </x:row>
    <x:row r="247">
      <x:c r="G247" s="123"/>
    </x:row>
    <x:row r="248">
      <x:c r="G248" s="123"/>
    </x:row>
    <x:row r="249">
      <x:c r="G249" s="123"/>
    </x:row>
    <x:row r="250">
      <x:c r="G250" s="123"/>
    </x:row>
    <x:row r="251">
      <x:c r="G251" s="123"/>
    </x:row>
    <x:row r="252">
      <x:c r="G252" s="123"/>
    </x:row>
    <x:row r="253">
      <x:c r="G253" s="123"/>
    </x:row>
    <x:row r="254">
      <x:c r="G254" s="123"/>
    </x:row>
    <x:row r="255">
      <x:c r="G255" s="123"/>
    </x:row>
    <x:row r="256">
      <x:c r="G256" s="123"/>
    </x:row>
    <x:row r="257">
      <x:c r="G257" s="123"/>
    </x:row>
    <x:row r="258">
      <x:c r="G258" s="123"/>
    </x:row>
    <x:row r="259">
      <x:c r="G259" s="123"/>
    </x:row>
    <x:row r="260">
      <x:c r="G260" s="123"/>
    </x:row>
    <x:row r="261">
      <x:c r="G261" s="123"/>
    </x:row>
    <x:row r="262">
      <x:c r="G262" s="123"/>
    </x:row>
    <x:row r="263">
      <x:c r="G263" s="123"/>
    </x:row>
    <x:row r="264">
      <x:c r="G264" s="123"/>
    </x:row>
    <x:row r="265">
      <x:c r="G265" s="123"/>
    </x:row>
    <x:row r="266">
      <x:c r="G266" s="123"/>
    </x:row>
    <x:row r="267">
      <x:c r="G267" s="123"/>
    </x:row>
    <x:row r="268">
      <x:c r="G268" s="123"/>
    </x:row>
    <x:row r="269">
      <x:c r="G269" s="123"/>
    </x:row>
    <x:row r="270">
      <x:c r="G270" s="123"/>
    </x:row>
    <x:row r="271">
      <x:c r="G271" s="123"/>
    </x:row>
    <x:row r="272">
      <x:c r="G272" s="123"/>
    </x:row>
    <x:row r="273">
      <x:c r="G273" s="123"/>
    </x:row>
    <x:row r="274">
      <x:c r="G274" s="123"/>
    </x:row>
    <x:row r="275">
      <x:c r="G275" s="123"/>
    </x:row>
    <x:row r="276">
      <x:c r="G276" s="123"/>
    </x:row>
    <x:row r="277">
      <x:c r="G277" s="123"/>
    </x:row>
    <x:row r="278">
      <x:c r="G278" s="123"/>
    </x:row>
    <x:row r="279">
      <x:c r="G279" s="123"/>
    </x:row>
    <x:row r="280">
      <x:c r="G280" s="123"/>
    </x:row>
    <x:row r="281">
      <x:c r="G281" s="123"/>
    </x:row>
    <x:row r="282">
      <x:c r="G282" s="123"/>
    </x:row>
    <x:row r="283">
      <x:c r="G283" s="123"/>
    </x:row>
    <x:row r="284">
      <x:c r="G284" s="123"/>
    </x:row>
    <x:row r="285">
      <x:c r="G285" s="123"/>
    </x:row>
    <x:row r="286">
      <x:c r="G286" s="123"/>
    </x:row>
    <x:row r="287">
      <x:c r="G287" s="123"/>
    </x:row>
    <x:row r="288">
      <x:c r="G288" s="123"/>
    </x:row>
    <x:row r="289">
      <x:c r="G289" s="123"/>
    </x:row>
    <x:row r="290">
      <x:c r="G290" s="123"/>
    </x:row>
    <x:row r="291">
      <x:c r="G291" s="123"/>
    </x:row>
    <x:row r="292">
      <x:c r="G292" s="123"/>
    </x:row>
    <x:row r="293">
      <x:c r="G293" s="123"/>
    </x:row>
    <x:row r="294">
      <x:c r="G294" s="123"/>
    </x:row>
    <x:row r="295">
      <x:c r="G295" s="123"/>
    </x:row>
    <x:row r="296">
      <x:c r="G296" s="123"/>
    </x:row>
    <x:row r="297">
      <x:c r="G297" s="123"/>
    </x:row>
    <x:row r="298">
      <x:c r="G298" s="123"/>
    </x:row>
    <x:row r="299">
      <x:c r="G299" s="123"/>
    </x:row>
    <x:row r="300">
      <x:c r="G300" s="123"/>
    </x:row>
    <x:row r="301">
      <x:c r="G301" s="123"/>
    </x:row>
    <x:row r="302">
      <x:c r="G302" s="123"/>
    </x:row>
    <x:row r="303">
      <x:c r="G303" s="123"/>
    </x:row>
    <x:row r="304">
      <x:c r="G304" s="123"/>
    </x:row>
    <x:row r="305">
      <x:c r="G305" s="123"/>
    </x:row>
    <x:row r="306">
      <x:c r="G306" s="123"/>
    </x:row>
    <x:row r="307">
      <x:c r="G307" s="123"/>
    </x:row>
    <x:row r="308">
      <x:c r="G308" s="123"/>
    </x:row>
    <x:row r="309">
      <x:c r="G309" s="123"/>
    </x:row>
    <x:row r="310">
      <x:c r="G310" s="123"/>
    </x:row>
    <x:row r="311">
      <x:c r="G311" s="123"/>
    </x:row>
    <x:row r="312">
      <x:c r="G312" s="123"/>
    </x:row>
    <x:row r="313">
      <x:c r="G313" s="123"/>
    </x:row>
    <x:row r="314">
      <x:c r="G314" s="123"/>
    </x:row>
    <x:row r="315">
      <x:c r="G315" s="123"/>
    </x:row>
    <x:row r="316">
      <x:c r="G316" s="123"/>
    </x:row>
    <x:row r="317">
      <x:c r="G317" s="123"/>
    </x:row>
    <x:row r="318">
      <x:c r="G318" s="123"/>
    </x:row>
    <x:row r="319">
      <x:c r="G319" s="123"/>
    </x:row>
    <x:row r="320">
      <x:c r="G320" s="123"/>
    </x:row>
    <x:row r="321">
      <x:c r="G321" s="123"/>
    </x:row>
    <x:row r="322">
      <x:c r="G322" s="123"/>
    </x:row>
    <x:row r="323">
      <x:c r="G323" s="123"/>
    </x:row>
    <x:row r="324">
      <x:c r="G324" s="123"/>
    </x:row>
    <x:row r="325">
      <x:c r="G325" s="123"/>
    </x:row>
    <x:row r="326">
      <x:c r="G326" s="123"/>
    </x:row>
    <x:row r="327">
      <x:c r="G327" s="123"/>
    </x:row>
    <x:row r="328">
      <x:c r="G328" s="123"/>
    </x:row>
    <x:row r="329">
      <x:c r="G329" s="123"/>
    </x:row>
    <x:row r="330">
      <x:c r="G330" s="123"/>
    </x:row>
    <x:row r="331">
      <x:c r="G331" s="123"/>
    </x:row>
    <x:row r="332">
      <x:c r="G332" s="123"/>
    </x:row>
    <x:row r="333">
      <x:c r="G333" s="123"/>
    </x:row>
    <x:row r="334">
      <x:c r="G334" s="123"/>
    </x:row>
    <x:row r="335">
      <x:c r="G335" s="123"/>
    </x:row>
    <x:row r="336">
      <x:c r="G336" s="123"/>
    </x:row>
    <x:row r="337">
      <x:c r="G337" s="123"/>
    </x:row>
    <x:row r="338">
      <x:c r="G338" s="123"/>
    </x:row>
    <x:row r="339">
      <x:c r="G339" s="123"/>
    </x:row>
    <x:row r="340">
      <x:c r="G340" s="123"/>
    </x:row>
    <x:row r="341">
      <x:c r="G341" s="123"/>
    </x:row>
    <x:row r="342">
      <x:c r="G342" s="123"/>
    </x:row>
    <x:row r="343">
      <x:c r="G343" s="123"/>
    </x:row>
    <x:row r="344">
      <x:c r="G344" s="123"/>
    </x:row>
    <x:row r="345">
      <x:c r="G345" s="123"/>
    </x:row>
    <x:row r="346">
      <x:c r="G346" s="123"/>
    </x:row>
    <x:row r="347">
      <x:c r="G347" s="123"/>
    </x:row>
    <x:row r="348">
      <x:c r="G348" s="123"/>
    </x:row>
    <x:row r="349">
      <x:c r="G349" s="123"/>
    </x:row>
    <x:row r="350">
      <x:c r="G350" s="123"/>
    </x:row>
    <x:row r="351">
      <x:c r="G351" s="123"/>
    </x:row>
    <x:row r="352">
      <x:c r="G352" s="123"/>
    </x:row>
    <x:row r="353">
      <x:c r="G353" s="123"/>
    </x:row>
    <x:row r="354">
      <x:c r="G354" s="123"/>
    </x:row>
    <x:row r="355">
      <x:c r="G355" s="123"/>
    </x:row>
    <x:row r="356">
      <x:c r="G356" s="123"/>
    </x:row>
    <x:row r="357">
      <x:c r="G357" s="123"/>
    </x:row>
    <x:row r="358">
      <x:c r="G358" s="123"/>
    </x:row>
    <x:row r="359">
      <x:c r="G359" s="123"/>
    </x:row>
    <x:row r="360">
      <x:c r="G360" s="123"/>
    </x:row>
    <x:row r="361">
      <x:c r="G361" s="123"/>
    </x:row>
    <x:row r="362">
      <x:c r="G362" s="123"/>
    </x:row>
    <x:row r="363">
      <x:c r="G363" s="123"/>
    </x:row>
    <x:row r="364">
      <x:c r="G364" s="123"/>
    </x:row>
    <x:row r="365">
      <x:c r="G365" s="123"/>
    </x:row>
    <x:row r="366">
      <x:c r="G366" s="123"/>
    </x:row>
    <x:row r="367">
      <x:c r="G367" s="123"/>
    </x:row>
    <x:row r="368">
      <x:c r="G368" s="123"/>
    </x:row>
    <x:row r="369">
      <x:c r="G369" s="123"/>
    </x:row>
    <x:row r="370">
      <x:c r="G370" s="123"/>
    </x:row>
    <x:row r="371">
      <x:c r="G371" s="123"/>
    </x:row>
    <x:row r="372">
      <x:c r="G372" s="123"/>
    </x:row>
    <x:row r="373">
      <x:c r="G373" s="123"/>
    </x:row>
    <x:row r="374">
      <x:c r="G374" s="123"/>
    </x:row>
    <x:row r="375">
      <x:c r="G375" s="123"/>
    </x:row>
    <x:row r="376">
      <x:c r="G376" s="123"/>
    </x:row>
    <x:row r="377">
      <x:c r="G377" s="123"/>
    </x:row>
    <x:row r="378">
      <x:c r="G378" s="123"/>
    </x:row>
    <x:row r="379">
      <x:c r="G379" s="123"/>
    </x:row>
    <x:row r="380">
      <x:c r="G380" s="123"/>
    </x:row>
    <x:row r="381">
      <x:c r="G381" s="123"/>
    </x:row>
    <x:row r="382">
      <x:c r="G382" s="123"/>
    </x:row>
    <x:row r="383">
      <x:c r="G383" s="123"/>
    </x:row>
    <x:row r="384">
      <x:c r="G384" s="123"/>
    </x:row>
    <x:row r="385">
      <x:c r="G385" s="123"/>
    </x:row>
    <x:row r="386">
      <x:c r="G386" s="123"/>
    </x:row>
    <x:row r="387">
      <x:c r="G387" s="123"/>
    </x:row>
    <x:row r="388">
      <x:c r="G388" s="123"/>
    </x:row>
    <x:row r="389">
      <x:c r="G389" s="123"/>
    </x:row>
    <x:row r="390">
      <x:c r="G390" s="123"/>
    </x:row>
    <x:row r="391">
      <x:c r="G391" s="123"/>
    </x:row>
    <x:row r="392">
      <x:c r="G392" s="123"/>
    </x:row>
    <x:row r="393">
      <x:c r="G393" s="123"/>
    </x:row>
    <x:row r="394">
      <x:c r="G394" s="123"/>
    </x:row>
    <x:row r="395">
      <x:c r="G395" s="123"/>
    </x:row>
    <x:row r="396">
      <x:c r="G396" s="123"/>
    </x:row>
    <x:row r="397">
      <x:c r="G397" s="123"/>
    </x:row>
    <x:row r="398">
      <x:c r="G398" s="123"/>
    </x:row>
    <x:row r="399">
      <x:c r="G399" s="123"/>
    </x:row>
    <x:row r="400">
      <x:c r="G400" s="123"/>
    </x:row>
    <x:row r="401">
      <x:c r="G401" s="123"/>
    </x:row>
    <x:row r="402">
      <x:c r="G402" s="123"/>
    </x:row>
    <x:row r="403">
      <x:c r="G403" s="123"/>
    </x:row>
    <x:row r="404">
      <x:c r="G404" s="123"/>
    </x:row>
    <x:row r="405">
      <x:c r="G405" s="123"/>
    </x:row>
    <x:row r="406">
      <x:c r="G406" s="123"/>
    </x:row>
    <x:row r="407">
      <x:c r="G407" s="123"/>
    </x:row>
    <x:row r="408">
      <x:c r="G408" s="123"/>
    </x:row>
    <x:row r="409">
      <x:c r="G409" s="123"/>
    </x:row>
    <x:row r="410">
      <x:c r="G410" s="123"/>
    </x:row>
    <x:row r="411">
      <x:c r="G411" s="123"/>
    </x:row>
    <x:row r="412">
      <x:c r="G412" s="123"/>
    </x:row>
    <x:row r="413">
      <x:c r="G413" s="123"/>
    </x:row>
    <x:row r="414">
      <x:c r="G414" s="123"/>
    </x:row>
    <x:row r="415">
      <x:c r="G415" s="123"/>
    </x:row>
    <x:row r="416">
      <x:c r="G416" s="123"/>
    </x:row>
    <x:row r="417">
      <x:c r="G417" s="123"/>
    </x:row>
    <x:row r="418">
      <x:c r="G418" s="123"/>
    </x:row>
    <x:row r="419">
      <x:c r="G419" s="123"/>
    </x:row>
    <x:row r="420">
      <x:c r="G420" s="123"/>
    </x:row>
    <x:row r="421">
      <x:c r="G421" s="123"/>
    </x:row>
    <x:row r="422">
      <x:c r="G422" s="123"/>
    </x:row>
    <x:row r="423">
      <x:c r="G423" s="123"/>
    </x:row>
    <x:row r="424">
      <x:c r="G424" s="123"/>
    </x:row>
    <x:row r="425">
      <x:c r="G425" s="123"/>
    </x:row>
    <x:row r="426">
      <x:c r="G426" s="123"/>
    </x:row>
    <x:row r="427">
      <x:c r="G427" s="123"/>
    </x:row>
    <x:row r="428">
      <x:c r="G428" s="123"/>
    </x:row>
    <x:row r="429">
      <x:c r="G429" s="123"/>
    </x:row>
    <x:row r="430">
      <x:c r="G430" s="123"/>
    </x:row>
    <x:row r="431">
      <x:c r="G431" s="123"/>
    </x:row>
    <x:row r="432">
      <x:c r="G432" s="123"/>
    </x:row>
    <x:row r="433">
      <x:c r="G433" s="123"/>
    </x:row>
    <x:row r="434">
      <x:c r="G434" s="123"/>
    </x:row>
    <x:row r="435">
      <x:c r="G435" s="123"/>
    </x:row>
    <x:row r="436">
      <x:c r="G436" s="123"/>
    </x:row>
    <x:row r="437">
      <x:c r="G437" s="123"/>
    </x:row>
    <x:row r="438">
      <x:c r="G438" s="123"/>
    </x:row>
    <x:row r="439">
      <x:c r="G439" s="123"/>
    </x:row>
    <x:row r="440">
      <x:c r="G440" s="123"/>
    </x:row>
    <x:row r="441">
      <x:c r="G441" s="123"/>
    </x:row>
    <x:row r="442">
      <x:c r="G442" s="123"/>
    </x:row>
    <x:row r="443">
      <x:c r="G443" s="123"/>
    </x:row>
    <x:row r="444">
      <x:c r="G444" s="123"/>
    </x:row>
    <x:row r="445">
      <x:c r="G445" s="123"/>
    </x:row>
    <x:row r="446">
      <x:c r="G446" s="123"/>
    </x:row>
    <x:row r="447">
      <x:c r="G447" s="123"/>
    </x:row>
    <x:row r="448">
      <x:c r="G448" s="123"/>
    </x:row>
    <x:row r="449">
      <x:c r="G449" s="123"/>
    </x:row>
    <x:row r="450">
      <x:c r="G450" s="123"/>
    </x:row>
    <x:row r="451">
      <x:c r="G451" s="123"/>
    </x:row>
    <x:row r="452">
      <x:c r="G452" s="123"/>
    </x:row>
    <x:row r="453">
      <x:c r="G453" s="123"/>
    </x:row>
    <x:row r="454">
      <x:c r="G454" s="123"/>
    </x:row>
    <x:row r="455">
      <x:c r="G455" s="123"/>
    </x:row>
    <x:row r="456">
      <x:c r="G456" s="123"/>
    </x:row>
    <x:row r="457">
      <x:c r="G457" s="123"/>
    </x:row>
    <x:row r="458">
      <x:c r="G458" s="123"/>
    </x:row>
    <x:row r="459">
      <x:c r="G459" s="123"/>
    </x:row>
    <x:row r="460">
      <x:c r="G460" s="123"/>
    </x:row>
    <x:row r="461">
      <x:c r="G461" s="123"/>
    </x:row>
    <x:row r="462">
      <x:c r="G462" s="123"/>
    </x:row>
    <x:row r="463">
      <x:c r="G463" s="123"/>
    </x:row>
    <x:row r="464">
      <x:c r="G464" s="123"/>
    </x:row>
    <x:row r="465">
      <x:c r="G465" s="123"/>
    </x:row>
    <x:row r="466">
      <x:c r="G466" s="123"/>
    </x:row>
    <x:row r="467">
      <x:c r="G467" s="123"/>
    </x:row>
    <x:row r="468">
      <x:c r="G468" s="123"/>
    </x:row>
    <x:row r="469">
      <x:c r="G469" s="123"/>
    </x:row>
    <x:row r="470">
      <x:c r="G470" s="123"/>
    </x:row>
    <x:row r="471">
      <x:c r="G471" s="123"/>
    </x:row>
    <x:row r="472">
      <x:c r="G472" s="123"/>
    </x:row>
    <x:row r="473">
      <x:c r="G473" s="123"/>
    </x:row>
    <x:row r="474">
      <x:c r="G474" s="123"/>
    </x:row>
    <x:row r="475">
      <x:c r="G475" s="123"/>
    </x:row>
    <x:row r="476">
      <x:c r="G476" s="123"/>
    </x:row>
    <x:row r="477">
      <x:c r="G477" s="123"/>
    </x:row>
    <x:row r="478">
      <x:c r="G478" s="123"/>
    </x:row>
    <x:row r="479">
      <x:c r="G479" s="123"/>
    </x:row>
    <x:row r="480">
      <x:c r="G480" s="123"/>
    </x:row>
    <x:row r="481">
      <x:c r="G481" s="123"/>
    </x:row>
    <x:row r="482">
      <x:c r="G482" s="123"/>
    </x:row>
    <x:row r="483">
      <x:c r="G483" s="123"/>
    </x:row>
    <x:row r="484">
      <x:c r="G484" s="123"/>
    </x:row>
    <x:row r="485">
      <x:c r="G485" s="123"/>
    </x:row>
    <x:row r="486">
      <x:c r="G486" s="123"/>
    </x:row>
    <x:row r="487">
      <x:c r="G487" s="123"/>
    </x:row>
    <x:row r="488">
      <x:c r="G488" s="123"/>
    </x:row>
    <x:row r="489">
      <x:c r="G489" s="123"/>
    </x:row>
    <x:row r="490">
      <x:c r="G490" s="123"/>
    </x:row>
    <x:row r="491">
      <x:c r="G491" s="123"/>
    </x:row>
    <x:row r="492">
      <x:c r="G492" s="123"/>
    </x:row>
    <x:row r="493">
      <x:c r="G493" s="123"/>
    </x:row>
    <x:row r="494">
      <x:c r="G494" s="123"/>
    </x:row>
    <x:row r="495">
      <x:c r="G495" s="123"/>
    </x:row>
    <x:row r="496">
      <x:c r="G496" s="123"/>
    </x:row>
    <x:row r="497">
      <x:c r="G497" s="123"/>
    </x:row>
    <x:row r="498">
      <x:c r="G498" s="123"/>
    </x:row>
    <x:row r="499">
      <x:c r="G499" s="123"/>
    </x:row>
    <x:row r="500">
      <x:c r="G500" s="123"/>
    </x:row>
    <x:row r="501">
      <x:c r="G501" s="123"/>
    </x:row>
    <x:row r="502">
      <x:c r="G502" s="123"/>
    </x:row>
    <x:row r="503">
      <x:c r="G503" s="123"/>
    </x:row>
    <x:row r="504">
      <x:c r="G504" s="123"/>
    </x:row>
  </x:sheetData>
  <x:mergeCells>
    <x:mergeCell ref="A1:L2"/>
  </x:mergeCells>
  <x:conditionalFormatting sqref="G5:G50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K5:K504">
      <x:formula1>"Pending,Approved,Rejected,Corrected"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674c47458e4335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16" hidden="0" customWidth="1"/>
    <x:col min="5" max="5" width="12" hidden="0" customWidth="1"/>
    <x:col min="6" max="6" width="20" hidden="0" customWidth="1"/>
    <x:col min="7" max="7" width="22" hidden="0" customWidth="1"/>
    <x:col min="8" max="8" width="40" hidden="0" customWidth="1"/>
  </x:cols>
  <x:sheetData>
    <x:row r="1">
      <x:c r="A1" s="241" t="str">
        <x:v>V13 PLF / CUF / Availability Rule Library</x:v>
      </x:c>
      <x:c r="B1" s="241"/>
      <x:c r="C1" s="241"/>
      <x:c r="D1" s="241"/>
      <x:c r="E1" s="241"/>
      <x:c r="F1" s="241"/>
      <x:c r="G1" s="241"/>
      <x:c r="H1" s="241"/>
    </x:row>
    <x:row r="2">
      <x:c r="A2" s="241"/>
      <x:c r="B2" s="241"/>
      <x:c r="C2" s="241"/>
      <x:c r="D2" s="241"/>
      <x:c r="E2" s="241"/>
      <x:c r="F2" s="241"/>
      <x:c r="G2" s="241"/>
      <x:c r="H2" s="241"/>
    </x:row>
    <x:row r="4">
      <x:c r="A4" s="248" t="str">
        <x:v>Field</x:v>
      </x:c>
      <x:c r="B4" s="248" t="str">
        <x:v>Pattern Family</x:v>
      </x:c>
      <x:c r="C4" s="248" t="str">
        <x:v>Extraction Target</x:v>
      </x:c>
      <x:c r="D4" s="248" t="str">
        <x:v>Unit</x:v>
      </x:c>
      <x:c r="E4" s="248" t="str">
        <x:v>Priority</x:v>
      </x:c>
      <x:c r="F4" s="248" t="str">
        <x:v>Validation Range</x:v>
      </x:c>
      <x:c r="G4" s="248" t="str">
        <x:v>Applies To</x:v>
      </x:c>
      <x:c r="H4" s="248" t="str">
        <x:v>Notes</x:v>
      </x:c>
    </x:row>
    <x:row r="5">
      <x:c r="A5" t="str">
        <x:v>Minimum Annual PLF</x:v>
      </x:c>
      <x:c r="B5" t="str">
        <x:v>annual + minimum + PLF</x:v>
      </x:c>
      <x:c r="C5" t="str">
        <x:v>Percentage</x:v>
      </x:c>
      <x:c r="D5" t="str">
        <x:v>%</x:v>
      </x:c>
      <x:c r="E5" t="str">
        <x:v>High</x:v>
      </x:c>
      <x:c r="F5" t="str">
        <x:v>0–100</x:v>
      </x:c>
      <x:c r="G5" t="str">
        <x:v>FDRE/RTC/thermal-backed RE</x:v>
      </x:c>
      <x:c r="H5" t="str">
        <x:v>Prefer explicit annual guarantee</x:v>
      </x:c>
    </x:row>
    <x:row r="6">
      <x:c r="A6" t="str">
        <x:v>Minimum Monthly PLF</x:v>
      </x:c>
      <x:c r="B6" t="str">
        <x:v>monthly + minimum + PLF</x:v>
      </x:c>
      <x:c r="C6" t="str">
        <x:v>Percentage</x:v>
      </x:c>
      <x:c r="D6" t="str">
        <x:v>%</x:v>
      </x:c>
      <x:c r="E6" t="str">
        <x:v>High</x:v>
      </x:c>
      <x:c r="F6" t="str">
        <x:v>0–100</x:v>
      </x:c>
      <x:c r="G6" t="str">
        <x:v>FDRE/RTC</x:v>
      </x:c>
      <x:c r="H6" t="str">
        <x:v>Capture monthly guarantee separately</x:v>
      </x:c>
    </x:row>
    <x:row r="7">
      <x:c r="A7" t="str">
        <x:v>Minimum CUF</x:v>
      </x:c>
      <x:c r="B7" t="str">
        <x:v>minimum + CUF</x:v>
      </x:c>
      <x:c r="C7" t="str">
        <x:v>Percentage</x:v>
      </x:c>
      <x:c r="D7" t="str">
        <x:v>%</x:v>
      </x:c>
      <x:c r="E7" t="str">
        <x:v>High</x:v>
      </x:c>
      <x:c r="F7" t="str">
        <x:v>0–100</x:v>
      </x:c>
      <x:c r="G7" t="str">
        <x:v>Solar/Wind/Hybrid</x:v>
      </x:c>
      <x:c r="H7" t="str">
        <x:v>Do not treat as PLF</x:v>
      </x:c>
    </x:row>
    <x:row r="8">
      <x:c r="A8" t="str">
        <x:v>Declared CUF Range</x:v>
      </x:c>
      <x:c r="B8" t="str">
        <x:v>declared CUF / CUF range</x:v>
      </x:c>
      <x:c r="C8" t="str">
        <x:v>Lower and upper %</x:v>
      </x:c>
      <x:c r="D8" t="str">
        <x:v>%</x:v>
      </x:c>
      <x:c r="E8" t="str">
        <x:v>Medium</x:v>
      </x:c>
      <x:c r="F8" t="str">
        <x:v>0–100</x:v>
      </x:c>
      <x:c r="G8" t="str">
        <x:v>Solar/Wind/Hybrid</x:v>
      </x:c>
      <x:c r="H8" t="str">
        <x:v>Capture range and selected bid value</x:v>
      </x:c>
    </x:row>
    <x:row r="9">
      <x:c r="A9" t="str">
        <x:v>Annual Availability</x:v>
      </x:c>
      <x:c r="B9" t="str">
        <x:v>annual availability</x:v>
      </x:c>
      <x:c r="C9" t="str">
        <x:v>Percentage</x:v>
      </x:c>
      <x:c r="D9" t="str">
        <x:v>%</x:v>
      </x:c>
      <x:c r="E9" t="str">
        <x:v>High</x:v>
      </x:c>
      <x:c r="F9" t="str">
        <x:v>0–100</x:v>
      </x:c>
      <x:c r="G9" t="str">
        <x:v>BESS/PSP</x:v>
      </x:c>
      <x:c r="H9" t="str">
        <x:v>PLF not applicable</x:v>
      </x:c>
    </x:row>
    <x:row r="10">
      <x:c r="A10" t="str">
        <x:v>Monthly Availability</x:v>
      </x:c>
      <x:c r="B10" t="str">
        <x:v>monthly availability</x:v>
      </x:c>
      <x:c r="C10" t="str">
        <x:v>Percentage</x:v>
      </x:c>
      <x:c r="D10" t="str">
        <x:v>%</x:v>
      </x:c>
      <x:c r="E10" t="str">
        <x:v>High</x:v>
      </x:c>
      <x:c r="F10" t="str">
        <x:v>0–100</x:v>
      </x:c>
      <x:c r="G10" t="str">
        <x:v>BESS/PSP</x:v>
      </x:c>
      <x:c r="H10" t="str">
        <x:v>Capture payment-linked availability</x:v>
      </x:c>
    </x:row>
    <x:row r="11">
      <x:c r="A11" t="str">
        <x:v>Peak Supply Obligation</x:v>
      </x:c>
      <x:c r="B11" t="str">
        <x:v>MWh per MW per day</x:v>
      </x:c>
      <x:c r="C11" t="str">
        <x:v>Energy obligation</x:v>
      </x:c>
      <x:c r="D11" t="str">
        <x:v>MWh/MW/day</x:v>
      </x:c>
      <x:c r="E11" t="str">
        <x:v>High</x:v>
      </x:c>
      <x:c r="F11" t="str">
        <x:v>&gt;0</x:v>
      </x:c>
      <x:c r="G11" t="str">
        <x:v>FDRE/BESS</x:v>
      </x:c>
      <x:c r="H11" t="str">
        <x:v>Capture dispatch window</x:v>
      </x:c>
    </x:row>
    <x:row r="12">
      <x:c r="A12" t="str">
        <x:v>Allowed Shortfall</x:v>
      </x:c>
      <x:c r="B12" t="str">
        <x:v>shortfall up to / tolerance</x:v>
      </x:c>
      <x:c r="C12" t="str">
        <x:v>Percentage or energy</x:v>
      </x:c>
      <x:c r="D12" t="str">
        <x:v>% / MWh</x:v>
      </x:c>
      <x:c r="E12" t="str">
        <x:v>High</x:v>
      </x:c>
      <x:c r="F12" t="str">
        <x:v>&gt;=0</x:v>
      </x:c>
      <x:c r="G12" t="str">
        <x:v>All</x:v>
      </x:c>
      <x:c r="H12" t="str">
        <x:v>Link to penalty clause</x:v>
      </x:c>
    </x:row>
    <x:row r="13">
      <x:c r="A13" t="str">
        <x:v>Under-Supply Penalty</x:v>
      </x:c>
      <x:c r="B13" t="str">
        <x:v>shortfall / under-supply + multiplier</x:v>
      </x:c>
      <x:c r="C13" t="str">
        <x:v>Formula/text</x:v>
      </x:c>
      <x:c r="D13" t="str">
        <x:v>Text</x:v>
      </x:c>
      <x:c r="E13" t="str">
        <x:v>High</x:v>
      </x:c>
      <x:c r="F13" t="str">
        <x:v>Non-empty</x:v>
      </x:c>
      <x:c r="G13" t="str">
        <x:v>All</x:v>
      </x:c>
      <x:c r="H13" t="str">
        <x:v>Store evidence snippet and page</x:v>
      </x:c>
    </x:row>
    <x:row r="14">
      <x:c r="A14" t="str">
        <x:v>External Energy Cap</x:v>
      </x:c>
      <x:c r="B14" t="str">
        <x:v>green market / bilateral + up to</x:v>
      </x:c>
      <x:c r="C14" t="str">
        <x:v>Percentage</x:v>
      </x:c>
      <x:c r="D14" t="str">
        <x:v>%</x:v>
      </x:c>
      <x:c r="E14" t="str">
        <x:v>High</x:v>
      </x:c>
      <x:c r="F14" t="str">
        <x:v>0–100</x:v>
      </x:c>
      <x:c r="G14" t="str">
        <x:v>FDRE/RTC</x:v>
      </x:c>
      <x:c r="H14" t="str">
        <x:v>Separate charging from direct supply</x:v>
      </x:c>
    </x:row>
    <x:row r="16">
      <x:c r="A16" t="str">
        <x:v>Minimum Annual PLF</x:v>
      </x:c>
      <x:c r="B16" t="str">
        <x:v>not less than annual PLF / guaranteed PLF</x:v>
      </x:c>
      <x:c r="C16" t="str">
        <x:v>Percentage</x:v>
      </x:c>
      <x:c r="D16" t="str">
        <x:v>%</x:v>
      </x:c>
      <x:c r="E16" t="str">
        <x:v>High</x:v>
      </x:c>
      <x:c r="F16" t="str">
        <x:v>0–100</x:v>
      </x:c>
      <x:c r="G16" t="str">
        <x:v>FDRE/RTC</x:v>
      </x:c>
      <x:c r="H16" t="str">
        <x:v>Handles shall be / at least / guaranteed</x:v>
      </x:c>
    </x:row>
    <x:row r="17">
      <x:c r="A17" t="str">
        <x:v>Minimum Monthly PLF</x:v>
      </x:c>
      <x:c r="B17" t="str">
        <x:v>monthly PLF shall not be less than</x:v>
      </x:c>
      <x:c r="C17" t="str">
        <x:v>Percentage</x:v>
      </x:c>
      <x:c r="D17" t="str">
        <x:v>%</x:v>
      </x:c>
      <x:c r="E17" t="str">
        <x:v>High</x:v>
      </x:c>
      <x:c r="F17" t="str">
        <x:v>0–100</x:v>
      </x:c>
      <x:c r="G17" t="str">
        <x:v>FDRE/RTC</x:v>
      </x:c>
      <x:c r="H17" t="str">
        <x:v>Monthly and billing-period wording</x:v>
      </x:c>
    </x:row>
    <x:row r="18">
      <x:c r="A18" t="str">
        <x:v>Minimum Annual CUF</x:v>
      </x:c>
      <x:c r="B18" t="str">
        <x:v>minimum annual CUF</x:v>
      </x:c>
      <x:c r="C18" t="str">
        <x:v>Percentage</x:v>
      </x:c>
      <x:c r="D18" t="str">
        <x:v>%</x:v>
      </x:c>
      <x:c r="E18" t="str">
        <x:v>High</x:v>
      </x:c>
      <x:c r="F18" t="str">
        <x:v>0–100</x:v>
      </x:c>
      <x:c r="G18" t="str">
        <x:v>Solar/Wind/Hybrid</x:v>
      </x:c>
      <x:c r="H18" t="str">
        <x:v>Separate from PLF</x:v>
      </x:c>
    </x:row>
    <x:row r="19">
      <x:c r="A19" t="str">
        <x:v>Monthly Energy Guarantee</x:v>
      </x:c>
      <x:c r="B19" t="str">
        <x:v>monthly scheduled energy / minimum monthly energy</x:v>
      </x:c>
      <x:c r="C19" t="str">
        <x:v>Energy or %</x:v>
      </x:c>
      <x:c r="D19" t="str">
        <x:v>MWh / %</x:v>
      </x:c>
      <x:c r="E19" t="str">
        <x:v>High</x:v>
      </x:c>
      <x:c r="F19" t="str">
        <x:v>&gt;=0</x:v>
      </x:c>
      <x:c r="G19" t="str">
        <x:v>FDRE/RTC</x:v>
      </x:c>
      <x:c r="H19" t="str">
        <x:v>Capture reconciliation basis</x:v>
      </x:c>
    </x:row>
    <x:row r="20">
      <x:c r="A20" t="str">
        <x:v>Annual Energy Guarantee</x:v>
      </x:c>
      <x:c r="B20" t="str">
        <x:v>annual contracted energy / annual offered energy</x:v>
      </x:c>
      <x:c r="C20" t="str">
        <x:v>Energy or %</x:v>
      </x:c>
      <x:c r="D20" t="str">
        <x:v>MWh / %</x:v>
      </x:c>
      <x:c r="E20" t="str">
        <x:v>High</x:v>
      </x:c>
      <x:c r="F20" t="str">
        <x:v>&gt;=0</x:v>
      </x:c>
      <x:c r="G20" t="str">
        <x:v>All</x:v>
      </x:c>
      <x:c r="H20" t="str">
        <x:v>Capture contract-year basis</x:v>
      </x:c>
    </x:row>
    <x:row r="21">
      <x:c r="A21" t="str">
        <x:v>BESS Annual Availability</x:v>
      </x:c>
      <x:c r="B21" t="str">
        <x:v>minimum annual availability</x:v>
      </x:c>
      <x:c r="C21" t="str">
        <x:v>Percentage</x:v>
      </x:c>
      <x:c r="D21" t="str">
        <x:v>%</x:v>
      </x:c>
      <x:c r="E21" t="str">
        <x:v>High</x:v>
      </x:c>
      <x:c r="F21" t="str">
        <x:v>0–100</x:v>
      </x:c>
      <x:c r="G21" t="str">
        <x:v>BESS</x:v>
      </x:c>
      <x:c r="H21" t="str">
        <x:v>PLF not applicable</x:v>
      </x:c>
    </x:row>
    <x:row r="22">
      <x:c r="A22" t="str">
        <x:v>BESS Monthly Availability</x:v>
      </x:c>
      <x:c r="B22" t="str">
        <x:v>minimum monthly availability</x:v>
      </x:c>
      <x:c r="C22" t="str">
        <x:v>Percentage</x:v>
      </x:c>
      <x:c r="D22" t="str">
        <x:v>%</x:v>
      </x:c>
      <x:c r="E22" t="str">
        <x:v>High</x:v>
      </x:c>
      <x:c r="F22" t="str">
        <x:v>0–100</x:v>
      </x:c>
      <x:c r="G22" t="str">
        <x:v>BESS</x:v>
      </x:c>
      <x:c r="H22" t="str">
        <x:v>Payment-linked availability</x:v>
      </x:c>
    </x:row>
    <x:row r="23">
      <x:c r="A23" t="str">
        <x:v>Cycle Requirement</x:v>
      </x:c>
      <x:c r="B23" t="str">
        <x:v>cycles per day / contract year</x:v>
      </x:c>
      <x:c r="C23" t="str">
        <x:v>Number</x:v>
      </x:c>
      <x:c r="D23" t="str">
        <x:v>cycles</x:v>
      </x:c>
      <x:c r="E23" t="str">
        <x:v>High</x:v>
      </x:c>
      <x:c r="F23" t="str">
        <x:v>&gt;0</x:v>
      </x:c>
      <x:c r="G23" t="str">
        <x:v>BESS</x:v>
      </x:c>
      <x:c r="H23" t="str">
        <x:v>Capture full/partial cycles</x:v>
      </x:c>
    </x:row>
    <x:row r="24">
      <x:c r="A24" t="str">
        <x:v>Round-trip Efficiency</x:v>
      </x:c>
      <x:c r="B24" t="str">
        <x:v>minimum round trip efficiency</x:v>
      </x:c>
      <x:c r="C24" t="str">
        <x:v>Percentage</x:v>
      </x:c>
      <x:c r="D24" t="str">
        <x:v>%</x:v>
      </x:c>
      <x:c r="E24" t="str">
        <x:v>High</x:v>
      </x:c>
      <x:c r="F24" t="str">
        <x:v>0–100</x:v>
      </x:c>
      <x:c r="G24" t="str">
        <x:v>BESS</x:v>
      </x:c>
      <x:c r="H24" t="str">
        <x:v>AC-AC or DC-DC basis</x:v>
      </x:c>
    </x:row>
    <x:row r="25">
      <x:c r="A25" t="str">
        <x:v>Shortfall Tolerance</x:v>
      </x:c>
      <x:c r="B25" t="str">
        <x:v>permitted shortfall / tolerance</x:v>
      </x:c>
      <x:c r="C25" t="str">
        <x:v>Percentage</x:v>
      </x:c>
      <x:c r="D25" t="str">
        <x:v>%</x:v>
      </x:c>
      <x:c r="E25" t="str">
        <x:v>High</x:v>
      </x:c>
      <x:c r="F25" t="str">
        <x:v>0–100</x:v>
      </x:c>
      <x:c r="G25" t="str">
        <x:v>All</x:v>
      </x:c>
      <x:c r="H25" t="str">
        <x:v>Link to penalty evidence</x:v>
      </x:c>
    </x:row>
    <x:row r="26">
      <x:c r="A26" t="str">
        <x:v>Penalty Multiplier</x:v>
      </x:c>
      <x:c r="B26" t="str">
        <x:v>1.5 times / x tariff / market price</x:v>
      </x:c>
      <x:c r="C26" t="str">
        <x:v>Formula/text</x:v>
      </x:c>
      <x:c r="D26" t="str">
        <x:v>Text</x:v>
      </x:c>
      <x:c r="E26" t="str">
        <x:v>High</x:v>
      </x:c>
      <x:c r="F26" t="str">
        <x:v>Non-empty</x:v>
      </x:c>
      <x:c r="G26" t="str">
        <x:v>All</x:v>
      </x:c>
      <x:c r="H26" t="str">
        <x:v>Preserve full formula</x:v>
      </x:c>
    </x:row>
    <x:row r="27">
      <x:c r="A27" t="str">
        <x:v>External Energy Cap</x:v>
      </x:c>
      <x:c r="B27" t="str">
        <x:v>green market / bilateral / exchange cap</x:v>
      </x:c>
      <x:c r="C27" t="str">
        <x:v>Percentage</x:v>
      </x:c>
      <x:c r="D27" t="str">
        <x:v>%</x:v>
      </x:c>
      <x:c r="E27" t="str">
        <x:v>High</x:v>
      </x:c>
      <x:c r="F27" t="str">
        <x:v>0–100</x:v>
      </x:c>
      <x:c r="G27" t="str">
        <x:v>FDRE/RTC</x:v>
      </x:c>
      <x:c r="H27" t="str">
        <x:v>Separate source and charging rules</x:v>
      </x:c>
    </x:row>
    <x:row r="28">
      <x:c r="A28" t="str">
        <x:v>Merchant Sale Timing</x:v>
      </x:c>
      <x:c r="B28" t="str">
        <x:v>third-party or merchant sale after obligation</x:v>
      </x:c>
      <x:c r="C28" t="str">
        <x:v>Text</x:v>
      </x:c>
      <x:c r="D28" t="str">
        <x:v>Text</x:v>
      </x:c>
      <x:c r="E28" t="str">
        <x:v>Medium</x:v>
      </x:c>
      <x:c r="F28" t="str">
        <x:v>Non-empty</x:v>
      </x:c>
      <x:c r="G28" t="str">
        <x:v>FDRE/BESS</x:v>
      </x:c>
      <x:c r="H28" t="str">
        <x:v>Capture timing restriction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e5ad3b4bd264043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0" hidden="0" customWidth="1"/>
    <x:col min="5" max="5" width="18" hidden="0" customWidth="1"/>
    <x:col min="6" max="6" width="18" hidden="0" customWidth="1"/>
    <x:col min="7" max="7" width="20" hidden="0" customWidth="1"/>
    <x:col min="8" max="8" width="36" hidden="0" customWidth="1"/>
  </x:cols>
  <x:sheetData>
    <x:row r="1">
      <x:c r="A1" s="255" t="str">
        <x:v>V14 Production Readiness &amp; Acceptance</x:v>
      </x:c>
      <x:c r="B1" s="255"/>
      <x:c r="C1" s="255"/>
      <x:c r="D1" s="255"/>
      <x:c r="E1" s="255"/>
      <x:c r="F1" s="255"/>
      <x:c r="G1" s="255"/>
      <x:c r="H1" s="255"/>
    </x:row>
    <x:row r="2">
      <x:c r="A2" s="255"/>
      <x:c r="B2" s="255"/>
      <x:c r="C2" s="255"/>
      <x:c r="D2" s="255"/>
      <x:c r="E2" s="255"/>
      <x:c r="F2" s="255"/>
      <x:c r="G2" s="255"/>
      <x:c r="H2" s="255"/>
    </x:row>
    <x:row r="3">
      <x:c r="A3" s="257" t="str">
        <x:v>V14 is a clean repository release with corrected CI, stronger clause extraction, page-level evidence and connector acceptance controls.</x:v>
      </x:c>
      <x:c r="B3" s="257"/>
      <x:c r="C3" s="257"/>
      <x:c r="D3" s="257"/>
      <x:c r="E3" s="257"/>
      <x:c r="F3" s="257"/>
      <x:c r="G3" s="257"/>
      <x:c r="H3" s="257"/>
    </x:row>
    <x:row r="5">
      <x:c r="A5" s="262" t="str">
        <x:v>Control</x:v>
      </x:c>
      <x:c r="B5" s="262" t="str">
        <x:v>Purpose</x:v>
      </x:c>
      <x:c r="C5" s="262" t="str">
        <x:v>Pass Condition</x:v>
      </x:c>
      <x:c r="D5" s="262" t="str">
        <x:v>Runtime Evidence</x:v>
      </x:c>
      <x:c r="E5" s="262" t="str">
        <x:v>Owner</x:v>
      </x:c>
      <x:c r="F5" s="262" t="str">
        <x:v>Frequency</x:v>
      </x:c>
      <x:c r="G5" s="262" t="str">
        <x:v>Status</x:v>
      </x:c>
      <x:c r="H5" s="262" t="str">
        <x:v>Notes</x:v>
      </x:c>
    </x:row>
    <x:row r="6">
      <x:c r="A6" t="str">
        <x:v>Unit tests</x:v>
      </x:c>
      <x:c r="B6" t="str">
        <x:v>Protect parser and filtering logic</x:v>
      </x:c>
      <x:c r="C6" t="str">
        <x:v>All tests pass</x:v>
      </x:c>
      <x:c r="D6" t="str">
        <x:v>GitHub Actions test log</x:v>
      </x:c>
      <x:c r="E6" t="str">
        <x:v>Maintainer</x:v>
      </x:c>
      <x:c r="F6" t="str">
        <x:v>Every push</x:v>
      </x:c>
      <x:c r="G6" t="str">
        <x:v>Configured</x:v>
      </x:c>
      <x:c r="H6" t="str"/>
    </x:row>
    <x:row r="7">
      <x:c r="A7" t="str">
        <x:v>Workflow syntax</x:v>
      </x:c>
      <x:c r="B7" t="str">
        <x:v>Prevent invalid YAML</x:v>
      </x:c>
      <x:c r="C7" t="str">
        <x:v>Workflow loads and job graph appears</x:v>
      </x:c>
      <x:c r="D7" t="str">
        <x:v>Actions run</x:v>
      </x:c>
      <x:c r="E7" t="str">
        <x:v>Maintainer</x:v>
      </x:c>
      <x:c r="F7" t="str">
        <x:v>Every change</x:v>
      </x:c>
      <x:c r="G7" t="str">
        <x:v>Configured</x:v>
      </x:c>
      <x:c r="H7" t="str"/>
    </x:row>
    <x:row r="8">
      <x:c r="A8" t="str">
        <x:v>Connector health</x:v>
      </x:c>
      <x:c r="B8" t="str">
        <x:v>Track source failures</x:v>
      </x:c>
      <x:c r="C8" t="str">
        <x:v>Each enabled connector reports status</x:v>
      </x:c>
      <x:c r="D8" t="str">
        <x:v>Logs/connector_health.json</x:v>
      </x:c>
      <x:c r="E8" t="str">
        <x:v>Maintainer</x:v>
      </x:c>
      <x:c r="F8" t="str">
        <x:v>Daily</x:v>
      </x:c>
      <x:c r="G8" t="str">
        <x:v>Configured</x:v>
      </x:c>
      <x:c r="H8" t="str"/>
    </x:row>
    <x:row r="9">
      <x:c r="A9" t="str">
        <x:v>Workbook safety</x:v>
      </x:c>
      <x:c r="B9" t="str">
        <x:v>Prevent data loss</x:v>
      </x:c>
      <x:c r="C9" t="str">
        <x:v>Backup before every live save</x:v>
      </x:c>
      <x:c r="D9" t="str">
        <x:v>backups/ folder</x:v>
      </x:c>
      <x:c r="E9" t="str">
        <x:v>Automation</x:v>
      </x:c>
      <x:c r="F9" t="str">
        <x:v>Daily</x:v>
      </x:c>
      <x:c r="G9" t="str">
        <x:v>Configured</x:v>
      </x:c>
      <x:c r="H9" t="str"/>
    </x:row>
    <x:row r="10">
      <x:c r="A10" t="str">
        <x:v>PLF evidence</x:v>
      </x:c>
      <x:c r="B10" t="str">
        <x:v>Avoid unsupported extraction</x:v>
      </x:c>
      <x:c r="C10" t="str">
        <x:v>Value + confidence + page snippet</x:v>
      </x:c>
      <x:c r="D10" t="str">
        <x:v>Clause Extraction QA</x:v>
      </x:c>
      <x:c r="E10" t="str">
        <x:v>Reviewer</x:v>
      </x:c>
      <x:c r="F10" t="str">
        <x:v>Per tender</x:v>
      </x:c>
      <x:c r="G10" t="str">
        <x:v>Configured</x:v>
      </x:c>
      <x:c r="H10" t="str"/>
    </x:row>
    <x:row r="11">
      <x:c r="A11" t="str">
        <x:v>No-inference policy</x:v>
      </x:c>
      <x:c r="B11" t="str">
        <x:v>Avoid fabricated commercial terms</x:v>
      </x:c>
      <x:c r="C11" t="str">
        <x:v>Missing clauses remain Not verified</x:v>
      </x:c>
      <x:c r="D11" t="str">
        <x:v>Master Tenders</x:v>
      </x:c>
      <x:c r="E11" t="str">
        <x:v>Reviewer</x:v>
      </x:c>
      <x:c r="F11" t="str">
        <x:v>Per tender</x:v>
      </x:c>
      <x:c r="G11" t="str">
        <x:v>Configured</x:v>
      </x:c>
      <x:c r="H11" t="str"/>
    </x:row>
    <x:row r="12">
      <x:c r="A12" t="str">
        <x:v>Closed removal</x:v>
      </x:c>
      <x:c r="B12" t="str">
        <x:v>Keep active list current</x:v>
      </x:c>
      <x:c r="C12" t="str">
        <x:v>Closed/expired removed from Master</x:v>
      </x:c>
      <x:c r="D12" t="str">
        <x:v>Exclusion Log</x:v>
      </x:c>
      <x:c r="E12" t="str">
        <x:v>Automation</x:v>
      </x:c>
      <x:c r="F12" t="str">
        <x:v>Daily</x:v>
      </x:c>
      <x:c r="G12" t="str">
        <x:v>Configured</x:v>
      </x:c>
      <x:c r="H12" t="str"/>
    </x:row>
    <x:row r="13">
      <x:c r="A13" t="str">
        <x:v>Portal acceptance</x:v>
      </x:c>
      <x:c r="B13" t="str">
        <x:v>Validate live selectors</x:v>
      </x:c>
      <x:c r="C13" t="str">
        <x:v>Expected official records returned</x:v>
      </x:c>
      <x:c r="D13" t="str">
        <x:v>Connector Health</x:v>
      </x:c>
      <x:c r="E13" t="str">
        <x:v>Maintainer</x:v>
      </x:c>
      <x:c r="F13" t="str">
        <x:v>Initial + after changes</x:v>
      </x:c>
      <x:c r="G13" t="str">
        <x:v>Pending live tests</x:v>
      </x:c>
      <x:c r="H13" t="str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138e5437a574846"/>
  </x:tableParts>
</x:worksheet>
</file>