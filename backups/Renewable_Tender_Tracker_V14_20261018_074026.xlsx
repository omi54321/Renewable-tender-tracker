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worksheets/sheet23.xml" ContentType="application/vnd.openxmlformats-officedocument.spreadsheetml.worksheet+xml"/>
  <Override PartName="/xl/tables/table19.xml" ContentType="application/vnd.openxmlformats-officedocument.spreadsheetml.table+xml"/>
  <Override PartName="/xl/worksheets/sheet24.xml" ContentType="application/vnd.openxmlformats-officedocument.spreadsheetml.worksheet+xml"/>
  <Override PartName="/xl/tables/table20.xml" ContentType="application/vnd.openxmlformats-officedocument.spreadsheetml.table+xml"/>
  <Override PartName="/xl/worksheets/sheet25.xml" ContentType="application/vnd.openxmlformats-officedocument.spreadsheetml.worksheet+xml"/>
  <Override PartName="/xl/tables/table21.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Tenders" sheetId="2" state="visible" r:id="rId2"/>
    <sheet xmlns:r="http://schemas.openxmlformats.org/officeDocument/2006/relationships" name="Agency Master" sheetId="3" state="visible" r:id="rId3"/>
    <sheet xmlns:r="http://schemas.openxmlformats.org/officeDocument/2006/relationships" name="Update Log" sheetId="4" state="visible" r:id="rId4"/>
    <sheet xmlns:r="http://schemas.openxmlformats.org/officeDocument/2006/relationships" name="New Tenders" sheetId="5" state="visible" r:id="rId5"/>
    <sheet xmlns:r="http://schemas.openxmlformats.org/officeDocument/2006/relationships" name="Settings" sheetId="6" state="visible" r:id="rId6"/>
    <sheet xmlns:r="http://schemas.openxmlformats.org/officeDocument/2006/relationships" name="Tender Intake" sheetId="7" state="visible" r:id="rId7"/>
    <sheet xmlns:r="http://schemas.openxmlformats.org/officeDocument/2006/relationships" name="Tender History" sheetId="8" state="visible" r:id="rId8"/>
    <sheet xmlns:r="http://schemas.openxmlformats.org/officeDocument/2006/relationships" name="Deadline Calendar" sheetId="9" state="visible" r:id="rId9"/>
    <sheet xmlns:r="http://schemas.openxmlformats.org/officeDocument/2006/relationships" name="Source Registry" sheetId="10" state="visible" r:id="rId10"/>
    <sheet xmlns:r="http://schemas.openxmlformats.org/officeDocument/2006/relationships" name="Extraction Rules" sheetId="11" state="visible" r:id="rId11"/>
    <sheet xmlns:r="http://schemas.openxmlformats.org/officeDocument/2006/relationships" name="Connector Runs" sheetId="12" state="visible" r:id="rId12"/>
    <sheet xmlns:r="http://schemas.openxmlformats.org/officeDocument/2006/relationships" name="Document Queue" sheetId="13" state="visible" r:id="rId13"/>
    <sheet xmlns:r="http://schemas.openxmlformats.org/officeDocument/2006/relationships" name="PDF Extraction Results" sheetId="14" state="visible" r:id="rId14"/>
    <sheet xmlns:r="http://schemas.openxmlformats.org/officeDocument/2006/relationships" name="Change Review" sheetId="15" state="visible" r:id="rId15"/>
    <sheet xmlns:r="http://schemas.openxmlformats.org/officeDocument/2006/relationships" name="Tender Snapshots" sheetId="16" state="visible" r:id="rId16"/>
    <sheet xmlns:r="http://schemas.openxmlformats.org/officeDocument/2006/relationships" name="Import Control" sheetId="17" state="visible" r:id="rId17"/>
    <sheet xmlns:r="http://schemas.openxmlformats.org/officeDocument/2006/relationships" name="Validation Errors" sheetId="18" state="visible" r:id="rId18"/>
    <sheet xmlns:r="http://schemas.openxmlformats.org/officeDocument/2006/relationships" name="Writeback Audit" sheetId="19" state="visible" r:id="rId19"/>
    <sheet xmlns:r="http://schemas.openxmlformats.org/officeDocument/2006/relationships" name="Agency Coverage" sheetId="20" state="visible" r:id="rId20"/>
    <sheet xmlns:r="http://schemas.openxmlformats.org/officeDocument/2006/relationships" name="Execution Control" sheetId="21" state="visible" r:id="rId21"/>
    <sheet xmlns:r="http://schemas.openxmlformats.org/officeDocument/2006/relationships" name="Management Report" sheetId="22" state="visible" r:id="rId22"/>
    <sheet xmlns:r="http://schemas.openxmlformats.org/officeDocument/2006/relationships" name="Daily Summary" sheetId="23" state="visible" r:id="rId23"/>
    <sheet xmlns:r="http://schemas.openxmlformats.org/officeDocument/2006/relationships" name="V7 Snapshot Coverage" sheetId="24" state="visible" r:id="rId24"/>
    <sheet xmlns:r="http://schemas.openxmlformats.org/officeDocument/2006/relationships" name="Manual Verification Queue" sheetId="25" state="visible" r:id="rId25"/>
    <sheet xmlns:r="http://schemas.openxmlformats.org/officeDocument/2006/relationships" name="Current Opportunities" sheetId="26" state="visible" r:id="rId26"/>
    <sheet xmlns:r="http://schemas.openxmlformats.org/officeDocument/2006/relationships" name="Source Evidence" sheetId="27" state="visible" r:id="rId27"/>
    <sheet xmlns:r="http://schemas.openxmlformats.org/officeDocument/2006/relationships" name="Exclusion Log" sheetId="28" state="visible" r:id="rId28"/>
    <sheet xmlns:r="http://schemas.openxmlformats.org/officeDocument/2006/relationships" name="Scope Rules" sheetId="29" state="visible" r:id="rId29"/>
    <sheet xmlns:r="http://schemas.openxmlformats.org/officeDocument/2006/relationships" name="Daily Update Setup" sheetId="30" state="visible" r:id="rId30"/>
    <sheet xmlns:r="http://schemas.openxmlformats.org/officeDocument/2006/relationships" name="Repository Setup" sheetId="31" state="visible" r:id="rId31"/>
    <sheet xmlns:r="http://schemas.openxmlformats.org/officeDocument/2006/relationships" name="Automation Status" sheetId="32" state="visible" r:id="rId32"/>
    <sheet xmlns:r="http://schemas.openxmlformats.org/officeDocument/2006/relationships" name="Connector Health" sheetId="33" state="visible" r:id="rId33"/>
    <sheet xmlns:r="http://schemas.openxmlformats.org/officeDocument/2006/relationships" name="Clause Extraction QA" sheetId="34" state="visible" r:id="rId34"/>
    <sheet xmlns:r="http://schemas.openxmlformats.org/officeDocument/2006/relationships" name="PLF Rule Library" sheetId="35" state="visible" r:id="rId35"/>
    <sheet xmlns:r="http://schemas.openxmlformats.org/officeDocument/2006/relationships" name="V14 Production Readiness" sheetId="36" state="visible" r:id="rId36"/>
  </sheets>
  <definedNames/>
  <calcPr calcId="124519" calcMode="auto" fullCalcOnLoad="1" calcOnSave="1" forceFullCalc="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10">
    <font>
      <name val="Carlito"/>
      <sz val="11"/>
    </font>
    <font>
      <name val="Carlito"/>
      <b val="1"/>
      <color rgb="FFFFFFFF"/>
      <sz val="18"/>
    </font>
    <font>
      <name val="Carlito"/>
      <i val="1"/>
      <color rgb="FF31584B"/>
      <sz val="11"/>
    </font>
    <font>
      <name val="Carlito"/>
      <b val="1"/>
      <color rgb="FF0B5D3B"/>
      <sz val="15"/>
    </font>
    <font>
      <name val="Carlito"/>
      <b val="1"/>
      <color rgb="FF31584B"/>
      <sz val="11"/>
    </font>
    <font>
      <name val="Carlito"/>
      <b val="1"/>
      <color rgb="FF0B5D3B"/>
      <sz val="11"/>
    </font>
    <font>
      <name val="Carlito"/>
      <b val="1"/>
      <sz val="11"/>
    </font>
    <font>
      <name val="Carlito"/>
      <b val="1"/>
      <color rgb="FFFFFFFF"/>
      <sz val="10"/>
    </font>
    <font>
      <name val="Carlito"/>
      <color rgb="FF24453A"/>
      <sz val="11"/>
    </font>
    <font>
      <name val="Carlito"/>
      <b val="1"/>
      <color rgb="FFFFFFFF"/>
      <sz val="11"/>
    </font>
  </fonts>
  <fills count="60">
    <fill>
      <patternFill/>
    </fill>
    <fill>
      <patternFill patternType="gray125"/>
    </fill>
    <fill>
      <patternFill patternType="solid">
        <fgColor rgb="FF0B5D3B"/>
      </patternFill>
    </fill>
    <fill>
      <patternFill patternType="solid">
        <fgColor rgb="FFEAF5F0"/>
      </patternFill>
    </fill>
    <fill>
      <patternFill patternType="solid">
        <fgColor rgb="FFE8F5EF"/>
      </patternFill>
    </fill>
    <fill>
      <patternFill patternType="solid">
        <fgColor rgb="FFDFF2E8"/>
      </patternFill>
    </fill>
    <fill>
      <patternFill patternType="solid">
        <fgColor rgb="FFF3F7F5"/>
      </patternFill>
    </fill>
    <fill>
      <patternFill patternType="solid">
        <fgColor rgb="FF147D64"/>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F3F7F5"/>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147D64"/>
      </patternFill>
    </fill>
    <fill>
      <patternFill patternType="solid">
        <fgColor rgb="FF0B5D3B"/>
      </patternFill>
    </fill>
    <fill>
      <patternFill patternType="solid">
        <fgColor rgb="FFEAF5F0"/>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
      <patternFill patternType="solid">
        <fgColor rgb="FF0B5D3B"/>
      </patternFill>
    </fill>
    <fill>
      <patternFill patternType="solid">
        <fgColor rgb="FFEAF5F0"/>
      </patternFill>
    </fill>
    <fill>
      <patternFill patternType="solid">
        <fgColor rgb="FF147D64"/>
      </patternFill>
    </fill>
    <fill>
      <patternFill patternType="solid">
        <fgColor rgb="FFDFF2E8"/>
      </patternFill>
    </fill>
  </fills>
  <borders count="2">
    <border/>
    <border/>
  </borders>
  <cellStyleXfs count="1">
    <xf numFmtId="0" fontId="0" fillId="0" borderId="1"/>
  </cellStyleXfs>
  <cellXfs count="30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3" fillId="4" borderId="0" applyAlignment="1" pivotButton="0" quotePrefix="0" xfId="0">
      <alignment horizontal="center"/>
    </xf>
    <xf numFmtId="0" fontId="3" fillId="4" borderId="0" applyAlignment="1" pivotButton="0" quotePrefix="0" xfId="0">
      <alignment horizontal="center" vertical="center"/>
    </xf>
    <xf numFmtId="0" fontId="0" fillId="4" borderId="1" pivotButton="0" quotePrefix="0" xfId="0"/>
    <xf numFmtId="0" fontId="3" fillId="4" borderId="1" pivotButton="0" quotePrefix="0" xfId="0"/>
    <xf numFmtId="0" fontId="3" fillId="4" borderId="1" applyAlignment="1" pivotButton="0" quotePrefix="0" xfId="0">
      <alignment horizontal="center"/>
    </xf>
    <xf numFmtId="0" fontId="3" fillId="4" borderId="1" applyAlignment="1" pivotButton="0" quotePrefix="0" xfId="0">
      <alignment horizontal="center" vertical="center"/>
    </xf>
    <xf numFmtId="0" fontId="4" fillId="0" borderId="0" pivotButton="0" quotePrefix="0" xfId="0"/>
    <xf numFmtId="0" fontId="4" fillId="0" borderId="1"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5" borderId="1" pivotButton="0" quotePrefix="0" xfId="0"/>
    <xf numFmtId="0" fontId="5" fillId="5" borderId="1" pivotButton="0" quotePrefix="0" xfId="0"/>
    <xf numFmtId="0" fontId="5" fillId="5" borderId="1" applyAlignment="1" pivotButton="0" quotePrefix="0" xfId="0">
      <alignment horizontal="left"/>
    </xf>
    <xf numFmtId="0" fontId="5" fillId="5" borderId="1" applyAlignment="1" pivotButton="0" quotePrefix="0" xfId="0">
      <alignment horizontal="left" vertical="center"/>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6" fillId="6" borderId="0" applyAlignment="1" pivotButton="0" quotePrefix="0" xfId="0">
      <alignment wrapText="1"/>
    </xf>
    <xf numFmtId="0" fontId="0" fillId="0" borderId="0" applyAlignment="1" pivotButton="0" quotePrefix="0" xfId="0">
      <alignment wrapText="1"/>
    </xf>
    <xf numFmtId="0" fontId="6" fillId="6" borderId="1" applyAlignment="1" pivotButton="0" quotePrefix="0" xfId="0">
      <alignment wrapText="1"/>
    </xf>
    <xf numFmtId="0" fontId="0" fillId="0" borderId="1" applyAlignment="1" pivotButton="0" quotePrefix="0" xfId="0">
      <alignment wrapText="1"/>
    </xf>
    <xf numFmtId="0" fontId="0" fillId="7" borderId="0" pivotButton="0" quotePrefix="0" xfId="0"/>
    <xf numFmtId="0" fontId="7" fillId="7" borderId="0" pivotButton="0" quotePrefix="0" xfId="0"/>
    <xf numFmtId="0" fontId="7" fillId="7" borderId="0" applyAlignment="1" pivotButton="0" quotePrefix="0" xfId="0">
      <alignment wrapText="1"/>
    </xf>
    <xf numFmtId="0" fontId="7" fillId="7" borderId="0" applyAlignment="1" pivotButton="0" quotePrefix="0" xfId="0">
      <alignment horizontal="center" wrapText="1"/>
    </xf>
    <xf numFmtId="0" fontId="7" fillId="7" borderId="0" applyAlignment="1" pivotButton="0" quotePrefix="0" xfId="0">
      <alignment horizontal="center" vertical="center" wrapText="1"/>
    </xf>
    <xf numFmtId="0" fontId="0" fillId="7" borderId="1" pivotButton="0" quotePrefix="0" xfId="0"/>
    <xf numFmtId="0" fontId="7" fillId="7" borderId="1" pivotButton="0" quotePrefix="0" xfId="0"/>
    <xf numFmtId="0" fontId="7" fillId="7" borderId="1" applyAlignment="1" pivotButton="0" quotePrefix="0" xfId="0">
      <alignment wrapText="1"/>
    </xf>
    <xf numFmtId="0" fontId="7" fillId="7" borderId="1" applyAlignment="1" pivotButton="0" quotePrefix="0" xfId="0">
      <alignment horizontal="center" wrapText="1"/>
    </xf>
    <xf numFmtId="0" fontId="7" fillId="7" borderId="1" applyAlignment="1" pivotButton="0" quotePrefix="0" xfId="0">
      <alignment horizontal="center" vertical="center" wrapText="1"/>
    </xf>
    <xf numFmtId="0" fontId="8" fillId="6" borderId="0" pivotButton="0" quotePrefix="0" xfId="0"/>
    <xf numFmtId="0" fontId="8" fillId="6" borderId="1" pivotButton="0" quotePrefix="0" xfId="0"/>
    <xf numFmtId="164" fontId="0" fillId="0" borderId="0" pivotButton="0" quotePrefix="0" xfId="0"/>
    <xf numFmtId="164" fontId="0" fillId="0" borderId="1" pivotButton="0" quotePrefix="0" xfId="0"/>
    <xf numFmtId="2" fontId="0" fillId="0" borderId="0" pivotButton="0" quotePrefix="0" xfId="0"/>
    <xf numFmtId="2" fontId="0" fillId="0" borderId="1" pivotButton="0" quotePrefix="0" xfId="0"/>
    <xf numFmtId="2" fontId="0" fillId="0" borderId="0" applyAlignment="1" pivotButton="0" quotePrefix="0" xfId="0">
      <alignment wrapText="1"/>
    </xf>
    <xf numFmtId="164" fontId="0" fillId="0" borderId="0" applyAlignment="1" pivotButton="0" quotePrefix="0" xfId="0">
      <alignment wrapText="1"/>
    </xf>
    <xf numFmtId="2" fontId="0" fillId="0" borderId="1" applyAlignment="1" pivotButton="0" quotePrefix="0" xfId="0">
      <alignment wrapText="1"/>
    </xf>
    <xf numFmtId="164" fontId="0" fillId="0" borderId="1" applyAlignment="1" pivotButton="0" quotePrefix="0" xfId="0">
      <alignment wrapText="1"/>
    </xf>
    <xf numFmtId="165" fontId="0" fillId="0" borderId="0" pivotButton="0" quotePrefix="0" xfId="0"/>
    <xf numFmtId="165" fontId="0" fillId="0" borderId="1" pivotButton="0" quotePrefix="0" xfId="0"/>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8" borderId="0" pivotButton="0" quotePrefix="0" xfId="0"/>
    <xf numFmtId="0" fontId="7" fillId="8" borderId="0" pivotButton="0" quotePrefix="0" xfId="0"/>
    <xf numFmtId="0" fontId="7" fillId="8" borderId="0" applyAlignment="1" pivotButton="0" quotePrefix="0" xfId="0">
      <alignment wrapText="1"/>
    </xf>
    <xf numFmtId="0" fontId="7" fillId="8" borderId="0" applyAlignment="1" pivotButton="0" quotePrefix="0" xfId="0">
      <alignment horizontal="center" wrapText="1"/>
    </xf>
    <xf numFmtId="0" fontId="7" fillId="8" borderId="0" applyAlignment="1" pivotButton="0" quotePrefix="0" xfId="0">
      <alignment horizontal="center" vertical="center" wrapText="1"/>
    </xf>
    <xf numFmtId="1" fontId="0" fillId="0" borderId="0" pivotButton="0" quotePrefix="0" xfId="0"/>
    <xf numFmtId="0" fontId="0" fillId="9" borderId="0" pivotButton="0" quotePrefix="0" xfId="0"/>
    <xf numFmtId="0" fontId="1" fillId="9" borderId="0" pivotButton="0" quotePrefix="0" xfId="0"/>
    <xf numFmtId="0" fontId="1" fillId="9" borderId="0" applyAlignment="1" pivotButton="0" quotePrefix="0" xfId="0">
      <alignment horizontal="left"/>
    </xf>
    <xf numFmtId="0" fontId="1" fillId="9" borderId="0" applyAlignment="1" pivotButton="0" quotePrefix="0" xfId="0">
      <alignment horizontal="left" vertical="center"/>
    </xf>
    <xf numFmtId="0" fontId="0" fillId="10" borderId="0" pivotButton="0" quotePrefix="0" xfId="0"/>
    <xf numFmtId="0" fontId="2" fillId="10" borderId="0" pivotButton="0" quotePrefix="0" xfId="0"/>
    <xf numFmtId="0" fontId="0" fillId="11" borderId="0" pivotButton="0" quotePrefix="0" xfId="0"/>
    <xf numFmtId="0" fontId="8" fillId="11" borderId="0" pivotButton="0" quotePrefix="0" xfId="0"/>
    <xf numFmtId="0" fontId="5" fillId="11" borderId="0" pivotButton="0" quotePrefix="0" xfId="0"/>
    <xf numFmtId="0" fontId="0" fillId="12" borderId="0" pivotButton="0" quotePrefix="0" xfId="0"/>
    <xf numFmtId="0" fontId="8" fillId="12"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wrapText="1"/>
    </xf>
    <xf numFmtId="0" fontId="4" fillId="0" borderId="0" applyAlignment="1" pivotButton="0" quotePrefix="0" xfId="0">
      <alignment wrapText="1"/>
    </xf>
    <xf numFmtId="0" fontId="3" fillId="4" borderId="0" applyAlignment="1" pivotButton="0" quotePrefix="0" xfId="0">
      <alignment horizontal="center" vertical="center" wrapText="1"/>
    </xf>
    <xf numFmtId="0" fontId="5" fillId="5" borderId="0" applyAlignment="1" pivotButton="0" quotePrefix="0" xfId="0">
      <alignment horizontal="left" vertical="center" wrapText="1"/>
    </xf>
    <xf numFmtId="0" fontId="8" fillId="6" borderId="0" applyAlignment="1" pivotButton="0" quotePrefix="0" xfId="0">
      <alignment wrapText="1"/>
    </xf>
    <xf numFmtId="0" fontId="5" fillId="11" borderId="0" applyAlignment="1" pivotButton="0" quotePrefix="0" xfId="0">
      <alignment wrapText="1"/>
    </xf>
    <xf numFmtId="0" fontId="8" fillId="12" borderId="0" applyAlignment="1" pivotButton="0" quotePrefix="0" xfId="0">
      <alignment wrapText="1"/>
    </xf>
    <xf numFmtId="0" fontId="8" fillId="5" borderId="0" pivotButton="0" quotePrefix="0" xfId="0"/>
    <xf numFmtId="0" fontId="5" fillId="5" borderId="0" applyAlignment="1" pivotButton="0" quotePrefix="0" xfId="0">
      <alignment wrapText="1"/>
    </xf>
    <xf numFmtId="1" fontId="3" fillId="4" borderId="0" applyAlignment="1" pivotButton="0" quotePrefix="0" xfId="0">
      <alignment horizontal="center" vertical="center" wrapText="1"/>
    </xf>
    <xf numFmtId="1" fontId="8" fillId="6" borderId="0" applyAlignment="1" pivotButton="0" quotePrefix="0" xfId="0">
      <alignment wrapText="1"/>
    </xf>
    <xf numFmtId="0" fontId="0" fillId="13" borderId="0" pivotButton="0" quotePrefix="0" xfId="0"/>
    <xf numFmtId="0" fontId="1" fillId="13" borderId="0" pivotButton="0" quotePrefix="0" xfId="0"/>
    <xf numFmtId="0" fontId="1" fillId="13" borderId="0" applyAlignment="1" pivotButton="0" quotePrefix="0" xfId="0">
      <alignment horizontal="left"/>
    </xf>
    <xf numFmtId="0" fontId="1" fillId="13" borderId="0" applyAlignment="1" pivotButton="0" quotePrefix="0" xfId="0">
      <alignment horizontal="left" vertical="center"/>
    </xf>
    <xf numFmtId="0" fontId="0" fillId="14" borderId="0" pivotButton="0" quotePrefix="0" xfId="0"/>
    <xf numFmtId="0" fontId="2" fillId="14" borderId="0" pivotButton="0" quotePrefix="0" xfId="0"/>
    <xf numFmtId="0" fontId="0" fillId="15" borderId="0" pivotButton="0" quotePrefix="0" xfId="0"/>
    <xf numFmtId="0" fontId="7" fillId="15" borderId="0" pivotButton="0" quotePrefix="0" xfId="0"/>
    <xf numFmtId="0" fontId="7" fillId="15" borderId="0" applyAlignment="1" pivotButton="0" quotePrefix="0" xfId="0">
      <alignment wrapText="1"/>
    </xf>
    <xf numFmtId="0" fontId="7" fillId="15" borderId="0" applyAlignment="1" pivotButton="0" quotePrefix="0" xfId="0">
      <alignment horizontal="center" wrapText="1"/>
    </xf>
    <xf numFmtId="0" fontId="7" fillId="15" borderId="0" applyAlignment="1" pivotButton="0" quotePrefix="0" xfId="0">
      <alignment horizontal="center" vertical="center" wrapText="1"/>
    </xf>
    <xf numFmtId="165" fontId="0" fillId="0" borderId="0" applyAlignment="1" pivotButton="0" quotePrefix="0" xfId="0">
      <alignment wrapText="1"/>
    </xf>
    <xf numFmtId="0" fontId="0" fillId="16" borderId="0" applyAlignment="1" pivotButton="0" quotePrefix="0" xfId="0">
      <alignment wrapText="1"/>
    </xf>
    <xf numFmtId="0" fontId="5" fillId="16" borderId="0" applyAlignment="1" pivotButton="0" quotePrefix="0" xfId="0">
      <alignment wrapText="1"/>
    </xf>
    <xf numFmtId="0" fontId="0" fillId="15" borderId="0" applyAlignment="1" pivotButton="0" quotePrefix="0" xfId="0">
      <alignment wrapText="1"/>
    </xf>
    <xf numFmtId="1" fontId="0" fillId="0" borderId="0" applyAlignment="1" pivotButton="0" quotePrefix="0" xfId="0">
      <alignment wrapText="1"/>
    </xf>
    <xf numFmtId="0" fontId="0" fillId="5" borderId="0" applyAlignment="1" pivotButton="0" quotePrefix="0" xfId="0">
      <alignment wrapText="1"/>
    </xf>
    <xf numFmtId="0" fontId="0" fillId="7" borderId="0" applyAlignment="1" pivotButton="0" quotePrefix="0" xfId="0">
      <alignment wrapText="1"/>
    </xf>
    <xf numFmtId="0" fontId="0" fillId="17" borderId="0" pivotButton="0" quotePrefix="0" xfId="0"/>
    <xf numFmtId="0" fontId="1" fillId="17" borderId="0" pivotButton="0" quotePrefix="0" xfId="0"/>
    <xf numFmtId="0" fontId="1" fillId="17" borderId="0" applyAlignment="1" pivotButton="0" quotePrefix="0" xfId="0">
      <alignment horizontal="left"/>
    </xf>
    <xf numFmtId="0" fontId="1" fillId="17" borderId="0" applyAlignment="1" pivotButton="0" quotePrefix="0" xfId="0">
      <alignment horizontal="left" vertical="center"/>
    </xf>
    <xf numFmtId="0" fontId="0" fillId="18" borderId="0" pivotButton="0" quotePrefix="0" xfId="0"/>
    <xf numFmtId="0" fontId="2" fillId="18" borderId="0" pivotButton="0" quotePrefix="0" xfId="0"/>
    <xf numFmtId="0" fontId="0" fillId="19" borderId="0" pivotButton="0" quotePrefix="0" xfId="0"/>
    <xf numFmtId="0" fontId="7" fillId="19" borderId="0" pivotButton="0" quotePrefix="0" xfId="0"/>
    <xf numFmtId="0" fontId="7" fillId="19" borderId="0" applyAlignment="1" pivotButton="0" quotePrefix="0" xfId="0">
      <alignment wrapText="1"/>
    </xf>
    <xf numFmtId="0" fontId="7" fillId="19" borderId="0" applyAlignment="1" pivotButton="0" quotePrefix="0" xfId="0">
      <alignment horizontal="center" wrapText="1"/>
    </xf>
    <xf numFmtId="0" fontId="7" fillId="19" borderId="0" applyAlignment="1" pivotButton="0" quotePrefix="0" xfId="0">
      <alignment horizontal="center" vertical="center" wrapText="1"/>
    </xf>
    <xf numFmtId="9" fontId="0" fillId="0" borderId="0" pivotButton="0" quotePrefix="0" xfId="0"/>
    <xf numFmtId="0" fontId="5" fillId="20" borderId="0" applyAlignment="1" pivotButton="0" quotePrefix="0" xfId="0">
      <alignment wrapText="1"/>
    </xf>
    <xf numFmtId="0" fontId="0" fillId="20" borderId="0" applyAlignment="1" pivotButton="0" quotePrefix="0" xfId="0">
      <alignment wrapText="1"/>
    </xf>
    <xf numFmtId="0" fontId="0" fillId="19" borderId="0" applyAlignment="1" pivotButton="0" quotePrefix="0" xfId="0">
      <alignment wrapText="1"/>
    </xf>
    <xf numFmtId="0" fontId="0" fillId="21" borderId="0" pivotButton="0" quotePrefix="0" xfId="0"/>
    <xf numFmtId="0" fontId="1" fillId="21" borderId="0" pivotButton="0" quotePrefix="0" xfId="0"/>
    <xf numFmtId="0" fontId="1" fillId="21" borderId="0" applyAlignment="1" pivotButton="0" quotePrefix="0" xfId="0">
      <alignment horizontal="left"/>
    </xf>
    <xf numFmtId="0" fontId="1" fillId="21" borderId="0" applyAlignment="1" pivotButton="0" quotePrefix="0" xfId="0">
      <alignment horizontal="left" vertical="center"/>
    </xf>
    <xf numFmtId="0" fontId="0" fillId="22" borderId="0" pivotButton="0" quotePrefix="0" xfId="0"/>
    <xf numFmtId="0" fontId="2" fillId="22" borderId="0" pivotButton="0" quotePrefix="0" xfId="0"/>
    <xf numFmtId="0" fontId="0" fillId="23" borderId="0" pivotButton="0" quotePrefix="0" xfId="0"/>
    <xf numFmtId="0" fontId="7" fillId="23" borderId="0" pivotButton="0" quotePrefix="0" xfId="0"/>
    <xf numFmtId="0" fontId="7" fillId="23" borderId="0" applyAlignment="1" pivotButton="0" quotePrefix="0" xfId="0">
      <alignment wrapText="1"/>
    </xf>
    <xf numFmtId="0" fontId="7" fillId="23" borderId="0" applyAlignment="1" pivotButton="0" quotePrefix="0" xfId="0">
      <alignment horizontal="center" wrapText="1"/>
    </xf>
    <xf numFmtId="0" fontId="7" fillId="23" borderId="0" applyAlignment="1" pivotButton="0" quotePrefix="0" xfId="0">
      <alignment horizontal="center" vertical="center" wrapText="1"/>
    </xf>
    <xf numFmtId="0" fontId="5" fillId="24" borderId="0" applyAlignment="1" pivotButton="0" quotePrefix="0" xfId="0">
      <alignment wrapText="1"/>
    </xf>
    <xf numFmtId="0" fontId="0" fillId="24" borderId="0" applyAlignment="1" pivotButton="0" quotePrefix="0" xfId="0">
      <alignment wrapText="1"/>
    </xf>
    <xf numFmtId="0" fontId="0" fillId="23" borderId="0" applyAlignment="1" pivotButton="0" quotePrefix="0" xfId="0">
      <alignment wrapText="1"/>
    </xf>
    <xf numFmtId="0" fontId="0" fillId="25" borderId="0" pivotButton="0" quotePrefix="0" xfId="0"/>
    <xf numFmtId="0" fontId="1" fillId="25" borderId="0" pivotButton="0" quotePrefix="0" xfId="0"/>
    <xf numFmtId="0" fontId="1" fillId="25" borderId="0" applyAlignment="1" pivotButton="0" quotePrefix="0" xfId="0">
      <alignment horizontal="left"/>
    </xf>
    <xf numFmtId="0" fontId="1" fillId="25" borderId="0" applyAlignment="1" pivotButton="0" quotePrefix="0" xfId="0">
      <alignment horizontal="left" vertical="center"/>
    </xf>
    <xf numFmtId="0" fontId="0" fillId="26" borderId="0" pivotButton="0" quotePrefix="0" xfId="0"/>
    <xf numFmtId="0" fontId="2" fillId="26" borderId="0" pivotButton="0" quotePrefix="0" xfId="0"/>
    <xf numFmtId="0" fontId="0" fillId="27" borderId="0" pivotButton="0" quotePrefix="0" xfId="0"/>
    <xf numFmtId="0" fontId="7" fillId="27" borderId="0" pivotButton="0" quotePrefix="0" xfId="0"/>
    <xf numFmtId="0" fontId="7" fillId="27" borderId="0" applyAlignment="1" pivotButton="0" quotePrefix="0" xfId="0">
      <alignment wrapText="1"/>
    </xf>
    <xf numFmtId="0" fontId="7" fillId="27" borderId="0" applyAlignment="1" pivotButton="0" quotePrefix="0" xfId="0">
      <alignment horizontal="center" wrapText="1"/>
    </xf>
    <xf numFmtId="0" fontId="7" fillId="27" borderId="0" applyAlignment="1" pivotButton="0" quotePrefix="0" xfId="0">
      <alignment horizontal="center" vertical="center" wrapText="1"/>
    </xf>
    <xf numFmtId="0" fontId="5" fillId="28" borderId="0" applyAlignment="1" pivotButton="0" quotePrefix="0" xfId="0">
      <alignment wrapText="1"/>
    </xf>
    <xf numFmtId="0" fontId="0" fillId="27" borderId="0" applyAlignment="1" pivotButton="0" quotePrefix="0" xfId="0">
      <alignment wrapText="1"/>
    </xf>
    <xf numFmtId="0" fontId="0" fillId="29" borderId="0" pivotButton="0" quotePrefix="0" xfId="0"/>
    <xf numFmtId="0" fontId="7" fillId="29" borderId="0" pivotButton="0" quotePrefix="0" xfId="0"/>
    <xf numFmtId="0" fontId="7" fillId="29" borderId="0" applyAlignment="1" pivotButton="0" quotePrefix="0" xfId="0">
      <alignment wrapText="1"/>
    </xf>
    <xf numFmtId="0" fontId="7" fillId="29" borderId="0" applyAlignment="1" pivotButton="0" quotePrefix="0" xfId="0">
      <alignment horizontal="center" wrapText="1"/>
    </xf>
    <xf numFmtId="0" fontId="7" fillId="29" borderId="0" applyAlignment="1" pivotButton="0" quotePrefix="0" xfId="0">
      <alignment horizontal="center" vertical="center" wrapText="1"/>
    </xf>
    <xf numFmtId="0" fontId="0" fillId="30" borderId="0" pivotButton="0" quotePrefix="0" xfId="0"/>
    <xf numFmtId="0" fontId="1" fillId="30" borderId="0" pivotButton="0" quotePrefix="0" xfId="0"/>
    <xf numFmtId="0" fontId="9" fillId="29" borderId="0" pivotButton="0" quotePrefix="0" xfId="0"/>
    <xf numFmtId="0" fontId="9" fillId="29" borderId="0" applyAlignment="1" pivotButton="0" quotePrefix="0" xfId="0">
      <alignment wrapText="1"/>
    </xf>
    <xf numFmtId="0" fontId="0" fillId="31" borderId="0" applyAlignment="1" pivotButton="0" quotePrefix="0" xfId="0">
      <alignment wrapText="1"/>
    </xf>
    <xf numFmtId="0" fontId="5" fillId="31" borderId="0" applyAlignment="1" pivotButton="0" quotePrefix="0" xfId="0">
      <alignment wrapText="1"/>
    </xf>
    <xf numFmtId="0" fontId="0" fillId="29" borderId="0" applyAlignment="1" pivotButton="0" quotePrefix="0" xfId="0">
      <alignment wrapText="1"/>
    </xf>
    <xf numFmtId="0" fontId="9" fillId="7" borderId="0" pivotButton="0" quotePrefix="0" xfId="0"/>
    <xf numFmtId="0" fontId="9" fillId="7" borderId="0" applyAlignment="1" pivotButton="0" quotePrefix="0" xfId="0">
      <alignment wrapText="1"/>
    </xf>
    <xf numFmtId="0" fontId="0" fillId="32" borderId="0" pivotButton="0" quotePrefix="0" xfId="0"/>
    <xf numFmtId="0" fontId="7" fillId="32" borderId="0" pivotButton="0" quotePrefix="0" xfId="0"/>
    <xf numFmtId="0" fontId="7" fillId="32" borderId="0" applyAlignment="1" pivotButton="0" quotePrefix="0" xfId="0">
      <alignment wrapText="1"/>
    </xf>
    <xf numFmtId="0" fontId="7" fillId="32" borderId="0" applyAlignment="1" pivotButton="0" quotePrefix="0" xfId="0">
      <alignment horizontal="center" wrapText="1"/>
    </xf>
    <xf numFmtId="0" fontId="7" fillId="32" borderId="0" applyAlignment="1" pivotButton="0" quotePrefix="0" xfId="0">
      <alignment horizontal="center" vertical="center" wrapText="1"/>
    </xf>
    <xf numFmtId="0" fontId="0" fillId="33" borderId="0" pivotButton="0" quotePrefix="0" xfId="0"/>
    <xf numFmtId="0" fontId="1" fillId="33" borderId="0" pivotButton="0" quotePrefix="0" xfId="0"/>
    <xf numFmtId="0" fontId="1" fillId="33" borderId="0" applyAlignment="1" pivotButton="0" quotePrefix="0" xfId="0">
      <alignment horizontal="left"/>
    </xf>
    <xf numFmtId="0" fontId="1" fillId="33" borderId="0" applyAlignment="1" pivotButton="0" quotePrefix="0" xfId="0">
      <alignment horizontal="left" vertical="center"/>
    </xf>
    <xf numFmtId="0" fontId="0" fillId="34" borderId="0" pivotButton="0" quotePrefix="0" xfId="0"/>
    <xf numFmtId="0" fontId="2" fillId="34" borderId="0" pivotButton="0" quotePrefix="0" xfId="0"/>
    <xf numFmtId="0" fontId="5" fillId="35" borderId="0" applyAlignment="1" pivotButton="0" quotePrefix="0" xfId="0">
      <alignment wrapText="1"/>
    </xf>
    <xf numFmtId="0" fontId="0" fillId="35" borderId="0" applyAlignment="1" pivotButton="0" quotePrefix="0" xfId="0">
      <alignment wrapText="1"/>
    </xf>
    <xf numFmtId="0" fontId="0" fillId="32" borderId="0" applyAlignment="1" pivotButton="0" quotePrefix="0" xfId="0">
      <alignment wrapText="1"/>
    </xf>
    <xf numFmtId="0" fontId="0" fillId="36" borderId="0" pivotButton="0" quotePrefix="0" xfId="0"/>
    <xf numFmtId="0" fontId="1" fillId="36" borderId="0" pivotButton="0" quotePrefix="0" xfId="0"/>
    <xf numFmtId="0" fontId="1" fillId="36" borderId="0" applyAlignment="1" pivotButton="0" quotePrefix="0" xfId="0">
      <alignment horizontal="left"/>
    </xf>
    <xf numFmtId="0" fontId="1" fillId="36" borderId="0" applyAlignment="1" pivotButton="0" quotePrefix="0" xfId="0">
      <alignment horizontal="left" vertical="center"/>
    </xf>
    <xf numFmtId="0" fontId="0" fillId="37" borderId="0" pivotButton="0" quotePrefix="0" xfId="0"/>
    <xf numFmtId="0" fontId="2" fillId="37" borderId="0" pivotButton="0" quotePrefix="0" xfId="0"/>
    <xf numFmtId="0" fontId="0" fillId="38" borderId="0" pivotButton="0" quotePrefix="0" xfId="0"/>
    <xf numFmtId="0" fontId="7" fillId="38" borderId="0" pivotButton="0" quotePrefix="0" xfId="0"/>
    <xf numFmtId="0" fontId="7" fillId="38" borderId="0" applyAlignment="1" pivotButton="0" quotePrefix="0" xfId="0">
      <alignment wrapText="1"/>
    </xf>
    <xf numFmtId="0" fontId="7" fillId="38" borderId="0" applyAlignment="1" pivotButton="0" quotePrefix="0" xfId="0">
      <alignment horizontal="center" wrapText="1"/>
    </xf>
    <xf numFmtId="0" fontId="7" fillId="38" borderId="0" applyAlignment="1" pivotButton="0" quotePrefix="0" xfId="0">
      <alignment horizontal="center" vertical="center" wrapText="1"/>
    </xf>
    <xf numFmtId="0" fontId="5" fillId="39" borderId="0" applyAlignment="1" pivotButton="0" quotePrefix="0" xfId="0">
      <alignment wrapText="1"/>
    </xf>
    <xf numFmtId="0" fontId="0" fillId="39" borderId="0" applyAlignment="1" pivotButton="0" quotePrefix="0" xfId="0">
      <alignment wrapText="1"/>
    </xf>
    <xf numFmtId="0" fontId="0" fillId="38" borderId="0" applyAlignment="1" pivotButton="0" quotePrefix="0" xfId="0">
      <alignment wrapText="1"/>
    </xf>
    <xf numFmtId="0" fontId="0" fillId="40" borderId="0" pivotButton="0" quotePrefix="0" xfId="0"/>
    <xf numFmtId="0" fontId="7" fillId="40" borderId="0" pivotButton="0" quotePrefix="0" xfId="0"/>
    <xf numFmtId="0" fontId="7" fillId="40" borderId="0" applyAlignment="1" pivotButton="0" quotePrefix="0" xfId="0">
      <alignment wrapText="1"/>
    </xf>
    <xf numFmtId="0" fontId="7" fillId="40" borderId="0" applyAlignment="1" pivotButton="0" quotePrefix="0" xfId="0">
      <alignment horizontal="center" wrapText="1"/>
    </xf>
    <xf numFmtId="0" fontId="7" fillId="40" borderId="0" applyAlignment="1" pivotButton="0" quotePrefix="0" xfId="0">
      <alignment horizontal="center" vertical="center" wrapText="1"/>
    </xf>
    <xf numFmtId="0" fontId="1" fillId="41" borderId="0" applyAlignment="1" pivotButton="0" quotePrefix="0" xfId="0">
      <alignment horizontal="left" vertical="center"/>
    </xf>
    <xf numFmtId="0" fontId="0" fillId="41" borderId="0" pivotButton="0" quotePrefix="0" xfId="0"/>
    <xf numFmtId="0" fontId="1" fillId="41" borderId="0" pivotButton="0" quotePrefix="0" xfId="0"/>
    <xf numFmtId="0" fontId="1" fillId="41" borderId="0" applyAlignment="1" pivotButton="0" quotePrefix="0" xfId="0">
      <alignment horizontal="left"/>
    </xf>
    <xf numFmtId="0" fontId="2" fillId="42" borderId="0" pivotButton="0" quotePrefix="0" xfId="0"/>
    <xf numFmtId="0" fontId="0" fillId="42" borderId="0" pivotButton="0" quotePrefix="0" xfId="0"/>
    <xf numFmtId="0" fontId="5" fillId="43" borderId="0" applyAlignment="1" pivotButton="0" quotePrefix="0" xfId="0">
      <alignment wrapText="1"/>
    </xf>
    <xf numFmtId="0" fontId="0" fillId="40" borderId="0" applyAlignment="1" pivotButton="0" quotePrefix="0" xfId="0">
      <alignment wrapText="1"/>
    </xf>
    <xf numFmtId="0" fontId="0" fillId="44" borderId="0" pivotButton="0" quotePrefix="0" xfId="0"/>
    <xf numFmtId="0" fontId="7" fillId="44" borderId="0" pivotButton="0" quotePrefix="0" xfId="0"/>
    <xf numFmtId="0" fontId="7" fillId="44" borderId="0" applyAlignment="1" pivotButton="0" quotePrefix="0" xfId="0">
      <alignment wrapText="1"/>
    </xf>
    <xf numFmtId="0" fontId="7" fillId="44" borderId="0" applyAlignment="1" pivotButton="0" quotePrefix="0" xfId="0">
      <alignment horizontal="center" wrapText="1"/>
    </xf>
    <xf numFmtId="0" fontId="7" fillId="44" borderId="0" applyAlignment="1" pivotButton="0" quotePrefix="0" xfId="0">
      <alignment horizontal="center" vertical="center" wrapText="1"/>
    </xf>
    <xf numFmtId="0" fontId="1" fillId="45" borderId="0" applyAlignment="1" pivotButton="0" quotePrefix="0" xfId="0">
      <alignment horizontal="left" vertical="center"/>
    </xf>
    <xf numFmtId="0" fontId="0" fillId="45" borderId="0" pivotButton="0" quotePrefix="0" xfId="0"/>
    <xf numFmtId="0" fontId="1" fillId="45" borderId="0" pivotButton="0" quotePrefix="0" xfId="0"/>
    <xf numFmtId="0" fontId="2" fillId="46" borderId="0" pivotButton="0" quotePrefix="0" xfId="0"/>
    <xf numFmtId="0" fontId="0" fillId="46" borderId="0" pivotButton="0" quotePrefix="0" xfId="0"/>
    <xf numFmtId="0" fontId="0" fillId="47" borderId="0" applyAlignment="1" pivotButton="0" quotePrefix="0" xfId="0">
      <alignment wrapText="1"/>
    </xf>
    <xf numFmtId="0" fontId="5" fillId="47" borderId="0" applyAlignment="1" pivotButton="0" quotePrefix="0" xfId="0">
      <alignment wrapText="1"/>
    </xf>
    <xf numFmtId="0" fontId="0" fillId="44" borderId="0" applyAlignment="1" pivotButton="0" quotePrefix="0" xfId="0">
      <alignment wrapText="1"/>
    </xf>
    <xf numFmtId="0" fontId="0" fillId="48" borderId="0" pivotButton="0" quotePrefix="0" xfId="0"/>
    <xf numFmtId="0" fontId="1" fillId="48" borderId="0" pivotButton="0" quotePrefix="0" xfId="0"/>
    <xf numFmtId="0" fontId="1" fillId="48" borderId="0" applyAlignment="1" pivotButton="0" quotePrefix="0" xfId="0">
      <alignment horizontal="left"/>
    </xf>
    <xf numFmtId="0" fontId="1" fillId="48" borderId="0" applyAlignment="1" pivotButton="0" quotePrefix="0" xfId="0">
      <alignment horizontal="left" vertical="center"/>
    </xf>
    <xf numFmtId="0" fontId="0" fillId="49" borderId="0" pivotButton="0" quotePrefix="0" xfId="0"/>
    <xf numFmtId="0" fontId="2" fillId="49" borderId="0" pivotButton="0" quotePrefix="0" xfId="0"/>
    <xf numFmtId="0" fontId="0" fillId="50" borderId="0" pivotButton="0" quotePrefix="0" xfId="0"/>
    <xf numFmtId="0" fontId="7" fillId="50" borderId="0" pivotButton="0" quotePrefix="0" xfId="0"/>
    <xf numFmtId="0" fontId="7" fillId="50" borderId="0" applyAlignment="1" pivotButton="0" quotePrefix="0" xfId="0">
      <alignment wrapText="1"/>
    </xf>
    <xf numFmtId="0" fontId="7" fillId="50" borderId="0" applyAlignment="1" pivotButton="0" quotePrefix="0" xfId="0">
      <alignment horizontal="center" wrapText="1"/>
    </xf>
    <xf numFmtId="0" fontId="7" fillId="50" borderId="0" applyAlignment="1" pivotButton="0" quotePrefix="0" xfId="0">
      <alignment horizontal="center" vertical="center" wrapText="1"/>
    </xf>
    <xf numFmtId="0" fontId="5" fillId="51" borderId="0" applyAlignment="1" pivotButton="0" quotePrefix="0" xfId="0">
      <alignment wrapText="1"/>
    </xf>
    <xf numFmtId="0" fontId="0" fillId="51" borderId="0" applyAlignment="1" pivotButton="0" quotePrefix="0" xfId="0">
      <alignment wrapText="1"/>
    </xf>
    <xf numFmtId="0" fontId="0" fillId="50" borderId="0" applyAlignment="1" pivotButton="0" quotePrefix="0" xfId="0">
      <alignment wrapText="1"/>
    </xf>
    <xf numFmtId="165" fontId="7" fillId="50" borderId="0" applyAlignment="1" pivotButton="0" quotePrefix="0" xfId="0">
      <alignment horizontal="center" vertical="center" wrapText="1"/>
    </xf>
    <xf numFmtId="165" fontId="7" fillId="7" borderId="0" applyAlignment="1" pivotButton="0" quotePrefix="0" xfId="0">
      <alignment horizontal="center" vertical="center" wrapText="1"/>
    </xf>
    <xf numFmtId="0" fontId="0" fillId="52" borderId="0" pivotButton="0" quotePrefix="0" xfId="0"/>
    <xf numFmtId="0" fontId="1" fillId="52" borderId="0" pivotButton="0" quotePrefix="0" xfId="0"/>
    <xf numFmtId="0" fontId="1" fillId="52" borderId="0" applyAlignment="1" pivotButton="0" quotePrefix="0" xfId="0">
      <alignment horizontal="left"/>
    </xf>
    <xf numFmtId="0" fontId="1" fillId="52" borderId="0" applyAlignment="1" pivotButton="0" quotePrefix="0" xfId="0">
      <alignment horizontal="left" vertical="center"/>
    </xf>
    <xf numFmtId="0" fontId="0" fillId="53" borderId="0" pivotButton="0" quotePrefix="0" xfId="0"/>
    <xf numFmtId="0" fontId="2" fillId="53" borderId="0" pivotButton="0" quotePrefix="0" xfId="0"/>
    <xf numFmtId="0" fontId="0" fillId="54" borderId="0" pivotButton="0" quotePrefix="0" xfId="0"/>
    <xf numFmtId="0" fontId="7" fillId="54" borderId="0" pivotButton="0" quotePrefix="0" xfId="0"/>
    <xf numFmtId="0" fontId="7" fillId="54" borderId="0" applyAlignment="1" pivotButton="0" quotePrefix="0" xfId="0">
      <alignment wrapText="1"/>
    </xf>
    <xf numFmtId="0" fontId="7" fillId="54" borderId="0" applyAlignment="1" pivotButton="0" quotePrefix="0" xfId="0">
      <alignment horizontal="center" wrapText="1"/>
    </xf>
    <xf numFmtId="0" fontId="7" fillId="54" borderId="0" applyAlignment="1" pivotButton="0" quotePrefix="0" xfId="0">
      <alignment horizontal="center" vertical="center" wrapText="1"/>
    </xf>
    <xf numFmtId="0" fontId="5" fillId="55" borderId="0" applyAlignment="1" pivotButton="0" quotePrefix="0" xfId="0">
      <alignment wrapText="1"/>
    </xf>
    <xf numFmtId="0" fontId="0" fillId="55" borderId="0" applyAlignment="1" pivotButton="0" quotePrefix="0" xfId="0">
      <alignment wrapText="1"/>
    </xf>
    <xf numFmtId="0" fontId="0" fillId="54" borderId="0" applyAlignment="1" pivotButton="0" quotePrefix="0" xfId="0">
      <alignment wrapText="1"/>
    </xf>
    <xf numFmtId="0" fontId="0" fillId="56" borderId="0" pivotButton="0" quotePrefix="0" xfId="0"/>
    <xf numFmtId="0" fontId="1" fillId="56" borderId="0" pivotButton="0" quotePrefix="0" xfId="0"/>
    <xf numFmtId="0" fontId="1" fillId="56" borderId="0" applyAlignment="1" pivotButton="0" quotePrefix="0" xfId="0">
      <alignment horizontal="left"/>
    </xf>
    <xf numFmtId="0" fontId="1" fillId="56" borderId="0" applyAlignment="1" pivotButton="0" quotePrefix="0" xfId="0">
      <alignment horizontal="left" vertical="center"/>
    </xf>
    <xf numFmtId="0" fontId="0" fillId="57" borderId="0" pivotButton="0" quotePrefix="0" xfId="0"/>
    <xf numFmtId="0" fontId="2" fillId="57" borderId="0" pivotButton="0" quotePrefix="0" xfId="0"/>
    <xf numFmtId="0" fontId="0" fillId="58" borderId="0" pivotButton="0" quotePrefix="0" xfId="0"/>
    <xf numFmtId="0" fontId="7" fillId="58" borderId="0" pivotButton="0" quotePrefix="0" xfId="0"/>
    <xf numFmtId="0" fontId="7" fillId="58" borderId="0" applyAlignment="1" pivotButton="0" quotePrefix="0" xfId="0">
      <alignment wrapText="1"/>
    </xf>
    <xf numFmtId="0" fontId="7" fillId="58" borderId="0" applyAlignment="1" pivotButton="0" quotePrefix="0" xfId="0">
      <alignment horizontal="center" wrapText="1"/>
    </xf>
    <xf numFmtId="0" fontId="7" fillId="58" borderId="0" applyAlignment="1" pivotButton="0" quotePrefix="0" xfId="0">
      <alignment horizontal="center" vertical="center" wrapText="1"/>
    </xf>
    <xf numFmtId="0" fontId="5" fillId="59" borderId="0" applyAlignment="1" pivotButton="0" quotePrefix="0" xfId="0">
      <alignment wrapText="1"/>
    </xf>
    <xf numFmtId="0" fontId="0" fillId="58" borderId="0" applyAlignment="1" pivotButton="0" quotePrefix="0" xfId="0">
      <alignment wrapText="1"/>
    </xf>
    <xf numFmtId="0" fontId="1" fillId="2" borderId="1" applyAlignment="1" pivotButton="0" quotePrefix="0" xfId="0">
      <alignment horizontal="left" vertical="center" wrapText="1"/>
    </xf>
    <xf numFmtId="0" fontId="2" fillId="3" borderId="1" applyAlignment="1" pivotButton="0" quotePrefix="0" xfId="0">
      <alignment wrapText="1"/>
    </xf>
    <xf numFmtId="1" fontId="3"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11" borderId="1" applyAlignment="1" pivotButton="0" quotePrefix="0" xfId="0">
      <alignment wrapText="1"/>
    </xf>
    <xf numFmtId="0" fontId="7" fillId="8" borderId="1" applyAlignment="1" pivotButton="0" quotePrefix="0" xfId="0">
      <alignment horizontal="center" vertical="center" wrapText="1"/>
    </xf>
    <xf numFmtId="1" fontId="8" fillId="6" borderId="0" applyAlignment="1" pivotButton="0" quotePrefix="0" xfId="0">
      <alignment wrapText="1"/>
    </xf>
    <xf numFmtId="0" fontId="5" fillId="16" borderId="1" applyAlignment="1" pivotButton="0" quotePrefix="0" xfId="0">
      <alignment wrapText="1"/>
    </xf>
    <xf numFmtId="1" fontId="0" fillId="0" borderId="0" applyAlignment="1" pivotButton="0" quotePrefix="0" xfId="0">
      <alignment wrapText="1"/>
    </xf>
    <xf numFmtId="2" fontId="0" fillId="0" borderId="0" applyAlignment="1" pivotButton="0" quotePrefix="0" xfId="0">
      <alignment wrapText="1"/>
    </xf>
    <xf numFmtId="0" fontId="5" fillId="31" borderId="1" applyAlignment="1" pivotButton="0" quotePrefix="0" xfId="0">
      <alignment wrapText="1"/>
    </xf>
    <xf numFmtId="164" fontId="0" fillId="0" borderId="0" applyAlignment="1" pivotButton="0" quotePrefix="0" xfId="0">
      <alignment wrapText="1"/>
    </xf>
    <xf numFmtId="0" fontId="5" fillId="47" borderId="1" applyAlignment="1" pivotButton="0" quotePrefix="0" xfId="0">
      <alignment wrapText="1"/>
    </xf>
    <xf numFmtId="1" fontId="0" fillId="0" borderId="0" pivotButton="0" quotePrefix="0" xfId="0"/>
    <xf numFmtId="165" fontId="7" fillId="50" borderId="0" applyAlignment="1" pivotButton="0" quotePrefix="0" xfId="0">
      <alignment horizontal="center" vertical="center" wrapText="1"/>
    </xf>
    <xf numFmtId="165" fontId="0" fillId="0" borderId="0" applyAlignment="1" pivotButton="0" quotePrefix="0" xfId="0">
      <alignment wrapText="1"/>
    </xf>
    <xf numFmtId="164" fontId="0" fillId="0" borderId="0" pivotButton="0" quotePrefix="0" xfId="0"/>
    <xf numFmtId="166" fontId="0" fillId="0" borderId="0" pivotButton="0" quotePrefix="0" xfId="0"/>
    <xf numFmtId="165" fontId="0" fillId="0" borderId="0" pivotButton="0" quotePrefix="0" xfId="0"/>
    <xf numFmtId="9" fontId="0" fillId="0" borderId="0" pivotButton="0" quotePrefix="0" xfId="0"/>
    <xf numFmtId="0" fontId="1" fillId="9" borderId="1" applyAlignment="1" pivotButton="0" quotePrefix="0" xfId="0">
      <alignment horizontal="left" vertical="center"/>
    </xf>
    <xf numFmtId="0" fontId="2" fillId="10" borderId="1" pivotButton="0" quotePrefix="0" xfId="0"/>
    <xf numFmtId="0" fontId="1" fillId="13" borderId="1" applyAlignment="1" pivotButton="0" quotePrefix="0" xfId="0">
      <alignment horizontal="left" vertical="center"/>
    </xf>
    <xf numFmtId="0" fontId="2" fillId="14" borderId="1" pivotButton="0" quotePrefix="0" xfId="0"/>
    <xf numFmtId="0" fontId="1" fillId="17" borderId="1" applyAlignment="1" pivotButton="0" quotePrefix="0" xfId="0">
      <alignment horizontal="left" vertical="center"/>
    </xf>
    <xf numFmtId="0" fontId="2" fillId="18" borderId="1" pivotButton="0" quotePrefix="0" xfId="0"/>
    <xf numFmtId="0" fontId="1" fillId="21" borderId="1" applyAlignment="1" pivotButton="0" quotePrefix="0" xfId="0">
      <alignment horizontal="left" vertical="center"/>
    </xf>
    <xf numFmtId="0" fontId="2" fillId="22" borderId="1" pivotButton="0" quotePrefix="0" xfId="0"/>
    <xf numFmtId="0" fontId="1" fillId="25" borderId="1" applyAlignment="1" pivotButton="0" quotePrefix="0" xfId="0">
      <alignment horizontal="left" vertical="center"/>
    </xf>
    <xf numFmtId="0" fontId="2" fillId="26" borderId="1" pivotButton="0" quotePrefix="0" xfId="0"/>
    <xf numFmtId="2" fontId="0" fillId="0" borderId="0" pivotButton="0" quotePrefix="0" xfId="0"/>
    <xf numFmtId="0" fontId="1" fillId="30" borderId="1" pivotButton="0" quotePrefix="0" xfId="0"/>
    <xf numFmtId="0" fontId="1" fillId="45" borderId="1" applyAlignment="1" pivotButton="0" quotePrefix="0" xfId="0">
      <alignment horizontal="left" vertical="center"/>
    </xf>
    <xf numFmtId="0" fontId="2" fillId="46" borderId="1" pivotButton="0" quotePrefix="0" xfId="0"/>
    <xf numFmtId="0" fontId="1" fillId="33" borderId="1" applyAlignment="1" pivotButton="0" quotePrefix="0" xfId="0">
      <alignment horizontal="left" vertical="center"/>
    </xf>
    <xf numFmtId="0" fontId="1" fillId="36" borderId="1" applyAlignment="1" pivotButton="0" quotePrefix="0" xfId="0">
      <alignment horizontal="left" vertical="center"/>
    </xf>
    <xf numFmtId="0" fontId="2" fillId="37" borderId="1" pivotButton="0" quotePrefix="0" xfId="0"/>
    <xf numFmtId="0" fontId="1" fillId="48" borderId="1" applyAlignment="1" pivotButton="0" quotePrefix="0" xfId="0">
      <alignment horizontal="left" vertical="center"/>
    </xf>
    <xf numFmtId="0" fontId="2" fillId="49" borderId="1" pivotButton="0" quotePrefix="0" xfId="0"/>
    <xf numFmtId="0" fontId="1" fillId="52" borderId="1" applyAlignment="1" pivotButton="0" quotePrefix="0" xfId="0">
      <alignment horizontal="left" vertical="center"/>
    </xf>
    <xf numFmtId="0" fontId="2" fillId="53" borderId="1" pivotButton="0" quotePrefix="0" xfId="0"/>
    <xf numFmtId="0" fontId="1" fillId="56" borderId="1" applyAlignment="1" pivotButton="0" quotePrefix="0" xfId="0">
      <alignment horizontal="left" vertical="center"/>
    </xf>
    <xf numFmtId="0" fontId="2" fillId="57" borderId="1" pivotButton="0" quotePrefix="0" xfId="0"/>
  </cellXfs>
  <cellStyles count="1">
    <cellStyle name="Normal" xfId="0"/>
  </cellStyles>
  <dxfs count="13">
    <dxf>
      <font>
        <b val="1"/>
      </font>
      <fill>
        <patternFill>
          <bgColor rgb="FFD9EAD3"/>
        </patternFill>
      </fill>
    </dxf>
    <dxf>
      <fill>
        <patternFill>
          <bgColor rgb="FFFFF2CC"/>
        </patternFill>
      </fill>
    </dxf>
    <dxf>
      <fill>
        <patternFill>
          <bgColor rgb="FFD9EAF7"/>
        </patternFill>
      </fill>
    </dxf>
    <dxf>
      <fill>
        <patternFill>
          <bgColor rgb="FFF4CCCC"/>
        </patternFill>
      </fill>
    </dxf>
    <dxf>
      <font>
        <b val="1"/>
        <color rgb="FF9C0006"/>
      </font>
      <fill>
        <patternFill>
          <bgColor rgb="FFF4CCCC"/>
        </patternFill>
      </fill>
    </dxf>
    <dxf>
      <font>
        <b val="1"/>
      </font>
      <fill>
        <patternFill>
          <bgColor rgb="FFFFF2CC"/>
        </patternFill>
      </fill>
    </dxf>
    <dxf>
      <font>
        <color rgb="FF666666"/>
      </font>
      <fill>
        <patternFill>
          <bgColor rgb="FFD9D9D9"/>
        </patternFill>
      </fill>
    </dxf>
    <dxf>
      <font>
        <b val="1"/>
        <color rgb="FFA64D00"/>
      </font>
      <fill>
        <patternFill>
          <bgColor rgb="FFFCE5CD"/>
        </patternFill>
      </fill>
    </dxf>
    <dxf>
      <font>
        <b val="1"/>
      </font>
      <fill>
        <patternFill>
          <bgColor rgb="FFD9EAD3"/>
        </patternFill>
      </fill>
    </dxf>
    <dxf>
      <font>
        <b val="1"/>
      </font>
      <fill>
        <patternFill>
          <bgColor rgb="FFF4CCCC"/>
        </patternFill>
      </fill>
    </dxf>
    <dxf>
      <fill>
        <patternFill>
          <bgColor rgb="FFFFF2CC"/>
        </patternFill>
      </fill>
    </dxf>
    <dxf>
      <font>
        <b val="1"/>
      </font>
      <fill>
        <patternFill>
          <bgColor rgb="FFF4CCCC"/>
        </patternFill>
      </fill>
    </dxf>
    <dxf>
      <fill>
        <patternFill>
          <bgColor rgb="FF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a:t>
            </a:r>
          </a:p>
        </rich>
      </tx>
      <overlay val="0"/>
    </title>
    <plotArea>
      <layout/>
      <barChart>
        <barDir val="col"/>
        <grouping val="clustered"/>
        <varyColors val="0"/>
        <ser>
          <idx val="0"/>
          <order val="0"/>
          <tx>
            <v>Count</v>
          </tx>
          <spPr>
            <a:ln xmlns:a="http://schemas.openxmlformats.org/drawingml/2006/main">
              <a:prstDash val="solid"/>
            </a:ln>
          </spPr>
          <cat>
            <strRef>
              <f>'Dashboard'!$D$18:$D$23</f>
              <strCache>
                <ptCount val="0"/>
              </strCache>
            </strRef>
          </cat>
          <val>
            <numRef>
              <f>'Dashboard'!$E$18:$E$23</f>
              <numCache>
                <formatCode>General</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Technology Mix</a:t>
            </a:r>
          </a:p>
        </rich>
      </tx>
      <overlay val="0"/>
    </title>
    <plotArea>
      <layout/>
      <pieChart>
        <varyColors val="1"/>
        <ser>
          <idx val="0"/>
          <order val="0"/>
          <tx>
            <v>Count</v>
          </tx>
          <spPr>
            <a:ln xmlns:a="http://schemas.openxmlformats.org/drawingml/2006/main">
              <a:prstDash val="solid"/>
            </a:ln>
          </spPr>
          <cat>
            <strRef>
              <f>'Dashboard'!$J$11:$J$16</f>
              <strCache>
                <ptCount val="0"/>
              </strCache>
            </strRef>
          </cat>
          <val>
            <numRef>
              <f>'Dashboard'!$K$11:$K$16</f>
              <numCache>
                <formatCode>General</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Capacity by Technology</a:t>
            </a:r>
          </a:p>
        </rich>
      </tx>
      <overlay val="0"/>
    </title>
    <plotArea>
      <layout/>
      <barChart>
        <barDir val="col"/>
        <grouping val="clustered"/>
        <varyColors val="0"/>
        <ser>
          <idx val="0"/>
          <order val="0"/>
          <tx>
            <v>Capacity MW</v>
          </tx>
          <spPr>
            <a:ln xmlns:a="http://schemas.openxmlformats.org/drawingml/2006/main">
              <a:prstDash val="solid"/>
            </a:ln>
          </spPr>
          <cat>
            <strRef>
              <f>'Management Report'!$D$6:$D$13</f>
              <strCache>
                <ptCount val="0"/>
              </strCache>
            </strRef>
          </cat>
          <val>
            <numRef>
              <f>'Management Report'!$E$6:$E$13</f>
              <numCache>
                <formatCode>0.00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es val="autoZero"/>
        <crossBetween val="between"/>
      </valAx>
    </plotArea>
    <plotVisOnly val="1"/>
    <dispBlanksAs val="gap"/>
  </chart>
  <spPr>
    <a:ln xmlns:a="http://schemas.openxmlformats.org/drawingml/2006/main" w="9525">
      <a:solidFill>
        <a:srgbClr val="D9D9D9"/>
      </a:solidFill>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a:t>Tender Status Distribution</a:t>
            </a:r>
          </a:p>
        </rich>
      </tx>
      <overlay val="0"/>
    </title>
    <plotArea>
      <layout/>
      <pieChart>
        <varyColors val="1"/>
        <ser>
          <idx val="0"/>
          <order val="0"/>
          <tx>
            <v>Count</v>
          </tx>
          <spPr>
            <a:ln xmlns:a="http://schemas.openxmlformats.org/drawingml/2006/main">
              <a:prstDash val="solid"/>
            </a:ln>
          </spPr>
          <cat>
            <strRef>
              <f>'Management Report'!$G$6:$G$12</f>
              <strCache>
                <ptCount val="0"/>
              </strCache>
            </strRef>
          </cat>
          <val>
            <numRef>
              <f>'Management Report'!$H$6:$H$12</f>
              <numCache>
                <formatCode>0</formatCode>
                <ptCount val="0"/>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drawing1.xml><?xml version="1.0" encoding="utf-8"?>
<wsDr xmlns="http://schemas.openxmlformats.org/drawingml/2006/spreadsheetDrawing">
  <twoCellAnchor>
    <from>
      <col>6</col>
      <colOff>0</colOff>
      <row>15</row>
      <rowOff>0</rowOff>
    </from>
    <to>
      <col>14</col>
      <colOff>0</colOff>
      <row>31</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31</row>
      <rowOff>0</rowOff>
    </from>
    <to>
      <col>14</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9</col>
      <colOff>0</colOff>
      <row>4</row>
      <rowOff>0</rowOff>
    </from>
    <to>
      <col>14</col>
      <colOff>0</colOff>
      <row>20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0</colOff>
      <row>15</row>
      <rowOff>0</rowOff>
    </from>
    <to>
      <col>6</col>
      <colOff>0</colOff>
      <row>31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enderMasterTable" displayName="TenderMasterTable" ref="A1:V501"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2.xml><?xml version="1.0" encoding="utf-8"?>
<table xmlns="http://schemas.openxmlformats.org/spreadsheetml/2006/main" id="2" name="AgencyMasterTable" displayName="AgencyMasterTable" ref="A1:H34" headerRowCount="1">
  <tableColumns count="8">
    <tableColumn id="1" name="Category"/>
    <tableColumn id="2" name="Agency"/>
    <tableColumn id="3" name="State / Region"/>
    <tableColumn id="4" name="Enabled"/>
    <tableColumn id="5" name="Primary Tender Page"/>
    <tableColumn id="6" name="Secondary / eProcurement Page"/>
    <tableColumn id="7" name="Scan Method"/>
    <tableColumn id="8" name="Notes"/>
  </tableColumns>
  <tableStyleInfo name="TableStyleMedium2" showRowStripes="1"/>
</table>
</file>

<file path=xl/tables/table3.xml><?xml version="1.0" encoding="utf-8"?>
<table xmlns="http://schemas.openxmlformats.org/spreadsheetml/2006/main" id="3" name="UpdateLogTable" displayName="UpdateLogTable" ref="A1:H501" headerRowCount="1">
  <tableColumns count="8">
    <tableColumn id="1" name="Timestamp"/>
    <tableColumn id="2" name="Agency"/>
    <tableColumn id="3" name="Tender ID"/>
    <tableColumn id="4" name="Action"/>
    <tableColumn id="5" name="Previous Value"/>
    <tableColumn id="6" name="New Value"/>
    <tableColumn id="7" name="Result"/>
    <tableColumn id="8" name="Error / Notes"/>
  </tableColumns>
  <tableStyleInfo name="TableStyleMedium2" showRowStripes="1"/>
</table>
</file>

<file path=xl/tables/table4.xml><?xml version="1.0" encoding="utf-8"?>
<table xmlns="http://schemas.openxmlformats.org/spreadsheetml/2006/main" id="4" name="TechnologyRulesTable" displayName="TechnologyRulesTable" ref="D4:F14" headerRowCount="1">
  <tableColumns count="3">
    <tableColumn id="1" name="Keyword"/>
    <tableColumn id="2" name="Mapped Technology"/>
    <tableColumn id="3" name="Priority"/>
  </tableColumns>
  <tableStyleInfo name="TableStyleMedium2" showRowStripes="1"/>
</table>
</file>

<file path=xl/tables/table5.xml><?xml version="1.0" encoding="utf-8"?>
<table xmlns="http://schemas.openxmlformats.org/spreadsheetml/2006/main" id="5" name="TenderIntakeTable" displayName="TenderIntakeTable" ref="A5:V205" headerRowCount="1">
  <tableColumns count="22">
    <tableColumn id="1" name="Tender ID"/>
    <tableColumn id="2" name="Category"/>
    <tableColumn id="3" name="Agency"/>
    <tableColumn id="4" name="State"/>
    <tableColumn id="5" name="Tender Number"/>
    <tableColumn id="6" name="Technology"/>
    <tableColumn id="7" name="Capacity MW"/>
    <tableColumn id="8" name="Storage Required"/>
    <tableColumn id="9" name="Storage Hours"/>
    <tableColumn id="10" name="Dispatch Condition"/>
    <tableColumn id="11" name="Minimum PLF %"/>
    <tableColumn id="12" name="EMD"/>
    <tableColumn id="13" name="BG / PBG Conditions"/>
    <tableColumn id="14" name="Bid Submission Date"/>
    <tableColumn id="15" name="Technical Opening"/>
    <tableColumn id="16" name="Financial Opening"/>
    <tableColumn id="17" name="Status"/>
    <tableColumn id="18" name="Last Updated"/>
    <tableColumn id="19" name="Corrigendum Count"/>
    <tableColumn id="20" name="Tender URL"/>
    <tableColumn id="21" name="Document URL"/>
    <tableColumn id="22" name="Remarks"/>
  </tableColumns>
  <tableStyleInfo name="TableStyleMedium2" showRowStripes="1"/>
</table>
</file>

<file path=xl/tables/table6.xml><?xml version="1.0" encoding="utf-8"?>
<table xmlns="http://schemas.openxmlformats.org/spreadsheetml/2006/main" id="6" name="TenderHistoryTable" displayName="TenderHistoryTable" ref="A4:K504" headerRowCount="1">
  <tableColumns count="11">
    <tableColumn id="1" name="History ID"/>
    <tableColumn id="2" name="Timestamp"/>
    <tableColumn id="3" name="Tender ID"/>
    <tableColumn id="4" name="Agency"/>
    <tableColumn id="5" name="Tender Number"/>
    <tableColumn id="6" name="Change Type"/>
    <tableColumn id="7" name="Field Changed"/>
    <tableColumn id="8" name="Old Value"/>
    <tableColumn id="9" name="New Value"/>
    <tableColumn id="10" name="Source URL"/>
    <tableColumn id="11" name="Notes"/>
  </tableColumns>
  <tableStyleInfo name="TableStyleMedium2" showRowStripes="1"/>
</table>
</file>

<file path=xl/tables/table7.xml><?xml version="1.0" encoding="utf-8"?>
<table xmlns="http://schemas.openxmlformats.org/spreadsheetml/2006/main" id="7" name="SourceRegistryTable" displayName="SourceRegistryTable" ref="A5:J13" headerRowCount="1">
  <tableColumns count="10">
    <tableColumn id="1" name="Category"/>
    <tableColumn id="2" name="Agency"/>
    <tableColumn id="3" name="Official Source URL"/>
    <tableColumn id="4" name="Source Type"/>
    <tableColumn id="5" name="Dedicated Connector"/>
    <tableColumn id="6" name="Connector Status"/>
    <tableColumn id="7" name="Last Test Date"/>
    <tableColumn id="8" name="Authentication"/>
    <tableColumn id="9" name="Expected Fields"/>
    <tableColumn id="10" name="Notes"/>
  </tableColumns>
  <tableStyleInfo name="TableStyleMedium2" showRowStripes="1"/>
</table>
</file>

<file path=xl/tables/table8.xml><?xml version="1.0" encoding="utf-8"?>
<table xmlns="http://schemas.openxmlformats.org/spreadsheetml/2006/main" id="8" name="ExtractionRulesTable" displayName="ExtractionRulesTable" ref="A4:G22" headerRowCount="1">
  <tableColumns count="7">
    <tableColumn id="1" name="Field"/>
    <tableColumn id="2" name="Pattern / Keyword"/>
    <tableColumn id="3" name="Output"/>
    <tableColumn id="4" name="Priority"/>
    <tableColumn id="5" name="Example Match"/>
    <tableColumn id="6" name="Enabled"/>
    <tableColumn id="7" name="Notes"/>
  </tableColumns>
  <tableStyleInfo name="TableStyleMedium2" showRowStripes="1"/>
</table>
</file>

<file path=xl/tables/table9.xml><?xml version="1.0" encoding="utf-8"?>
<table xmlns="http://schemas.openxmlformats.org/spreadsheetml/2006/main" id="9" name="ConnectorRunsTable" displayName="ConnectorRunsTable" ref="A4:J504" headerRowCount="1">
  <tableColumns count="10">
    <tableColumn id="1" name="Run ID"/>
    <tableColumn id="2" name="Started"/>
    <tableColumn id="3" name="Finished"/>
    <tableColumn id="4" name="Agency"/>
    <tableColumn id="5" name="Source URL"/>
    <tableColumn id="6" name="Records Found"/>
    <tableColumn id="7" name="New"/>
    <tableColumn id="8" name="Updated"/>
    <tableColumn id="9" name="Errors"/>
    <tableColumn id="10" name="Result"/>
  </tableColumns>
  <tableStyleInfo name="TableStyleMedium2" showRowStripes="1"/>
</table>
</file>

<file path=xl/tables/table10.xml><?xml version="1.0" encoding="utf-8"?>
<table xmlns="http://schemas.openxmlformats.org/spreadsheetml/2006/main" id="10" name="DocumentQueueTable" displayName="DocumentQueueTable" ref="A5:N505" headerRowCount="1">
  <tableColumns count="14">
    <tableColumn id="1" name="Queue ID"/>
    <tableColumn id="2" name="Tender ID"/>
    <tableColumn id="3" name="Agency"/>
    <tableColumn id="4" name="Tender Number"/>
    <tableColumn id="5" name="Document Type"/>
    <tableColumn id="6" name="Document URL"/>
    <tableColumn id="7" name="Local File"/>
    <tableColumn id="8" name="Download Status"/>
    <tableColumn id="9" name="Extraction Status"/>
    <tableColumn id="10" name="Pages"/>
    <tableColumn id="11" name="Text Characters"/>
    <tableColumn id="12" name="Document Hash"/>
    <tableColumn id="13" name="Last Attempt"/>
    <tableColumn id="14" name="Error / Notes"/>
  </tableColumns>
  <tableStyleInfo name="TableStyleMedium2" showRowStripes="1"/>
</table>
</file>

<file path=xl/tables/table11.xml><?xml version="1.0" encoding="utf-8"?>
<table xmlns="http://schemas.openxmlformats.org/spreadsheetml/2006/main" id="11" name="PDFExtractionTable" displayName="PDFExtractionTable" ref="A4:S504" headerRowCount="1">
  <tableColumns count="19">
    <tableColumn id="1" name="Extraction ID"/>
    <tableColumn id="2" name="Queue ID"/>
    <tableColumn id="3" name="Tender ID"/>
    <tableColumn id="4" name="Agency"/>
    <tableColumn id="5" name="Document Type"/>
    <tableColumn id="6" name="Technology"/>
    <tableColumn id="7" name="Capacity MW"/>
    <tableColumn id="8" name="Energy MWh"/>
    <tableColumn id="9" name="Storage Hours"/>
    <tableColumn id="10" name="Dispatch Condition"/>
    <tableColumn id="11" name="Minimum PLF %"/>
    <tableColumn id="12" name="EMD"/>
    <tableColumn id="13" name="BG / PBG Conditions"/>
    <tableColumn id="14" name="Bid Submission Date"/>
    <tableColumn id="15" name="Opening Date"/>
    <tableColumn id="16" name="PPA Tenure Years"/>
    <tableColumn id="17" name="Confidence %"/>
    <tableColumn id="18" name="Extracted On"/>
    <tableColumn id="19" name="Review Status"/>
  </tableColumns>
  <tableStyleInfo name="TableStyleMedium2" showRowStripes="1"/>
</table>
</file>

<file path=xl/tables/table12.xml><?xml version="1.0" encoding="utf-8"?>
<table xmlns="http://schemas.openxmlformats.org/spreadsheetml/2006/main" id="12" name="ChangeReviewTable" displayName="ChangeReviewTable" ref="A5:P505" headerRowCount="1">
  <tableColumns count="16">
    <tableColumn id="1" name="Review ID"/>
    <tableColumn id="2" name="Tender ID"/>
    <tableColumn id="3" name="Agency"/>
    <tableColumn id="4" name="Tender Number"/>
    <tableColumn id="5" name="Change Source"/>
    <tableColumn id="6" name="Field"/>
    <tableColumn id="7" name="Current Value"/>
    <tableColumn id="8" name="Proposed Value"/>
    <tableColumn id="9" name="Change Type"/>
    <tableColumn id="10" name="Confidence %"/>
    <tableColumn id="11" name="Detected On"/>
    <tableColumn id="12" name="Decision"/>
    <tableColumn id="13" name="Reviewer Notes"/>
    <tableColumn id="14" name="Source URL"/>
    <tableColumn id="15" name="Applied On"/>
    <tableColumn id="16" name="Apply Result"/>
  </tableColumns>
  <tableStyleInfo name="TableStyleMedium2" showRowStripes="1"/>
</table>
</file>

<file path=xl/tables/table13.xml><?xml version="1.0" encoding="utf-8"?>
<table xmlns="http://schemas.openxmlformats.org/spreadsheetml/2006/main" id="13" name="TenderSnapshotsTable" displayName="TenderSnapshotsTable" ref="A4:L504" headerRowCount="1">
  <tableColumns count="12">
    <tableColumn id="1" name="Snapshot ID"/>
    <tableColumn id="2" name="Tender ID"/>
    <tableColumn id="3" name="Agency"/>
    <tableColumn id="4" name="Tender Number"/>
    <tableColumn id="5" name="Captured On"/>
    <tableColumn id="6" name="Source Type"/>
    <tableColumn id="7" name="Source URL"/>
    <tableColumn id="8" name="Status"/>
    <tableColumn id="9" name="Submission Date"/>
    <tableColumn id="10" name="Corrigendum Count"/>
    <tableColumn id="11" name="Fingerprint"/>
    <tableColumn id="12" name="Raw Snapshot File"/>
  </tableColumns>
  <tableStyleInfo name="TableStyleMedium2" showRowStripes="1"/>
</table>
</file>

<file path=xl/tables/table14.xml><?xml version="1.0" encoding="utf-8"?>
<table xmlns="http://schemas.openxmlformats.org/spreadsheetml/2006/main" id="14" name="ImportBatchTable" displayName="ImportBatchTable" ref="A14:L514" headerRowCount="1">
  <tableColumns count="12">
    <tableColumn id="1" name="Batch ID"/>
    <tableColumn id="2" name="File Name"/>
    <tableColumn id="3" name="File Type"/>
    <tableColumn id="4" name="Agency"/>
    <tableColumn id="5" name="Received On"/>
    <tableColumn id="6" name="Records Read"/>
    <tableColumn id="7" name="Valid"/>
    <tableColumn id="8" name="Rejected"/>
    <tableColumn id="9" name="New"/>
    <tableColumn id="10" name="Updated"/>
    <tableColumn id="11" name="Review Items"/>
    <tableColumn id="12" name="Batch Status"/>
  </tableColumns>
  <tableStyleInfo name="TableStyleMedium2" showRowStripes="1"/>
</table>
</file>

<file path=xl/tables/table15.xml><?xml version="1.0" encoding="utf-8"?>
<table xmlns="http://schemas.openxmlformats.org/spreadsheetml/2006/main" id="15" name="ValidationErrorsTable" displayName="ValidationErrorsTable" ref="A4:K504" headerRowCount="1">
  <tableColumns count="11">
    <tableColumn id="1" name="Error ID"/>
    <tableColumn id="2" name="Batch ID"/>
    <tableColumn id="3" name="Row Number"/>
    <tableColumn id="4" name="Agency"/>
    <tableColumn id="5" name="Tender Number"/>
    <tableColumn id="6" name="Field"/>
    <tableColumn id="7" name="Invalid Value"/>
    <tableColumn id="8" name="Validation Rule"/>
    <tableColumn id="9" name="Severity"/>
    <tableColumn id="10" name="Resolution"/>
    <tableColumn id="11" name="Notes"/>
  </tableColumns>
  <tableStyleInfo name="TableStyleMedium2" showRowStripes="1"/>
</table>
</file>

<file path=xl/tables/table16.xml><?xml version="1.0" encoding="utf-8"?>
<table xmlns="http://schemas.openxmlformats.org/spreadsheetml/2006/main" id="16" name="WritebackAuditTable" displayName="WritebackAuditTable" ref="A4:M1004" headerRowCount="1">
  <tableColumns count="13">
    <tableColumn id="1" name="Audit ID"/>
    <tableColumn id="2" name="Timestamp"/>
    <tableColumn id="3" name="Operation"/>
    <tableColumn id="4" name="Tender ID"/>
    <tableColumn id="5" name="Agency"/>
    <tableColumn id="6" name="Tender Number"/>
    <tableColumn id="7" name="Source Batch / Review"/>
    <tableColumn id="8" name="Field"/>
    <tableColumn id="9" name="Old Value"/>
    <tableColumn id="10" name="New Value"/>
    <tableColumn id="11" name="Result"/>
    <tableColumn id="12" name="Workbook Row"/>
    <tableColumn id="13" name="Notes"/>
  </tableColumns>
  <tableStyleInfo name="TableStyleMedium2" showRowStripes="1"/>
</table>
</file>

<file path=xl/tables/table17.xml><?xml version="1.0" encoding="utf-8"?>
<table xmlns="http://schemas.openxmlformats.org/spreadsheetml/2006/main" id="17" name="AgencyCoverageTable" displayName="AgencyCoverageTable" ref="A4:H16" headerRowCount="1">
  <tableColumns count="8">
    <tableColumn id="1" name="Category"/>
    <tableColumn id="2" name="Agency"/>
    <tableColumn id="3" name="Connector Type"/>
    <tableColumn id="4" name="Version Added"/>
    <tableColumn id="5" name="Live Ready"/>
    <tableColumn id="6" name="PDF Support"/>
    <tableColumn id="7" name="Change Detection"/>
    <tableColumn id="8" name="Status / Notes"/>
  </tableColumns>
  <tableStyleInfo name="TableStyleMedium2" showRowStripes="1"/>
</table>
</file>

<file path=xl/tables/table18.xml><?xml version="1.0" encoding="utf-8"?>
<table xmlns="http://schemas.openxmlformats.org/spreadsheetml/2006/main" id="18" name="ExecutionRunsTable" displayName="ExecutionRunsTable" ref="A18:L518" headerRowCount="1">
  <tableColumns count="12">
    <tableColumn id="1" name="Execution ID"/>
    <tableColumn id="2" name="Started"/>
    <tableColumn id="3" name="Finished"/>
    <tableColumn id="4" name="Mode"/>
    <tableColumn id="5" name="Input Files"/>
    <tableColumn id="6" name="Rows Read"/>
    <tableColumn id="7" name="Inserted"/>
    <tableColumn id="8" name="Updated"/>
    <tableColumn id="9" name="Skipped"/>
    <tableColumn id="10" name="Reviews Applied"/>
    <tableColumn id="11" name="Errors"/>
    <tableColumn id="12" name="Backup File"/>
  </tableColumns>
  <tableStyleInfo name="TableStyleMedium2" showRowStripes="1"/>
</table>
</file>

<file path=xl/tables/table19.xml><?xml version="1.0" encoding="utf-8"?>
<table xmlns="http://schemas.openxmlformats.org/spreadsheetml/2006/main" id="19" name="DailySummaryTable" displayName="DailySummaryTable" ref="A4:K370" headerRowCount="1">
  <tableColumns count="11">
    <tableColumn id="1" name="Update Date"/>
    <tableColumn id="2" name="New Tenders"/>
    <tableColumn id="3" name="Updated Tenders"/>
    <tableColumn id="4" name="Corrigenda"/>
    <tableColumn id="5" name="Extensions"/>
    <tableColumn id="6" name="Closures"/>
    <tableColumn id="7" name="Errors"/>
    <tableColumn id="8" name="Active Capacity MW"/>
    <tableColumn id="9" name="Urgent Deadlines"/>
    <tableColumn id="10" name="Agencies Scanned"/>
    <tableColumn id="11" name="Notes"/>
  </tableColumns>
  <tableStyleInfo name="TableStyleMedium2" showRowStripes="1"/>
</table>
</file>

<file path=xl/tables/table20.xml><?xml version="1.0" encoding="utf-8"?>
<table xmlns="http://schemas.openxmlformats.org/spreadsheetml/2006/main" id="20" name="V7CoverageTable" displayName="V7CoverageTable" ref="A4:H16" headerRowCount="1">
  <tableColumns count="8">
    <tableColumn id="1" name="Agency"/>
    <tableColumn id="2" name="Records Populated"/>
    <tableColumn id="3" name="Official Page Reached"/>
    <tableColumn id="4" name="Deadline Available"/>
    <tableColumn id="5" name="Technical Fields Available"/>
    <tableColumn id="6" name="Portal Restriction"/>
    <tableColumn id="7" name="Current Result"/>
    <tableColumn id="8" name="Next Action"/>
  </tableColumns>
  <tableStyleInfo name="TableStyleMedium2" showRowStripes="1"/>
</table>
</file>

<file path=xl/tables/table21.xml><?xml version="1.0" encoding="utf-8"?>
<table xmlns="http://schemas.openxmlformats.org/spreadsheetml/2006/main" id="21" name="ManualVerificationTable" displayName="ManualVerificationTable" ref="A4:J14" headerRowCount="1">
  <tableColumns count="10">
    <tableColumn id="1" name="Priority"/>
    <tableColumn id="2" name="Category"/>
    <tableColumn id="3" name="Agency"/>
    <tableColumn id="4" name="Likely Portal"/>
    <tableColumn id="5" name="Reason Not Populated"/>
    <tableColumn id="6" name="Required Action"/>
    <tableColumn id="7" name="Last Attempt"/>
    <tableColumn id="8" name="Status"/>
    <tableColumn id="9" name="Owner"/>
    <tableColumn id="10" name="Notes"/>
  </tableColumns>
  <tableStyleInfo name="TableStyleMedium2" showRowStripes="1"/>
</table>
</file>

<file path=xl/tables/table22.xml><?xml version="1.0" encoding="utf-8"?>
<table xmlns="http://schemas.openxmlformats.org/spreadsheetml/2006/main" id="22" name="SourceEvidenceTable" displayName="SourceEvidenceTable" ref="A4:H10" headerRowCount="1">
  <tableColumns count="8">
    <tableColumn id="1" name="Evidence ID"/>
    <tableColumn id="2" name="Agency"/>
    <tableColumn id="3" name="Tender ID / Reference"/>
    <tableColumn id="4" name="Official URL"/>
    <tableColumn id="5" name="Evidence Captured"/>
    <tableColumn id="6" name="Verified Facts"/>
    <tableColumn id="7" name="Evidence Level"/>
    <tableColumn id="8" name="Notes"/>
  </tableColumns>
  <tableStyleInfo name="TableStyleMedium2" showRowStripes="1"/>
</table>
</file>

<file path=xl/tables/table23.xml><?xml version="1.0" encoding="utf-8"?>
<table xmlns="http://schemas.openxmlformats.org/spreadsheetml/2006/main" id="23" name="ExclusionLogTable" displayName="ExclusionLogTable" ref="A5:H15" headerRowCount="1">
  <tableColumns count="8">
    <tableColumn id="1" name="Tender ID"/>
    <tableColumn id="2" name="Agency"/>
    <tableColumn id="3" name="Tender Number"/>
    <tableColumn id="4" name="Technology"/>
    <tableColumn id="5" name="Capacity MW"/>
    <tableColumn id="6" name="Status"/>
    <tableColumn id="7" name="Exclusion Reason"/>
    <tableColumn id="8" name="Source URL"/>
  </tableColumns>
  <tableStyleInfo name="TableStyleMedium2" showRowStripes="1"/>
</table>
</file>

<file path=xl/tables/table24.xml><?xml version="1.0" encoding="utf-8"?>
<table xmlns="http://schemas.openxmlformats.org/spreadsheetml/2006/main" id="24" name="AutomationStatusRunsTable" displayName="AutomationStatusRunsTable" ref="F4:J504" headerRowCount="1">
  <tableColumns count="5">
    <tableColumn id="1" name="Run ID"/>
    <tableColumn id="2" name="Started"/>
    <tableColumn id="3" name="Finished"/>
    <tableColumn id="4" name="Records Active"/>
    <tableColumn id="5" name="Result"/>
  </tableColumns>
  <tableStyleInfo name="TableStyleMedium2" showRowStripes="1"/>
</table>
</file>

<file path=xl/tables/table25.xml><?xml version="1.0" encoding="utf-8"?>
<table xmlns="http://schemas.openxmlformats.org/spreadsheetml/2006/main" id="25" name="ConnectorHealthTable" displayName="ConnectorHealthTable" ref="A5:K36" headerRowCount="1">
  <tableColumns count="11">
    <tableColumn id="1" name="Category"/>
    <tableColumn id="2" name="Agency"/>
    <tableColumn id="3" name="Connector Module"/>
    <tableColumn id="4" name="Source URL"/>
    <tableColumn id="5" name="Connector Type"/>
    <tableColumn id="6" name="Last Run"/>
    <tableColumn id="7" name="Records Found"/>
    <tableColumn id="8" name="Accepted"/>
    <tableColumn id="9" name="Rejected"/>
    <tableColumn id="10" name="Status"/>
    <tableColumn id="11" name="Error / Notes"/>
  </tableColumns>
  <tableStyleInfo name="TableStyleMedium2" showRowStripes="1"/>
</table>
</file>

<file path=xl/tables/table26.xml><?xml version="1.0" encoding="utf-8"?>
<table xmlns="http://schemas.openxmlformats.org/spreadsheetml/2006/main" id="26" name="ClauseExtractionQATable" displayName="ClauseExtractionQATable" ref="A4:L504" headerRowCount="1">
  <tableColumns count="12">
    <tableColumn id="1" name="Extraction ID"/>
    <tableColumn id="2" name="Tender ID"/>
    <tableColumn id="3" name="Agency"/>
    <tableColumn id="4" name="Field"/>
    <tableColumn id="5" name="Extracted Value"/>
    <tableColumn id="6" name="Unit"/>
    <tableColumn id="7" name="Confidence %"/>
    <tableColumn id="8" name="Evidence Snippet"/>
    <tableColumn id="9" name="Source Document"/>
    <tableColumn id="10" name="Page"/>
    <tableColumn id="11" name="Review Decision"/>
    <tableColumn id="12" name="Reviewer Notes"/>
  </tableColumns>
  <tableStyleInfo name="TableStyleMedium2" showRowStripes="1"/>
</table>
</file>

<file path=xl/tables/table27.xml><?xml version="1.0" encoding="utf-8"?>
<table xmlns="http://schemas.openxmlformats.org/spreadsheetml/2006/main" id="27" name="PLFRuleLibraryTable" displayName="PLFRuleLibraryTable" ref="A4:H14" headerRowCount="1">
  <tableColumns count="8">
    <tableColumn id="1" name="Field"/>
    <tableColumn id="2" name="Pattern Family"/>
    <tableColumn id="3" name="Extraction Target"/>
    <tableColumn id="4" name="Unit"/>
    <tableColumn id="5" name="Priority"/>
    <tableColumn id="6" name="Validation Range"/>
    <tableColumn id="7" name="Applies To"/>
    <tableColumn id="8" name="Notes"/>
  </tableColumns>
  <tableStyleInfo name="TableStyleMedium2" showRowStripes="1"/>
</table>
</file>

<file path=xl/tables/table28.xml><?xml version="1.0" encoding="utf-8"?>
<table xmlns="http://schemas.openxmlformats.org/spreadsheetml/2006/main" id="28" name="V14ReadinessTable" displayName="V14ReadinessTable" ref="A5:H13" headerRowCount="1">
  <tableColumns count="8">
    <tableColumn id="1" name="Control"/>
    <tableColumn id="2" name="Purpose"/>
    <tableColumn id="3" name="Pass Condition"/>
    <tableColumn id="4" name="Runtime Evidence"/>
    <tableColumn id="5" name="Owner"/>
    <tableColumn id="6" name="Frequency"/>
    <tableColumn id="7" name="Status"/>
    <tableColumn id="8"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_rels/sheet21.xml.rels><Relationships xmlns="http://schemas.openxmlformats.org/package/2006/relationships"><Relationship Type="http://schemas.openxmlformats.org/officeDocument/2006/relationships/table" Target="/xl/tables/table18.xml" Id="rId1"/></Relationships>
</file>

<file path=xl/worksheets/_rels/sheet22.xml.rels><Relationships xmlns="http://schemas.openxmlformats.org/package/2006/relationships"><Relationship Type="http://schemas.openxmlformats.org/officeDocument/2006/relationships/drawing" Target="/xl/drawings/drawing2.xml" Id="rId1"/></Relationships>
</file>

<file path=xl/worksheets/_rels/sheet23.xml.rels><Relationships xmlns="http://schemas.openxmlformats.org/package/2006/relationships"><Relationship Type="http://schemas.openxmlformats.org/officeDocument/2006/relationships/table" Target="/xl/tables/table19.xml" Id="rId1"/></Relationships>
</file>

<file path=xl/worksheets/_rels/sheet24.xml.rels><Relationships xmlns="http://schemas.openxmlformats.org/package/2006/relationships"><Relationship Type="http://schemas.openxmlformats.org/officeDocument/2006/relationships/table" Target="/xl/tables/table20.xml" Id="rId1"/></Relationships>
</file>

<file path=xl/worksheets/_rels/sheet25.xml.rels><Relationships xmlns="http://schemas.openxmlformats.org/package/2006/relationships"><Relationship Type="http://schemas.openxmlformats.org/officeDocument/2006/relationships/table" Target="/xl/tables/table21.xml" Id="rId1"/></Relationships>
</file>

<file path=xl/worksheets/_rels/sheet27.xml.rels><Relationships xmlns="http://schemas.openxmlformats.org/package/2006/relationships"><Relationship Type="http://schemas.openxmlformats.org/officeDocument/2006/relationships/table" Target="/xl/tables/table22.xml" Id="rId1"/></Relationships>
</file>

<file path=xl/worksheets/_rels/sheet28.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3.xml.rels><Relationships xmlns="http://schemas.openxmlformats.org/package/2006/relationships"><Relationship Type="http://schemas.openxmlformats.org/officeDocument/2006/relationships/table" Target="/xl/tables/table25.xml" Id="rId1"/></Relationships>
</file>

<file path=xl/worksheets/_rels/sheet34.xml.rels><Relationships xmlns="http://schemas.openxmlformats.org/package/2006/relationships"><Relationship Type="http://schemas.openxmlformats.org/officeDocument/2006/relationships/table" Target="/xl/tables/table26.xml" Id="rId1"/></Relationships>
</file>

<file path=xl/worksheets/_rels/sheet35.xml.rels><Relationships xmlns="http://schemas.openxmlformats.org/package/2006/relationships"><Relationship Type="http://schemas.openxmlformats.org/officeDocument/2006/relationships/table" Target="/xl/tables/table27.xml" Id="rId1"/></Relationships>
</file>

<file path=xl/worksheets/_rels/sheet36.xml.rels><Relationships xmlns="http://schemas.openxmlformats.org/package/2006/relationships"><Relationship Type="http://schemas.openxmlformats.org/officeDocument/2006/relationships/table" Target="/xl/tables/table28.xml" Id="rId1"/></Relationships>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14" customWidth="1" style="64" min="1" max="1"/>
    <col width="32"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14" customWidth="1" style="64" min="10" max="10"/>
    <col width="14" customWidth="1" style="64" min="11" max="11"/>
    <col width="14" customWidth="1" style="64" min="12" max="12"/>
    <col width="14" customWidth="1" style="64" min="13" max="13"/>
    <col width="14" customWidth="1" style="64" min="14" max="14"/>
  </cols>
  <sheetData>
    <row r="1">
      <c r="A1" s="265" t="inlineStr">
        <is>
          <t>Renewable Energy Tender Tracker</t>
        </is>
      </c>
      <c r="B1" s="1" t="n"/>
      <c r="C1" s="1" t="n"/>
      <c r="D1" s="1" t="n"/>
      <c r="E1" s="1" t="n"/>
      <c r="F1" s="1" t="n"/>
      <c r="G1" s="1" t="n"/>
      <c r="H1" s="1" t="n"/>
      <c r="I1" s="1" t="n"/>
      <c r="J1" s="1" t="n"/>
      <c r="K1" s="1" t="n"/>
      <c r="L1" s="1" t="n"/>
      <c r="M1" s="1" t="n"/>
      <c r="N1" s="1" t="n"/>
      <c r="O1" s="62" t="n"/>
      <c r="P1" s="62" t="n"/>
      <c r="Q1" s="62" t="n"/>
      <c r="R1" s="62" t="n"/>
      <c r="S1" s="62" t="n"/>
      <c r="T1" s="62" t="n"/>
      <c r="U1" s="62" t="n"/>
      <c r="V1" s="62" t="n"/>
    </row>
    <row r="2">
      <c r="A2" s="1" t="n"/>
      <c r="B2" s="1" t="n"/>
      <c r="C2" s="1" t="n"/>
      <c r="D2" s="1" t="n"/>
      <c r="E2" s="1" t="n"/>
      <c r="F2" s="1" t="n"/>
      <c r="G2" s="1" t="n"/>
      <c r="H2" s="1" t="n"/>
      <c r="I2" s="1" t="n"/>
      <c r="J2" s="1" t="n"/>
      <c r="K2" s="1" t="n"/>
      <c r="L2" s="1" t="n"/>
      <c r="M2" s="1" t="n"/>
      <c r="N2" s="1" t="n"/>
    </row>
    <row r="3">
      <c r="A3" s="266" t="inlineStr">
        <is>
          <t>Workbook foundation with agency master, tender database, status tracking, and update-control area</t>
        </is>
      </c>
      <c r="B3" s="1" t="n"/>
      <c r="C3" s="1" t="n"/>
      <c r="D3" s="1" t="n"/>
      <c r="E3" s="1" t="n"/>
      <c r="F3" s="1" t="n"/>
      <c r="G3" s="1" t="n"/>
      <c r="H3" s="1" t="n"/>
      <c r="I3" s="1" t="n"/>
      <c r="J3" s="1" t="n"/>
      <c r="K3" s="1" t="n"/>
      <c r="L3" s="1" t="n"/>
      <c r="M3" s="1" t="n"/>
      <c r="N3" s="1" t="n"/>
    </row>
    <row r="4">
      <c r="A4" s="84" t="inlineStr">
        <is>
          <t>Active Tenders</t>
        </is>
      </c>
      <c r="B4" s="37" t="n"/>
      <c r="C4" s="37" t="n"/>
      <c r="D4" s="84" t="inlineStr">
        <is>
          <t>New Today</t>
        </is>
      </c>
      <c r="E4" s="37" t="n"/>
      <c r="F4" s="37" t="n"/>
      <c r="G4" s="84" t="inlineStr">
        <is>
          <t>Corrigenda</t>
        </is>
      </c>
      <c r="H4" s="37" t="n"/>
      <c r="I4" s="37" t="n"/>
      <c r="J4" s="84" t="inlineStr">
        <is>
          <t>Closing in 7 Days</t>
        </is>
      </c>
      <c r="K4" s="37" t="n"/>
      <c r="L4" s="37" t="n"/>
      <c r="M4" s="37" t="n"/>
      <c r="N4" s="37" t="n"/>
    </row>
    <row r="5">
      <c r="A5" s="267">
        <f>COUNTIF('Master Tenders'!Q:Q,"Open")+COUNTIF('Master Tenders'!Q:Q,"Extended")</f>
        <v/>
      </c>
      <c r="B5" s="1" t="n"/>
      <c r="C5" s="1" t="n"/>
      <c r="D5" s="267">
        <f>COUNTIFS('Master Tenders'!R:R,TODAY(),'Master Tenders'!Q:Q,"New")</f>
        <v/>
      </c>
      <c r="E5" s="1" t="n"/>
      <c r="F5" s="1" t="n"/>
      <c r="G5" s="267">
        <f>COUNTIF('Master Tenders'!Q:Q,"Corrigendum")</f>
        <v/>
      </c>
      <c r="H5" s="1" t="n"/>
      <c r="I5" s="1" t="n"/>
      <c r="J5" s="267">
        <f>COUNTIFS('Master Tenders'!N:N,"&gt;="&amp;TODAY(),'Master Tenders'!N:N,"&lt;="&amp;TODAY()+7)</f>
        <v/>
      </c>
      <c r="K5" s="1" t="n"/>
      <c r="L5" s="1" t="n"/>
      <c r="M5" s="37" t="n"/>
      <c r="N5" s="37" t="n"/>
    </row>
    <row r="6">
      <c r="A6" s="1" t="n"/>
      <c r="C6" s="1" t="n"/>
      <c r="D6" s="1" t="n"/>
      <c r="F6" s="1" t="n"/>
      <c r="G6" s="1" t="n"/>
      <c r="I6" s="1" t="n"/>
      <c r="J6" s="1" t="n"/>
      <c r="L6" s="1" t="n"/>
      <c r="M6" s="37" t="n"/>
      <c r="N6" s="37" t="n"/>
    </row>
    <row r="7">
      <c r="A7" s="1" t="n"/>
      <c r="B7" s="1" t="n"/>
      <c r="C7" s="1" t="n"/>
      <c r="D7" s="1" t="n"/>
      <c r="E7" s="1" t="n"/>
      <c r="F7" s="1" t="n"/>
      <c r="G7" s="1" t="n"/>
      <c r="H7" s="1" t="n"/>
      <c r="I7" s="1" t="n"/>
      <c r="J7" s="1" t="n"/>
      <c r="K7" s="1" t="n"/>
      <c r="L7" s="1" t="n"/>
      <c r="M7" s="37" t="n"/>
      <c r="N7" s="37" t="n"/>
    </row>
    <row r="8">
      <c r="A8" s="37" t="n"/>
      <c r="B8" s="37" t="n"/>
      <c r="C8" s="37" t="n"/>
      <c r="D8" s="37" t="n"/>
      <c r="E8" s="37" t="n"/>
      <c r="F8" s="37" t="n"/>
      <c r="G8" s="37" t="n"/>
      <c r="H8" s="37" t="n"/>
      <c r="I8" s="37" t="n"/>
      <c r="J8" s="37" t="n"/>
      <c r="K8" s="37" t="n"/>
      <c r="L8" s="37" t="n"/>
      <c r="M8" s="37" t="n"/>
      <c r="N8" s="37" t="n"/>
    </row>
    <row r="9">
      <c r="A9" s="268" t="inlineStr">
        <is>
          <t>Update Control</t>
        </is>
      </c>
      <c r="B9" s="1" t="n"/>
      <c r="C9" s="1" t="n"/>
      <c r="D9" s="1" t="n"/>
      <c r="E9" s="1" t="n"/>
      <c r="F9" s="1" t="n"/>
      <c r="G9" s="1" t="n"/>
      <c r="H9" s="1" t="n"/>
      <c r="I9" s="37" t="n"/>
      <c r="J9" s="268" t="inlineStr">
        <is>
          <t>Technology Summary</t>
        </is>
      </c>
      <c r="K9" s="1" t="n"/>
      <c r="L9" s="1" t="n"/>
      <c r="M9" s="1" t="n"/>
      <c r="N9" s="1" t="n"/>
    </row>
    <row r="10">
      <c r="A10" s="36" t="inlineStr">
        <is>
          <t>Last Update</t>
        </is>
      </c>
      <c r="B10" s="37" t="str"/>
      <c r="C10" s="37" t="n"/>
      <c r="D10" s="37" t="n"/>
      <c r="E10" s="37" t="n"/>
      <c r="F10" s="37" t="n"/>
      <c r="G10" s="37" t="n"/>
      <c r="H10" s="37" t="n"/>
      <c r="I10" s="37" t="n"/>
      <c r="J10" s="44" t="inlineStr">
        <is>
          <t>Technology</t>
        </is>
      </c>
      <c r="K10" s="44" t="inlineStr">
        <is>
          <t>Count</t>
        </is>
      </c>
      <c r="L10" s="37" t="n"/>
      <c r="M10" s="37" t="n"/>
      <c r="N10" s="37" t="n"/>
    </row>
    <row r="11">
      <c r="A11" s="36" t="inlineStr">
        <is>
          <t>Update Mode</t>
        </is>
      </c>
      <c r="B11" s="37" t="inlineStr">
        <is>
          <t>Manual / External Script</t>
        </is>
      </c>
      <c r="C11" s="37" t="n"/>
      <c r="D11" s="37" t="n"/>
      <c r="E11" s="37" t="n"/>
      <c r="F11" s="37" t="n"/>
      <c r="G11" s="37" t="n"/>
      <c r="H11" s="37" t="n"/>
      <c r="I11" s="37" t="n"/>
      <c r="J11" s="87" t="inlineStr">
        <is>
          <t>Solar</t>
        </is>
      </c>
      <c r="K11" s="87">
        <f>COUNTIF('Master Tenders'!F:F,"Solar")</f>
        <v/>
      </c>
      <c r="L11" s="37" t="n"/>
      <c r="M11" s="37" t="n"/>
      <c r="N11" s="37" t="n"/>
    </row>
    <row r="12">
      <c r="A12" s="36" t="inlineStr">
        <is>
          <t>Workbook Status</t>
        </is>
      </c>
      <c r="B12" s="37" t="inlineStr">
        <is>
          <t>Ready</t>
        </is>
      </c>
      <c r="C12" s="37" t="n"/>
      <c r="D12" s="37" t="n"/>
      <c r="E12" s="37" t="n"/>
      <c r="F12" s="37" t="n"/>
      <c r="G12" s="37" t="n"/>
      <c r="H12" s="37" t="n"/>
      <c r="I12" s="37" t="n"/>
      <c r="J12" s="87" t="inlineStr">
        <is>
          <t>Solar + BESS</t>
        </is>
      </c>
      <c r="K12" s="87">
        <f>COUNTIF('Master Tenders'!F:F,"Solar + BESS")</f>
        <v/>
      </c>
      <c r="L12" s="37" t="n"/>
      <c r="M12" s="37" t="n"/>
      <c r="N12" s="37" t="n"/>
    </row>
    <row r="13">
      <c r="A13" s="36" t="inlineStr">
        <is>
          <t>Instructions</t>
        </is>
      </c>
      <c r="B13" s="37" t="inlineStr">
        <is>
          <t>Use the VBA module in the package to create an Update Tenders button.</t>
        </is>
      </c>
      <c r="C13" s="37" t="n"/>
      <c r="D13" s="37" t="n"/>
      <c r="E13" s="37" t="n"/>
      <c r="F13" s="37" t="n"/>
      <c r="G13" s="37" t="n"/>
      <c r="H13" s="37" t="n"/>
      <c r="I13" s="37" t="n"/>
      <c r="J13" s="87" t="inlineStr">
        <is>
          <t>FDRE</t>
        </is>
      </c>
      <c r="K13" s="87">
        <f>COUNTIF('Master Tenders'!F:F,"FDRE")</f>
        <v/>
      </c>
      <c r="L13" s="37" t="n"/>
      <c r="M13" s="37" t="n"/>
      <c r="N13" s="37" t="n"/>
    </row>
    <row r="14">
      <c r="A14" s="37" t="n"/>
      <c r="B14" s="37" t="n"/>
      <c r="C14" s="37" t="n"/>
      <c r="D14" s="37" t="n"/>
      <c r="E14" s="37" t="n"/>
      <c r="F14" s="37" t="n"/>
      <c r="G14" s="37" t="n"/>
      <c r="H14" s="37" t="n"/>
      <c r="I14" s="37" t="n"/>
      <c r="J14" s="87" t="inlineStr">
        <is>
          <t>Wind</t>
        </is>
      </c>
      <c r="K14" s="87">
        <f>COUNTIF('Master Tenders'!F:F,"Wind")</f>
        <v/>
      </c>
      <c r="L14" s="37" t="n"/>
      <c r="M14" s="37" t="n"/>
      <c r="N14" s="37" t="n"/>
    </row>
    <row r="15">
      <c r="A15" s="269" t="inlineStr">
        <is>
          <t>Operational Checks</t>
        </is>
      </c>
      <c r="B15" s="1" t="n"/>
      <c r="C15" s="1" t="n"/>
      <c r="D15" s="1" t="n"/>
      <c r="E15" s="1" t="n"/>
      <c r="F15" s="1" t="n"/>
      <c r="G15" s="1" t="n"/>
      <c r="H15" s="1" t="n"/>
      <c r="I15" s="1" t="n"/>
      <c r="J15" s="1" t="n"/>
      <c r="K15" s="1" t="n"/>
      <c r="L15" s="1" t="n"/>
      <c r="M15" s="1" t="n"/>
      <c r="N15" s="1" t="n"/>
    </row>
    <row r="16">
      <c r="A16" s="69" t="inlineStr">
        <is>
          <t>Metric</t>
        </is>
      </c>
      <c r="B16" s="69" t="inlineStr">
        <is>
          <t>Value</t>
        </is>
      </c>
      <c r="C16" s="37" t="n"/>
      <c r="D16" s="270" t="inlineStr">
        <is>
          <t>Status Summary</t>
        </is>
      </c>
      <c r="E16" s="1" t="n"/>
      <c r="F16" s="1" t="n"/>
      <c r="G16" s="37" t="n"/>
      <c r="H16" s="37" t="n"/>
      <c r="I16" s="37" t="n"/>
      <c r="J16" s="87" t="inlineStr">
        <is>
          <t>BESS</t>
        </is>
      </c>
      <c r="K16" s="87">
        <f>COUNTIF('Master Tenders'!F:F,"BESS")</f>
        <v/>
      </c>
      <c r="L16" s="37" t="n"/>
      <c r="M16" s="37" t="n"/>
      <c r="N16" s="37" t="n"/>
    </row>
    <row r="17">
      <c r="A17" s="89" t="inlineStr">
        <is>
          <t>Duplicate Records</t>
        </is>
      </c>
      <c r="B17" s="271">
        <f>COUNTIF('Master Tenders'!Z:Z,"Duplicate")</f>
        <v/>
      </c>
      <c r="C17" s="37" t="n"/>
      <c r="D17" s="69" t="inlineStr">
        <is>
          <t>Status</t>
        </is>
      </c>
      <c r="E17" s="69" t="inlineStr">
        <is>
          <t>Count</t>
        </is>
      </c>
      <c r="F17" s="37" t="n"/>
      <c r="G17" s="37" t="n"/>
      <c r="H17" s="37" t="n"/>
      <c r="I17" s="37" t="n"/>
      <c r="J17" s="37" t="n"/>
      <c r="K17" s="37" t="n"/>
      <c r="L17" s="37" t="n"/>
      <c r="M17" s="37" t="n"/>
      <c r="N17" s="37" t="n"/>
    </row>
    <row r="18">
      <c r="A18" s="89" t="inlineStr">
        <is>
          <t>Urgent Deadlines</t>
        </is>
      </c>
      <c r="B18" s="271">
        <f>COUNTIF('Master Tenders'!X:X,"Urgent")</f>
        <v/>
      </c>
      <c r="C18" s="37" t="n"/>
      <c r="D18" s="89" t="inlineStr">
        <is>
          <t>New</t>
        </is>
      </c>
      <c r="E18" s="271">
        <f>COUNTIF('Master Tenders'!Q:Q,"New")</f>
        <v/>
      </c>
      <c r="F18" s="37" t="n"/>
      <c r="G18" s="37" t="n"/>
      <c r="H18" s="37" t="n"/>
      <c r="I18" s="37" t="n"/>
      <c r="J18" s="37" t="n"/>
      <c r="K18" s="37" t="n"/>
      <c r="L18" s="37" t="n"/>
      <c r="M18" s="37" t="n"/>
      <c r="N18" s="37" t="n"/>
    </row>
    <row r="19">
      <c r="A19" s="89" t="inlineStr">
        <is>
          <t>Expired but Open</t>
        </is>
      </c>
      <c r="B19" s="271">
        <f>COUNTIFS('Master Tenders'!X:X,"Expired",'Master Tenders'!Q:Q,"Open")</f>
        <v/>
      </c>
      <c r="C19" s="37" t="n"/>
      <c r="D19" s="89" t="inlineStr">
        <is>
          <t>Open</t>
        </is>
      </c>
      <c r="E19" s="271">
        <f>COUNTIF('Master Tenders'!Q:Q,"Open")</f>
        <v/>
      </c>
      <c r="F19" s="37" t="n"/>
      <c r="G19" s="37" t="n"/>
      <c r="H19" s="37" t="n"/>
      <c r="I19" s="37" t="n"/>
      <c r="J19" s="37" t="n"/>
      <c r="K19" s="37" t="n"/>
      <c r="L19" s="37" t="n"/>
      <c r="M19" s="37" t="n"/>
      <c r="N19" s="37" t="n"/>
    </row>
    <row r="20">
      <c r="A20" s="89" t="inlineStr">
        <is>
          <t>Enabled Agencies</t>
        </is>
      </c>
      <c r="B20" s="271">
        <f>COUNTIF('Agency Master'!D:D,"Yes")</f>
        <v/>
      </c>
      <c r="C20" s="37" t="n"/>
      <c r="D20" s="89" t="inlineStr">
        <is>
          <t>Extended</t>
        </is>
      </c>
      <c r="E20" s="271">
        <f>COUNTIF('Master Tenders'!Q:Q,"Extended")</f>
        <v/>
      </c>
      <c r="F20" s="37" t="n"/>
      <c r="G20" s="37" t="n"/>
      <c r="H20" s="37" t="n"/>
      <c r="I20" s="37" t="n"/>
      <c r="J20" s="37" t="n"/>
      <c r="K20" s="37" t="n"/>
      <c r="L20" s="37" t="n"/>
      <c r="M20" s="37" t="n"/>
      <c r="N20" s="37" t="n"/>
    </row>
    <row r="21">
      <c r="A21" s="37" t="n"/>
      <c r="B21" s="37" t="n"/>
      <c r="C21" s="37" t="n"/>
      <c r="D21" s="89" t="inlineStr">
        <is>
          <t>Corrigendum</t>
        </is>
      </c>
      <c r="E21" s="271">
        <f>COUNTIF('Master Tenders'!Q:Q,"Corrigendum")</f>
        <v/>
      </c>
      <c r="F21" s="37" t="n"/>
      <c r="G21" s="37" t="n"/>
      <c r="H21" s="37" t="n"/>
      <c r="I21" s="37" t="n"/>
      <c r="J21" s="37" t="n"/>
      <c r="K21" s="37" t="n"/>
      <c r="L21" s="37" t="n"/>
      <c r="M21" s="37" t="n"/>
      <c r="N21" s="37" t="n"/>
    </row>
    <row r="22">
      <c r="A22" s="37" t="n"/>
      <c r="B22" s="37" t="n"/>
      <c r="C22" s="37" t="n"/>
      <c r="D22" s="89" t="inlineStr">
        <is>
          <t>Closed</t>
        </is>
      </c>
      <c r="E22" s="271">
        <f>COUNTIF('Master Tenders'!Q:Q,"Closed")</f>
        <v/>
      </c>
      <c r="F22" s="37" t="n"/>
      <c r="G22" s="37" t="n"/>
      <c r="H22" s="37" t="n"/>
      <c r="I22" s="37" t="n"/>
      <c r="J22" s="37" t="n"/>
      <c r="K22" s="37" t="n"/>
      <c r="L22" s="37" t="n"/>
      <c r="M22" s="37" t="n"/>
      <c r="N22" s="37" t="n"/>
    </row>
    <row r="23">
      <c r="A23" s="37" t="n"/>
      <c r="B23" s="37" t="n"/>
      <c r="C23" s="37" t="n"/>
      <c r="D23" s="89" t="inlineStr">
        <is>
          <t>Awarded</t>
        </is>
      </c>
      <c r="E23" s="271">
        <f>COUNTIF('Master Tenders'!Q:Q,"Awarded")</f>
        <v/>
      </c>
      <c r="F23" s="37" t="n"/>
      <c r="G23" s="37" t="n"/>
      <c r="H23" s="37" t="n"/>
      <c r="I23" s="37" t="n"/>
      <c r="J23" s="37" t="n"/>
      <c r="K23" s="37" t="n"/>
      <c r="L23" s="37" t="n"/>
      <c r="M23" s="37" t="n"/>
      <c r="N23" s="37" t="n"/>
    </row>
    <row r="24">
      <c r="A24" s="37" t="n"/>
      <c r="B24" s="37" t="n"/>
      <c r="C24" s="37" t="n"/>
      <c r="D24" s="37" t="n"/>
      <c r="E24" s="37" t="n"/>
      <c r="F24" s="37" t="n"/>
      <c r="G24" s="37" t="n"/>
      <c r="H24" s="37" t="n"/>
      <c r="I24" s="37" t="n"/>
      <c r="J24" s="37" t="n"/>
      <c r="K24" s="37" t="n"/>
      <c r="L24" s="37" t="n"/>
      <c r="M24" s="37" t="n"/>
      <c r="N24" s="37" t="n"/>
    </row>
    <row r="25">
      <c r="A25" s="272" t="inlineStr">
        <is>
          <t>Connector Readiness</t>
        </is>
      </c>
      <c r="B25" s="1" t="n"/>
      <c r="C25" s="1" t="n"/>
      <c r="D25" s="1" t="n"/>
      <c r="E25" s="1" t="n"/>
      <c r="F25" s="1" t="n"/>
      <c r="G25" s="1" t="n"/>
      <c r="H25" s="1" t="n"/>
      <c r="I25" s="1" t="n"/>
      <c r="J25" s="1" t="n"/>
      <c r="K25" s="1" t="n"/>
      <c r="L25" s="1" t="n"/>
      <c r="M25" s="1" t="n"/>
      <c r="N25" s="1" t="n"/>
    </row>
    <row r="26">
      <c r="A26" s="104" t="inlineStr">
        <is>
          <t>Metric</t>
        </is>
      </c>
      <c r="B26" s="104" t="inlineStr">
        <is>
          <t>Value</t>
        </is>
      </c>
      <c r="C26" s="37" t="n"/>
      <c r="D26" s="122" t="inlineStr">
        <is>
          <t>Metric</t>
        </is>
      </c>
      <c r="E26" s="122" t="inlineStr">
        <is>
          <t>Value</t>
        </is>
      </c>
      <c r="F26" s="37" t="n"/>
      <c r="G26" s="137" t="inlineStr">
        <is>
          <t>Metric</t>
        </is>
      </c>
      <c r="H26" s="137" t="inlineStr">
        <is>
          <t>Value</t>
        </is>
      </c>
      <c r="I26" s="37" t="n"/>
      <c r="J26" s="151" t="inlineStr">
        <is>
          <t>Metric</t>
        </is>
      </c>
      <c r="K26" s="151" t="inlineStr">
        <is>
          <t>Value</t>
        </is>
      </c>
      <c r="L26" s="37" t="n"/>
      <c r="M26" s="37" t="n"/>
      <c r="N26" s="37" t="n"/>
    </row>
    <row r="27">
      <c r="A27" s="37" t="inlineStr">
        <is>
          <t>Dedicated Connectors</t>
        </is>
      </c>
      <c r="B27" s="273">
        <f>COUNTIF('Source Registry'!E:E,"Yes")</f>
        <v/>
      </c>
      <c r="C27" s="37" t="n"/>
      <c r="D27" s="37" t="inlineStr">
        <is>
          <t>Documents Pending</t>
        </is>
      </c>
      <c r="E27" s="273">
        <f>COUNTIF('Document Queue'!H:H,"Pending")</f>
        <v/>
      </c>
      <c r="F27" s="37" t="n"/>
      <c r="G27" s="37" t="inlineStr">
        <is>
          <t>Pending Import Batches</t>
        </is>
      </c>
      <c r="H27" s="273">
        <f>COUNTIF('Import Control'!L:L,"Pending")</f>
        <v/>
      </c>
      <c r="I27" s="37" t="n"/>
      <c r="J27" s="37" t="inlineStr">
        <is>
          <t>Execution Runs</t>
        </is>
      </c>
      <c r="K27" s="274">
        <f>COUNTA('Execution Control'!A:A)-1</f>
        <v/>
      </c>
      <c r="L27" s="37" t="n"/>
      <c r="M27" s="37" t="n"/>
      <c r="N27" s="37" t="n"/>
    </row>
    <row r="28">
      <c r="A28" s="37" t="inlineStr">
        <is>
          <t>Generic / Planned</t>
        </is>
      </c>
      <c r="B28" s="273">
        <f>COUNTIF('Source Registry'!E:E,"No")</f>
        <v/>
      </c>
      <c r="C28" s="37" t="n"/>
      <c r="D28" s="37" t="inlineStr">
        <is>
          <t>Documents Extracted</t>
        </is>
      </c>
      <c r="E28" s="273">
        <f>COUNTIF('Document Queue'!I:I,"Extracted")</f>
        <v/>
      </c>
      <c r="F28" s="37" t="n"/>
      <c r="G28" s="37" t="inlineStr">
        <is>
          <t>Imported Batches</t>
        </is>
      </c>
      <c r="H28" s="273">
        <f>COUNTIF('Import Control'!L:L,"Imported")</f>
        <v/>
      </c>
      <c r="I28" s="37" t="n"/>
      <c r="J28" s="37" t="inlineStr">
        <is>
          <t>Backups Created</t>
        </is>
      </c>
      <c r="K28" s="274">
        <f>COUNTIF('Execution Control'!L:L,"&lt;&gt;")-1</f>
        <v/>
      </c>
      <c r="L28" s="37" t="n"/>
      <c r="M28" s="37" t="n"/>
      <c r="N28" s="37" t="n"/>
    </row>
    <row r="29">
      <c r="A29" s="37" t="inlineStr">
        <is>
          <t>Last Connector Tests</t>
        </is>
      </c>
      <c r="B29" s="273">
        <f>COUNT('Source Registry'!G:G)</f>
        <v/>
      </c>
      <c r="C29" s="37" t="n"/>
      <c r="D29" s="37" t="inlineStr">
        <is>
          <t>PDF Results Pending Review</t>
        </is>
      </c>
      <c r="E29" s="273">
        <f>COUNTIF('PDF Extraction Results'!S:S,"Pending Review")</f>
        <v/>
      </c>
      <c r="F29" s="37" t="n"/>
      <c r="G29" s="37" t="inlineStr">
        <is>
          <t>Validation Errors</t>
        </is>
      </c>
      <c r="H29" s="273">
        <f>COUNTIF('Validation Errors'!J:J,"Pending")</f>
        <v/>
      </c>
      <c r="I29" s="37" t="n"/>
      <c r="J29" s="37" t="inlineStr">
        <is>
          <t>Daily Summaries</t>
        </is>
      </c>
      <c r="K29" s="274">
        <f>COUNTA('Daily Summary'!A:A)-1</f>
        <v/>
      </c>
      <c r="L29" s="37" t="n"/>
      <c r="M29" s="37" t="n"/>
      <c r="N29" s="37" t="n"/>
    </row>
    <row r="30">
      <c r="A30" s="37" t="inlineStr">
        <is>
          <t>Live Sample Records</t>
        </is>
      </c>
      <c r="B30" s="273">
        <f>COUNTIF('Master Tenders'!V:V,"*Live-source sample*")+COUNTIF('Master Tenders'!V:V,"*official NTPC*")</f>
        <v/>
      </c>
      <c r="C30" s="37" t="n"/>
      <c r="D30" s="37" t="inlineStr">
        <is>
          <t>Changes Pending Decision</t>
        </is>
      </c>
      <c r="E30" s="273">
        <f>COUNTIF('Change Review'!L:L,"Pending")</f>
        <v/>
      </c>
      <c r="F30" s="37" t="n"/>
      <c r="G30" s="37" t="inlineStr">
        <is>
          <t>Successful Write-Backs</t>
        </is>
      </c>
      <c r="H30" s="273">
        <f>COUNTIF('Writeback Audit'!K:K,"Success")</f>
        <v/>
      </c>
      <c r="I30" s="37" t="n"/>
      <c r="J30" s="37" t="inlineStr">
        <is>
          <t>V6 Connectors</t>
        </is>
      </c>
      <c r="K30" s="274">
        <f>COUNTIF('Agency Coverage'!D:D,"V6")</f>
        <v/>
      </c>
      <c r="L30" s="37" t="n"/>
      <c r="M30" s="37" t="n"/>
      <c r="N30" s="37" t="n"/>
    </row>
    <row r="31">
      <c r="A31" s="37" t="n"/>
      <c r="B31" s="37" t="n"/>
      <c r="C31" s="37" t="n"/>
      <c r="D31" s="37" t="inlineStr">
        <is>
          <t>Approved Changes</t>
        </is>
      </c>
      <c r="E31" s="273">
        <f>COUNTIF('Change Review'!L:L,"Approve")</f>
        <v/>
      </c>
      <c r="F31" s="37" t="n"/>
      <c r="G31" s="37" t="inlineStr">
        <is>
          <t>Failed Write-Backs</t>
        </is>
      </c>
      <c r="H31" s="273">
        <f>COUNTIF('Writeback Audit'!K:K,"Failed")</f>
        <v/>
      </c>
      <c r="I31" s="37" t="n"/>
      <c r="J31" s="37" t="inlineStr">
        <is>
          <t>Total Capacity MW</t>
        </is>
      </c>
      <c r="K31" s="274">
        <f>SUM('Master Tenders'!G:G)</f>
        <v/>
      </c>
      <c r="L31" s="37" t="n"/>
      <c r="M31" s="37" t="n"/>
      <c r="N31" s="37" t="n"/>
    </row>
    <row r="32">
      <c r="A32" s="37" t="n"/>
      <c r="B32" s="37" t="n"/>
      <c r="C32" s="37" t="n"/>
      <c r="D32" s="37" t="n"/>
      <c r="E32" s="37" t="n"/>
      <c r="F32" s="37" t="n"/>
      <c r="G32" s="37" t="inlineStr">
        <is>
          <t>State Connectors Added</t>
        </is>
      </c>
      <c r="H32" s="273">
        <f>COUNTIFS('Agency Coverage'!D:D,"V5",'Agency Coverage'!A:A,"&lt;&gt;Central")</f>
        <v/>
      </c>
      <c r="I32" s="37" t="n"/>
      <c r="J32" s="37" t="inlineStr">
        <is>
          <t>Storage Capacity MW</t>
        </is>
      </c>
      <c r="K32" s="274">
        <f>SUMIFS('Master Tenders'!G:G,'Master Tenders'!H:H,"Yes")</f>
        <v/>
      </c>
      <c r="L32" s="37" t="n"/>
      <c r="M32" s="37" t="n"/>
      <c r="N32" s="37" t="n"/>
    </row>
    <row r="33">
      <c r="A33" s="37" t="n"/>
      <c r="B33" s="37" t="n"/>
      <c r="C33" s="37" t="n"/>
      <c r="D33" s="37" t="n"/>
      <c r="E33" s="37" t="n"/>
      <c r="F33" s="37" t="n"/>
      <c r="G33" s="37" t="n"/>
      <c r="H33" s="37" t="n"/>
      <c r="I33" s="37" t="n"/>
      <c r="J33" s="37" t="n"/>
      <c r="K33" s="37" t="n"/>
      <c r="L33" s="37" t="n"/>
      <c r="M33" s="37" t="n"/>
      <c r="N33" s="37" t="n"/>
    </row>
    <row r="34">
      <c r="A34" s="275" t="inlineStr">
        <is>
          <t>V7 Live Snapshot</t>
        </is>
      </c>
      <c r="B34" s="1" t="n"/>
      <c r="C34" s="1" t="n"/>
      <c r="D34" s="1" t="n"/>
      <c r="E34" s="1" t="n"/>
      <c r="F34" s="1" t="n"/>
      <c r="G34" s="1" t="n"/>
      <c r="H34" s="1" t="n"/>
      <c r="I34" s="1" t="n"/>
      <c r="J34" s="1" t="n"/>
      <c r="K34" s="1" t="n"/>
      <c r="L34" s="1" t="n"/>
      <c r="M34" s="1" t="n"/>
      <c r="N34" s="1" t="n"/>
    </row>
    <row r="35">
      <c r="A35" s="162" t="inlineStr">
        <is>
          <t>Metric</t>
        </is>
      </c>
      <c r="B35" s="162" t="inlineStr">
        <is>
          <t>Value</t>
        </is>
      </c>
      <c r="C35" s="37" t="n"/>
      <c r="D35" s="172" t="inlineStr">
        <is>
          <t>Metric</t>
        </is>
      </c>
      <c r="E35" s="172" t="inlineStr">
        <is>
          <t>Value</t>
        </is>
      </c>
      <c r="F35" s="37" t="n"/>
      <c r="G35" s="192" t="inlineStr">
        <is>
          <t>Metric</t>
        </is>
      </c>
      <c r="H35" s="192" t="inlineStr">
        <is>
          <t>Value</t>
        </is>
      </c>
      <c r="I35" s="37" t="n"/>
      <c r="J35" s="200" t="inlineStr">
        <is>
          <t>Metric</t>
        </is>
      </c>
      <c r="K35" s="200" t="inlineStr">
        <is>
          <t>Value</t>
        </is>
      </c>
      <c r="L35" s="37" t="n"/>
      <c r="M35" s="37" t="n"/>
      <c r="N35" s="37" t="n"/>
    </row>
    <row r="36">
      <c r="A36" s="37" t="inlineStr">
        <is>
          <t>Verified tender records</t>
        </is>
      </c>
      <c r="B36" s="37">
        <f>COUNTA('Master Tenders'!A2:A19)</f>
        <v/>
      </c>
      <c r="C36" s="37" t="n"/>
      <c r="D36" s="37" t="inlineStr">
        <is>
          <t>Total verified records</t>
        </is>
      </c>
      <c r="E36" s="273">
        <f>COUNTA('Master Tenders'!A2:A27)</f>
        <v/>
      </c>
      <c r="F36" s="37" t="n"/>
      <c r="G36" s="37" t="inlineStr">
        <is>
          <t>Eligible records</t>
        </is>
      </c>
      <c r="H36" s="273" t="n">
        <v>16</v>
      </c>
      <c r="I36" s="37" t="n"/>
      <c r="J36" s="37" t="inlineStr">
        <is>
          <t>Active eligible tenders</t>
        </is>
      </c>
      <c r="K36" s="37" t="n">
        <v>8</v>
      </c>
      <c r="L36" s="37" t="n"/>
      <c r="M36" s="37" t="n"/>
      <c r="N36" s="37" t="n"/>
    </row>
    <row r="37">
      <c r="A37" s="37" t="inlineStr">
        <is>
          <t>Agencies populated</t>
        </is>
      </c>
      <c r="B37" s="37">
        <f>COUNTA(UNIQUE(FILTER('Master Tenders'!C2:C19,'Master Tenders'!C2:C19&lt;&gt;"")))</f>
        <v/>
      </c>
      <c r="C37" s="37" t="n"/>
      <c r="D37" s="37" t="inlineStr">
        <is>
          <t>Agencies populated</t>
        </is>
      </c>
      <c r="E37" s="273">
        <f>COUNTA(UNIQUE(FILTER('Master Tenders'!C2:C27,'Master Tenders'!C2:C27&lt;&gt;"")))</f>
        <v/>
      </c>
      <c r="F37" s="37" t="n"/>
      <c r="G37" s="37" t="inlineStr">
        <is>
          <t>Excluded records</t>
        </is>
      </c>
      <c r="H37" s="273" t="n">
        <v>10</v>
      </c>
      <c r="I37" s="37" t="n"/>
      <c r="J37" s="37" t="inlineStr">
        <is>
          <t>Closed/expired removed</t>
        </is>
      </c>
      <c r="K37" s="37" t="n">
        <v>8</v>
      </c>
      <c r="L37" s="37" t="n"/>
      <c r="M37" s="37" t="n"/>
      <c r="N37" s="37" t="n"/>
    </row>
    <row r="38">
      <c r="A38" s="37" t="inlineStr">
        <is>
          <t>Open / Extended</t>
        </is>
      </c>
      <c r="B38" s="37">
        <f>COUNTIF('Master Tenders'!Q2:Q19,"Open")+COUNTIF('Master Tenders'!Q2:Q19,"Extended")</f>
        <v/>
      </c>
      <c r="C38" s="37" t="n"/>
      <c r="D38" s="37" t="inlineStr">
        <is>
          <t>Current opportunities</t>
        </is>
      </c>
      <c r="E38" s="273">
        <f>COUNTIF('Master Tenders'!AF2:AF27,"Current Opportunity")</f>
        <v/>
      </c>
      <c r="F38" s="37" t="n"/>
      <c r="G38" s="37" t="inlineStr">
        <is>
          <t>Minimum capacity MW</t>
        </is>
      </c>
      <c r="H38" s="273" t="n">
        <v>100</v>
      </c>
      <c r="I38" s="37" t="n"/>
      <c r="J38" s="37" t="inlineStr">
        <is>
          <t>Notification date column</t>
        </is>
      </c>
      <c r="K38" s="37" t="inlineStr">
        <is>
          <t>Added</t>
        </is>
      </c>
      <c r="L38" s="37" t="n"/>
      <c r="M38" s="37" t="n"/>
      <c r="N38" s="37" t="n"/>
    </row>
    <row r="39">
      <c r="A39" s="37" t="inlineStr">
        <is>
          <t>Storage-linked MW</t>
        </is>
      </c>
      <c r="B39" s="37">
        <f>SUMIFS('Master Tenders'!G2:G19,'Master Tenders'!H2:H19,"Yes")</f>
        <v/>
      </c>
      <c r="C39" s="37" t="n"/>
      <c r="D39" s="37" t="inlineStr">
        <is>
          <t>Needs status check</t>
        </is>
      </c>
      <c r="E39" s="273">
        <f>COUNTIF('Master Tenders'!AF2:AF27,"Needs Status Check")</f>
        <v/>
      </c>
      <c r="F39" s="37" t="n"/>
      <c r="G39" s="37" t="inlineStr">
        <is>
          <t>Rooftop excluded</t>
        </is>
      </c>
      <c r="H39" s="273" t="inlineStr">
        <is>
          <t>Yes</t>
        </is>
      </c>
      <c r="I39" s="37" t="n"/>
      <c r="J39" s="37" t="inlineStr">
        <is>
          <t>Corrigendum dates in Master</t>
        </is>
      </c>
      <c r="K39" s="37" t="inlineStr">
        <is>
          <t>Added</t>
        </is>
      </c>
      <c r="L39" s="37" t="n"/>
      <c r="M39" s="37" t="n"/>
      <c r="N39" s="37" t="n"/>
    </row>
    <row r="40">
      <c r="A40" s="37" t="inlineStr">
        <is>
          <t>Manual verification agencies</t>
        </is>
      </c>
      <c r="B40" s="37">
        <f>COUNTA('Manual Verification Queue'!C5:C14)</f>
        <v/>
      </c>
      <c r="C40" s="37" t="n"/>
      <c r="D40" s="37" t="inlineStr">
        <is>
          <t>High evidence records</t>
        </is>
      </c>
      <c r="E40" s="273">
        <f>COUNTIF('Master Tenders'!AE2:AE27,"&gt;=5")</f>
        <v/>
      </c>
      <c r="F40" s="37" t="n"/>
      <c r="G40" s="37" t="inlineStr">
        <is>
          <t>KUSUM excluded</t>
        </is>
      </c>
      <c r="H40" s="273" t="inlineStr">
        <is>
          <t>Yes</t>
        </is>
      </c>
      <c r="I40" s="37" t="n"/>
      <c r="J40" s="37" t="inlineStr">
        <is>
          <t>Separate corrigendum sheet</t>
        </is>
      </c>
      <c r="K40" s="37" t="inlineStr">
        <is>
          <t>Removed</t>
        </is>
      </c>
      <c r="L40" s="37" t="n"/>
      <c r="M40" s="37" t="n"/>
      <c r="N40" s="37" t="n"/>
    </row>
    <row r="41">
      <c r="A41" s="37" t="inlineStr">
        <is>
          <t>Snapshot date</t>
        </is>
      </c>
      <c r="B41" s="276" t="n">
        <v>46236</v>
      </c>
      <c r="C41" s="37" t="n"/>
      <c r="D41" s="37" t="inlineStr">
        <is>
          <t>NHPC records added</t>
        </is>
      </c>
      <c r="E41" s="273">
        <f>COUNTIF('Master Tenders'!C2:C27,"NHPC")</f>
        <v/>
      </c>
      <c r="F41" s="37" t="n"/>
      <c r="G41" s="37" t="inlineStr">
        <is>
          <t>Unknown capacity excluded</t>
        </is>
      </c>
      <c r="H41" s="273" t="inlineStr">
        <is>
          <t>Yes</t>
        </is>
      </c>
      <c r="I41" s="37" t="n"/>
      <c r="J41" s="37" t="inlineStr">
        <is>
          <t>Separate closed sheet</t>
        </is>
      </c>
      <c r="K41" s="37" t="inlineStr">
        <is>
          <t>Removed</t>
        </is>
      </c>
      <c r="L41" s="37" t="n"/>
      <c r="M41" s="37" t="n"/>
      <c r="N41" s="37" t="n"/>
    </row>
    <row r="42">
      <c r="A42" s="37" t="n"/>
      <c r="B42" s="37" t="n"/>
      <c r="C42" s="37" t="n"/>
      <c r="D42" s="37" t="inlineStr">
        <is>
          <t>MP / Rajasthan records</t>
        </is>
      </c>
      <c r="E42" s="273">
        <f>COUNTIF('Master Tenders'!B2:B27,"Madhya Pradesh")+COUNTIF('Master Tenders'!B2:B27,"Rajasthan")</f>
        <v/>
      </c>
      <c r="F42" s="37" t="n"/>
      <c r="G42" s="37" t="inlineStr">
        <is>
          <t>Eligible current opportunities</t>
        </is>
      </c>
      <c r="H42" s="273">
        <f>COUNTIF('Master Tenders'!AF2:AF17,"Current Opportunity")</f>
        <v/>
      </c>
      <c r="I42" s="37" t="n"/>
      <c r="J42" s="37" t="inlineStr">
        <is>
          <t>Snapshot date</t>
        </is>
      </c>
      <c r="K42" s="276" t="n">
        <v>46236</v>
      </c>
      <c r="L42" s="37" t="n"/>
      <c r="M42" s="37" t="n"/>
      <c r="N42" s="37" t="n"/>
    </row>
    <row r="43">
      <c r="A43" s="37" t="n"/>
      <c r="B43" s="37" t="n"/>
      <c r="C43" s="37" t="n"/>
      <c r="D43" s="37" t="n"/>
      <c r="E43" s="37" t="n"/>
      <c r="F43" s="37" t="n"/>
      <c r="G43" s="37" t="n"/>
      <c r="H43" s="37" t="n"/>
      <c r="I43" s="37" t="n"/>
      <c r="J43" s="37" t="n"/>
      <c r="K43" s="37" t="n"/>
      <c r="L43" s="37" t="n"/>
      <c r="M43" s="37" t="n"/>
      <c r="N43" s="37" t="n"/>
    </row>
    <row r="44">
      <c r="A44" s="277" t="inlineStr">
        <is>
          <t>V11 Procurement-Clause Review</t>
        </is>
      </c>
      <c r="B44" s="1" t="n"/>
      <c r="C44" s="1" t="n"/>
      <c r="D44" s="1" t="n"/>
      <c r="E44" s="1" t="n"/>
      <c r="F44" s="1" t="n"/>
      <c r="G44" s="1" t="n"/>
      <c r="H44" s="1" t="n"/>
      <c r="I44" s="1" t="n"/>
      <c r="J44" s="1" t="n"/>
      <c r="K44" s="1" t="n"/>
      <c r="L44" s="1" t="n"/>
      <c r="M44" s="1" t="n"/>
      <c r="N44" s="1" t="n"/>
    </row>
    <row r="45">
      <c r="A45" s="213" t="inlineStr">
        <is>
          <t>Metric</t>
        </is>
      </c>
      <c r="B45" s="213" t="inlineStr">
        <is>
          <t>Value</t>
        </is>
      </c>
      <c r="C45" s="37" t="n"/>
      <c r="D45" s="232" t="inlineStr">
        <is>
          <t>Metric</t>
        </is>
      </c>
      <c r="E45" s="232" t="inlineStr">
        <is>
          <t>Value</t>
        </is>
      </c>
      <c r="F45" s="37" t="n"/>
      <c r="G45" s="248" t="inlineStr">
        <is>
          <t>Metric</t>
        </is>
      </c>
      <c r="H45" s="248" t="inlineStr">
        <is>
          <t>Value</t>
        </is>
      </c>
      <c r="I45" s="37" t="n"/>
      <c r="J45" s="262" t="inlineStr">
        <is>
          <t>Metric</t>
        </is>
      </c>
      <c r="K45" s="262" t="inlineStr">
        <is>
          <t>Value</t>
        </is>
      </c>
      <c r="L45" s="37" t="n"/>
      <c r="M45" s="37" t="n"/>
      <c r="N45" s="37" t="n"/>
    </row>
    <row r="46">
      <c r="A46" s="37" t="inlineStr">
        <is>
          <t>Eligible procurement tenders</t>
        </is>
      </c>
      <c r="B46" s="273" t="n">
        <v>4</v>
      </c>
      <c r="C46" s="37" t="n"/>
      <c r="D46" s="37" t="inlineStr">
        <is>
          <t>Version</t>
        </is>
      </c>
      <c r="E46" s="37" t="inlineStr">
        <is>
          <t>12.0</t>
        </is>
      </c>
      <c r="F46" s="37" t="n"/>
      <c r="G46" s="37" t="inlineStr">
        <is>
          <t>Dedicated connectors</t>
        </is>
      </c>
      <c r="H46" s="37" t="n">
        <v>31</v>
      </c>
      <c r="I46" s="37" t="n"/>
      <c r="J46" s="37" t="inlineStr">
        <is>
          <t>Repository package</t>
        </is>
      </c>
      <c r="K46" s="37" t="inlineStr">
        <is>
          <t>GitHub-ready</t>
        </is>
      </c>
      <c r="L46" s="37" t="n"/>
      <c r="M46" s="37" t="n"/>
      <c r="N46" s="37" t="n"/>
    </row>
    <row r="47">
      <c r="A47" s="37" t="inlineStr">
        <is>
          <t>Supply/install/O&amp;M removed</t>
        </is>
      </c>
      <c r="B47" s="273" t="n">
        <v>2</v>
      </c>
      <c r="C47" s="37" t="n"/>
      <c r="D47" s="37" t="inlineStr">
        <is>
          <t>Daily schedule</t>
        </is>
      </c>
      <c r="E47" s="37" t="inlineStr">
        <is>
          <t>08:00 IST</t>
        </is>
      </c>
      <c r="F47" s="37" t="n"/>
      <c r="G47" s="37" t="inlineStr">
        <is>
          <t>Connector health sheet</t>
        </is>
      </c>
      <c r="H47" s="37" t="inlineStr">
        <is>
          <t>Added</t>
        </is>
      </c>
      <c r="I47" s="37" t="n"/>
      <c r="J47" s="37" t="inlineStr">
        <is>
          <t>Workflow</t>
        </is>
      </c>
      <c r="K47" s="37" t="inlineStr">
        <is>
          <t>Validated structure</t>
        </is>
      </c>
      <c r="L47" s="37" t="n"/>
      <c r="M47" s="37" t="n"/>
      <c r="N47" s="37" t="n"/>
    </row>
    <row r="48">
      <c r="A48" s="37" t="inlineStr">
        <is>
          <t>Expired legacy records removed</t>
        </is>
      </c>
      <c r="B48" s="273" t="n">
        <v>2</v>
      </c>
      <c r="C48" s="37" t="n"/>
      <c r="D48" s="37" t="inlineStr">
        <is>
          <t>Workflow enabled</t>
        </is>
      </c>
      <c r="E48" s="37" t="inlineStr">
        <is>
          <t>After repository setup</t>
        </is>
      </c>
      <c r="F48" s="37" t="n"/>
      <c r="G48" s="37" t="inlineStr">
        <is>
          <t>PLF rule library</t>
        </is>
      </c>
      <c r="H48" s="37" t="inlineStr">
        <is>
          <t>Added</t>
        </is>
      </c>
      <c r="I48" s="37" t="n"/>
      <c r="J48" s="37" t="inlineStr">
        <is>
          <t>PLF parser tests</t>
        </is>
      </c>
      <c r="K48" s="37" t="inlineStr">
        <is>
          <t>Expanded</t>
        </is>
      </c>
      <c r="L48" s="37" t="n"/>
      <c r="M48" s="37" t="n"/>
      <c r="N48" s="37" t="n"/>
    </row>
    <row r="49">
      <c r="A49" s="37" t="inlineStr">
        <is>
          <t>Detailed RfS verified</t>
        </is>
      </c>
      <c r="B49" s="273" t="n">
        <v>2</v>
      </c>
      <c r="C49" s="37" t="n"/>
      <c r="D49" s="37" t="inlineStr">
        <is>
          <t>Automatic workbook commit</t>
        </is>
      </c>
      <c r="E49" s="37" t="inlineStr">
        <is>
          <t>Yes</t>
        </is>
      </c>
      <c r="F49" s="37" t="n"/>
      <c r="G49" s="37" t="inlineStr">
        <is>
          <t>Clause QA workflow</t>
        </is>
      </c>
      <c r="H49" s="37" t="inlineStr">
        <is>
          <t>Added</t>
        </is>
      </c>
      <c r="I49" s="37" t="n"/>
      <c r="J49" s="37" t="inlineStr">
        <is>
          <t>Evidence snippets</t>
        </is>
      </c>
      <c r="K49" s="37" t="inlineStr">
        <is>
          <t>Page-aware</t>
        </is>
      </c>
      <c r="L49" s="37" t="n"/>
      <c r="M49" s="37" t="n"/>
      <c r="N49" s="37" t="n"/>
    </row>
    <row r="50">
      <c r="A50" s="37" t="inlineStr">
        <is>
          <t>BESS document review pending</t>
        </is>
      </c>
      <c r="B50" s="273" t="n">
        <v>2</v>
      </c>
      <c r="C50" s="37" t="n"/>
      <c r="D50" s="37" t="inlineStr">
        <is>
          <t>Automatic closed removal</t>
        </is>
      </c>
      <c r="E50" s="37" t="inlineStr">
        <is>
          <t>Yes</t>
        </is>
      </c>
      <c r="F50" s="37" t="n"/>
      <c r="G50" s="37" t="inlineStr">
        <is>
          <t>Retries / backoff</t>
        </is>
      </c>
      <c r="H50" s="37" t="inlineStr">
        <is>
          <t>Enabled</t>
        </is>
      </c>
      <c r="I50" s="37" t="n"/>
      <c r="J50" s="37" t="inlineStr">
        <is>
          <t>Connector health JSON</t>
        </is>
      </c>
      <c r="K50" s="37" t="inlineStr">
        <is>
          <t>Guaranteed output</t>
        </is>
      </c>
      <c r="L50" s="37" t="n"/>
      <c r="M50" s="37" t="n"/>
      <c r="N50" s="37" t="n"/>
    </row>
    <row r="51">
      <c r="A51" t="inlineStr">
        <is>
          <t>External energy rules captured</t>
        </is>
      </c>
      <c r="B51" s="278" t="n">
        <v>2</v>
      </c>
      <c r="D51" t="inlineStr">
        <is>
          <t>Same-row corrigenda</t>
        </is>
      </c>
      <c r="E51" t="inlineStr">
        <is>
          <t>Yes</t>
        </is>
      </c>
      <c r="G51" t="inlineStr">
        <is>
          <t>HTML + PDF extraction</t>
        </is>
      </c>
      <c r="H51" t="inlineStr">
        <is>
          <t>Enabled</t>
        </is>
      </c>
      <c r="J51" t="inlineStr">
        <is>
          <t>Dry-run safety</t>
        </is>
      </c>
      <c r="K51" t="inlineStr">
        <is>
          <t>Push defaults to dry-run</t>
        </is>
      </c>
    </row>
    <row r="52">
      <c r="A52" t="inlineStr">
        <is>
          <t>Penalty rules captured</t>
        </is>
      </c>
      <c r="B52" s="278" t="n">
        <v>2</v>
      </c>
      <c r="D52" t="inlineStr">
        <is>
          <t>Restricted portal handling</t>
        </is>
      </c>
      <c r="E52" t="inlineStr">
        <is>
          <t>Manual queue</t>
        </is>
      </c>
      <c r="G52" t="inlineStr">
        <is>
          <t>Confidence scoring</t>
        </is>
      </c>
      <c r="H52" t="inlineStr">
        <is>
          <t>Enabled</t>
        </is>
      </c>
      <c r="J52" t="inlineStr">
        <is>
          <t>Live schedule</t>
        </is>
      </c>
      <c r="K52" t="inlineStr">
        <is>
          <t>08:00 IST</t>
        </is>
      </c>
    </row>
    <row r="53">
      <c r="G53" t="inlineStr">
        <is>
          <t>Production claim</t>
        </is>
      </c>
      <c r="H53" t="inlineStr">
        <is>
          <t>Requires live source testing</t>
        </is>
      </c>
      <c r="J53" t="inlineStr">
        <is>
          <t>Production approval</t>
        </is>
      </c>
      <c r="K53" t="inlineStr">
        <is>
          <t>After connector live tests</t>
        </is>
      </c>
    </row>
  </sheetData>
  <mergeCells count="22">
    <mergeCell ref="A9:H9"/>
    <mergeCell ref="J44:N44"/>
    <mergeCell ref="A15:N15"/>
    <mergeCell ref="D16:F16"/>
    <mergeCell ref="J34:N34"/>
    <mergeCell ref="J9:N9"/>
    <mergeCell ref="D5:F7"/>
    <mergeCell ref="D25:I25"/>
    <mergeCell ref="A5:C7"/>
    <mergeCell ref="G5:I7"/>
    <mergeCell ref="A3:N3"/>
    <mergeCell ref="G34:N34"/>
    <mergeCell ref="A44:F44"/>
    <mergeCell ref="J25:N25"/>
    <mergeCell ref="A34:F34"/>
    <mergeCell ref="D44:I44"/>
    <mergeCell ref="A1:N2"/>
    <mergeCell ref="D34:I34"/>
    <mergeCell ref="J5:L7"/>
    <mergeCell ref="G25:N25"/>
    <mergeCell ref="G44:N44"/>
    <mergeCell ref="A25:F2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Z501"/>
  <sheetViews>
    <sheetView workbookViewId="0">
      <selection activeCell="A1" sqref="A1"/>
    </sheetView>
  </sheetViews>
  <sheetFormatPr baseColWidth="8" defaultRowHeight="15"/>
  <cols>
    <col width="16" customWidth="1" style="64" min="1" max="1"/>
    <col width="16" customWidth="1" style="64" min="2" max="2"/>
    <col width="18" customWidth="1" style="64" min="3" max="3"/>
    <col width="16" customWidth="1" style="64" min="4" max="4"/>
    <col width="20" customWidth="1" style="64" min="5" max="5"/>
    <col width="18" customWidth="1" style="64" min="6" max="6"/>
    <col width="12" customWidth="1" style="64" min="7" max="7"/>
    <col width="14" customWidth="1" style="64" min="8" max="8"/>
    <col width="13" customWidth="1" style="64" min="9" max="9"/>
    <col width="25" customWidth="1" style="64" min="10" max="10"/>
    <col width="14" customWidth="1" style="64" min="11" max="11"/>
    <col width="16" customWidth="1" style="64" min="12" max="12"/>
    <col width="30" customWidth="1" style="64" min="13" max="13"/>
    <col width="16" customWidth="1" style="64" min="14" max="14"/>
    <col width="16" customWidth="1" style="64" min="15" max="15"/>
    <col width="16" customWidth="1" style="64" min="16" max="16"/>
    <col width="15" customWidth="1" style="64" min="17" max="17"/>
    <col width="16" customWidth="1" style="64" min="18" max="18"/>
    <col width="14" customWidth="1" style="64" min="19" max="19"/>
    <col width="32" customWidth="1" style="64" min="20" max="20"/>
    <col width="32" customWidth="1" style="64" min="21" max="21"/>
    <col width="34" customWidth="1" style="64" min="22" max="22"/>
    <col width="14" customWidth="1" style="64" min="23" max="23"/>
    <col width="16" customWidth="1" style="64" min="24" max="24"/>
    <col width="28" customWidth="1" style="64" min="25" max="25"/>
    <col width="15" customWidth="1" style="64" min="26" max="26"/>
    <col width="38" customWidth="1" style="64" min="27" max="27"/>
    <col width="20" customWidth="1" style="64" min="28" max="28"/>
    <col width="20" customWidth="1" style="64" min="29" max="29"/>
    <col width="18" customWidth="1" style="64" min="30" max="30"/>
    <col width="14" customWidth="1" style="64" min="31" max="31"/>
    <col width="22" customWidth="1" style="64" min="32" max="32"/>
    <col width="20" customWidth="1" style="64" min="33" max="33"/>
    <col width="28" customWidth="1" style="64" min="34" max="34"/>
    <col width="22" customWidth="1" style="64" min="35" max="35"/>
    <col width="48" customWidth="1" style="64" min="36" max="36"/>
    <col width="24" customWidth="1" style="64" min="37" max="37"/>
    <col width="38" customWidth="1" style="64" min="38" max="38"/>
    <col width="36" customWidth="1" style="64" min="39" max="39"/>
    <col width="38" customWidth="1" style="64" min="40" max="40"/>
    <col width="38" customWidth="1" style="64" min="41" max="41"/>
    <col width="34" customWidth="1" style="64" min="42" max="42"/>
    <col width="48" customWidth="1" style="64" min="43" max="43"/>
    <col width="28" customWidth="1" style="64" min="44" max="44"/>
    <col width="22" customWidth="1" style="64" min="45" max="45"/>
    <col width="44" customWidth="1" style="64" min="46" max="46"/>
    <col width="42" customWidth="1" style="64" min="47" max="47"/>
    <col width="48" customWidth="1" style="64" min="48" max="48"/>
    <col width="30" customWidth="1" style="64" min="49" max="49"/>
    <col width="24" customWidth="1" style="64" min="50" max="50"/>
    <col width="24" customWidth="1" style="64" min="51" max="51"/>
    <col width="24" customWidth="1" style="64" min="52" max="52"/>
  </cols>
  <sheetData>
    <row r="1">
      <c r="A1" s="44" t="inlineStr">
        <is>
          <t>Tender ID</t>
        </is>
      </c>
      <c r="B1" s="44" t="inlineStr">
        <is>
          <t>Category</t>
        </is>
      </c>
      <c r="C1" s="44" t="inlineStr">
        <is>
          <t>Agency</t>
        </is>
      </c>
      <c r="D1" s="44" t="inlineStr">
        <is>
          <t>State</t>
        </is>
      </c>
      <c r="E1" s="44" t="inlineStr">
        <is>
          <t>Tender Number</t>
        </is>
      </c>
      <c r="F1" s="44" t="inlineStr">
        <is>
          <t>Technology</t>
        </is>
      </c>
      <c r="G1" s="44" t="inlineStr">
        <is>
          <t>Capacity MW</t>
        </is>
      </c>
      <c r="H1" s="44" t="inlineStr">
        <is>
          <t>Storage Required</t>
        </is>
      </c>
      <c r="I1" s="44" t="inlineStr">
        <is>
          <t>Storage Hours</t>
        </is>
      </c>
      <c r="J1" s="44" t="inlineStr">
        <is>
          <t>Dispatch Condition</t>
        </is>
      </c>
      <c r="K1" s="44" t="inlineStr">
        <is>
          <t>Minimum PLF %</t>
        </is>
      </c>
      <c r="L1" s="44" t="inlineStr">
        <is>
          <t>EMD</t>
        </is>
      </c>
      <c r="M1" s="44" t="inlineStr">
        <is>
          <t>BG / PBG Conditions</t>
        </is>
      </c>
      <c r="N1" s="44" t="inlineStr">
        <is>
          <t>Bid Submission Date</t>
        </is>
      </c>
      <c r="O1" s="44" t="inlineStr">
        <is>
          <t>Technical Opening</t>
        </is>
      </c>
      <c r="P1" s="44" t="inlineStr">
        <is>
          <t>Financial Opening</t>
        </is>
      </c>
      <c r="Q1" s="44" t="inlineStr">
        <is>
          <t>Status</t>
        </is>
      </c>
      <c r="R1" s="44" t="inlineStr">
        <is>
          <t>Last Updated</t>
        </is>
      </c>
      <c r="S1" s="44" t="inlineStr">
        <is>
          <t>Corrigendum Count</t>
        </is>
      </c>
      <c r="T1" s="44" t="inlineStr">
        <is>
          <t>Tender URL</t>
        </is>
      </c>
      <c r="U1" s="44" t="inlineStr">
        <is>
          <t>Document URL</t>
        </is>
      </c>
      <c r="V1" s="44" t="inlineStr">
        <is>
          <t>Remarks</t>
        </is>
      </c>
      <c r="W1" s="69" t="inlineStr">
        <is>
          <t>Days to Deadline</t>
        </is>
      </c>
      <c r="X1" s="69" t="inlineStr">
        <is>
          <t>Deadline Alert</t>
        </is>
      </c>
      <c r="Y1" s="69" t="inlineStr">
        <is>
          <t>Duplicate Key</t>
        </is>
      </c>
      <c r="Z1" s="69" t="inlineStr">
        <is>
          <t>Duplicate Flag</t>
        </is>
      </c>
      <c r="AA1" s="69" t="inlineStr">
        <is>
          <t>Change Fingerprint</t>
        </is>
      </c>
      <c r="AB1" s="158" t="inlineStr">
        <is>
          <t>Verified On</t>
        </is>
      </c>
      <c r="AC1" s="158" t="inlineStr">
        <is>
          <t>Source Quality</t>
        </is>
      </c>
      <c r="AD1" s="158" t="inlineStr">
        <is>
          <t>Data Completeness</t>
        </is>
      </c>
      <c r="AE1" s="172" t="inlineStr">
        <is>
          <t>Evidence Score</t>
        </is>
      </c>
      <c r="AF1" s="172" t="inlineStr">
        <is>
          <t>Opportunity Class</t>
        </is>
      </c>
      <c r="AG1" s="200" t="inlineStr">
        <is>
          <t>Tender Notification Date</t>
        </is>
      </c>
      <c r="AH1" s="200" t="inlineStr">
        <is>
          <t>Corrigendum Date(s)</t>
        </is>
      </c>
      <c r="AI1" s="200" t="inlineStr">
        <is>
          <t>Latest Corrigendum Date</t>
        </is>
      </c>
      <c r="AJ1" s="200" t="inlineStr">
        <is>
          <t>Corrigendum Details</t>
        </is>
      </c>
      <c r="AK1" s="213" t="inlineStr">
        <is>
          <t>Procurement Model</t>
        </is>
      </c>
      <c r="AL1" s="213" t="inlineStr">
        <is>
          <t>Supply Window / Dispatch Selection</t>
        </is>
      </c>
      <c r="AM1" s="213" t="inlineStr">
        <is>
          <t>Daily Supply Obligation</t>
        </is>
      </c>
      <c r="AN1" s="213" t="inlineStr">
        <is>
          <t>Monthly Minimum / Reconciliation</t>
        </is>
      </c>
      <c r="AO1" s="213" t="inlineStr">
        <is>
          <t>Annual PLF / CUF / Energy Requirement</t>
        </is>
      </c>
      <c r="AP1" s="213" t="inlineStr">
        <is>
          <t>Allowed Shortfall / Availability Tolerance</t>
        </is>
      </c>
      <c r="AQ1" s="213" t="inlineStr">
        <is>
          <t>Under-Supply Penalty</t>
        </is>
      </c>
      <c r="AR1" s="213" t="inlineStr">
        <is>
          <t>External / Exchange Energy Allowed</t>
        </is>
      </c>
      <c r="AS1" s="213" t="inlineStr">
        <is>
          <t>Maximum External Energy</t>
        </is>
      </c>
      <c r="AT1" s="213" t="inlineStr">
        <is>
          <t>Charging / External Energy Conditions</t>
        </is>
      </c>
      <c r="AU1" s="213" t="inlineStr">
        <is>
          <t>Third-Party / Merchant Use</t>
        </is>
      </c>
      <c r="AV1" s="213" t="inlineStr">
        <is>
          <t>Detailed Source Document</t>
        </is>
      </c>
      <c r="AW1" s="213" t="inlineStr">
        <is>
          <t>Technical Review Status</t>
        </is>
      </c>
      <c r="AX1" s="279" t="inlineStr">
        <is>
          <t>First Seen By Automation</t>
        </is>
      </c>
      <c r="AY1" s="279" t="inlineStr">
        <is>
          <t>Last Seen By Automation</t>
        </is>
      </c>
      <c r="AZ1" s="232" t="inlineStr">
        <is>
          <t>Source Record Hash</t>
        </is>
      </c>
    </row>
    <row r="2">
      <c r="A2" s="37" t="inlineStr">
        <is>
          <t>MSEDCL-BESS-2000</t>
        </is>
      </c>
      <c r="B2" s="37" t="inlineStr">
        <is>
          <t>Maharashtra</t>
        </is>
      </c>
      <c r="C2" s="37" t="inlineStr">
        <is>
          <t>MSEDCL</t>
        </is>
      </c>
      <c r="D2" s="37" t="inlineStr">
        <is>
          <t>Maharashtra</t>
        </is>
      </c>
      <c r="E2" s="37" t="inlineStr">
        <is>
          <t>RfS-2000MW-4000MWh-BESS-2026</t>
        </is>
      </c>
      <c r="F2" s="37" t="inlineStr">
        <is>
          <t>BESS</t>
        </is>
      </c>
      <c r="G2" s="274" t="n">
        <v>2000</v>
      </c>
      <c r="H2" s="37" t="inlineStr">
        <is>
          <t>Yes</t>
        </is>
      </c>
      <c r="I2" s="37" t="n">
        <v>2</v>
      </c>
      <c r="J2" s="37" t="inlineStr">
        <is>
          <t>Tariff-based competitive bidding</t>
        </is>
      </c>
      <c r="K2" s="274" t="n"/>
      <c r="L2" s="37" t="n"/>
      <c r="M2" s="37" t="inlineStr">
        <is>
          <t>As per RfS</t>
        </is>
      </c>
      <c r="N2" s="280" t="n"/>
      <c r="O2" s="280" t="n"/>
      <c r="P2" s="280" t="n"/>
      <c r="Q2" s="280" t="inlineStr">
        <is>
          <t>Corrigendum</t>
        </is>
      </c>
      <c r="R2" s="280" t="n">
        <v>46236</v>
      </c>
      <c r="S2" s="37" t="n">
        <v>2</v>
      </c>
      <c r="T2" s="37" t="inlineStr">
        <is>
          <t>https://www.mahadiscom.in/en/supplier/tenders/</t>
        </is>
      </c>
      <c r="U2" s="37" t="n"/>
      <c r="V2" s="37" t="inlineStr">
        <is>
          <t>Corrigendum-2 published 22-Jul-2026; deadline not visible on listing</t>
        </is>
      </c>
      <c r="W2" s="278">
        <f>IF(N2="","",N2-TODAY())</f>
        <v/>
      </c>
      <c r="X2">
        <f>IF(W2="","",IF(W2&lt;0,"Expired",IF(W2&lt;=3,"Urgent",IF(W2&lt;=7,"Due in 7 Days","Normal"))))</f>
        <v/>
      </c>
      <c r="Y2">
        <f>UPPER(TRIM(C2&amp;"|"&amp;E2))</f>
        <v/>
      </c>
      <c r="Z2">
        <f>IF(Y2="","",IF(COUNTIF($Y$2:$Y$501,Y2)&gt;1,"Duplicate","Unique"))</f>
        <v/>
      </c>
      <c r="AA2">
        <f>IF(A5="","",C5&amp;"|"&amp;E5&amp;"|"&amp;TEXT(N5,"yyyymmdd")&amp;"|"&amp;Q5&amp;"|"&amp;S5&amp;"|"&amp;TEXT(AI5,"yyyymmdd"))</f>
        <v/>
      </c>
      <c r="AB2" s="281" t="n">
        <v>46236</v>
      </c>
      <c r="AC2" s="281" t="inlineStr">
        <is>
          <t>Official agency page</t>
        </is>
      </c>
      <c r="AD2" s="281" t="inlineStr">
        <is>
          <t>Partial</t>
        </is>
      </c>
      <c r="AE2" s="281">
        <f>IF(A5="","",IF(AC5="Official agency page",3,IF(AC5="Official government portal",3,IF(AC5="Official tender document",4,1)))+IF(AD5="Core fields",2,1))</f>
        <v/>
      </c>
      <c r="AF2" s="281">
        <f>IF(A5="","",IF(OR(Q5="Open",Q5="Extended"),"Current Opportunity",IF(Q5="Corrigendum","Needs Status Check",IF(Q5="Evaluation","Under Evaluation","Historical / Closed"))))</f>
        <v/>
      </c>
      <c r="AG2" s="281" t="n">
        <v>46203</v>
      </c>
      <c r="AH2" s="281" t="inlineStr">
        <is>
          <t>2026-07-07; 2026-07-22</t>
        </is>
      </c>
      <c r="AI2" s="281" t="n">
        <v>46225</v>
      </c>
      <c r="AJ2" t="inlineStr">
        <is>
          <t>Addendum-1 and Addendum-2 published 07-Jul-2026; Corrigendum-2 published 22-Jul-2026</t>
        </is>
      </c>
      <c r="AK2" t="inlineStr">
        <is>
          <t>Standalone BESS under tariff-based competitive bidding</t>
        </is>
      </c>
      <c r="AL2" t="inlineStr">
        <is>
          <t>Dispatch/charging schedule governed by RfS and BESPA</t>
        </is>
      </c>
      <c r="AM2" t="inlineStr">
        <is>
          <t>PLF is not applicable to standalone BESS; daily cycle and availability obligations require current 2026 RfS review</t>
        </is>
      </c>
      <c r="AN2" t="inlineStr">
        <is>
          <t>Monthly availability/payment condition not verified from accessible current document text</t>
        </is>
      </c>
      <c r="AO2" t="inlineStr">
        <is>
          <t>Annual PLF/CUF not applicable; annual availability requirement not verified</t>
        </is>
      </c>
      <c r="AP2" t="inlineStr">
        <is>
          <t>Not verified from accessible current 2026 document text</t>
        </is>
      </c>
      <c r="AQ2" t="inlineStr">
        <is>
          <t>Not verified from accessible current 2026 document text</t>
        </is>
      </c>
      <c r="AR2" t="inlineStr">
        <is>
          <t>Charging source and grid/exchange charging permission not verified</t>
        </is>
      </c>
      <c r="AS2" t="inlineStr">
        <is>
          <t>Not verified</t>
        </is>
      </c>
      <c r="AT2" t="inlineStr">
        <is>
          <t>Current 2026 tender and corrigenda are visible on MSEDCL, but detailed clauses require opening the RfS/corrigendum PDF</t>
        </is>
      </c>
      <c r="AU2" t="inlineStr">
        <is>
          <t>Merchant-use rights not verified</t>
        </is>
      </c>
      <c r="AV2" t="inlineStr">
        <is>
          <t>https://www.mahadiscom.in/en/supplier/tenders/</t>
        </is>
      </c>
      <c r="AW2" t="inlineStr">
        <is>
          <t>Tender confirmed; commercial clause extraction pending</t>
        </is>
      </c>
      <c r="AY2" s="282" t="n">
        <v>46312.30972229487</v>
      </c>
    </row>
    <row r="3">
      <c r="A3" s="37" t="inlineStr">
        <is>
          <t>SECI000240</t>
        </is>
      </c>
      <c r="B3" s="37" t="inlineStr">
        <is>
          <t>Central</t>
        </is>
      </c>
      <c r="C3" s="37" t="inlineStr">
        <is>
          <t>SECI</t>
        </is>
      </c>
      <c r="D3" s="37" t="n"/>
      <c r="E3" s="37" t="inlineStr">
        <is>
          <t>SECI/C&amp;P/IPP/13/0020/25-26</t>
        </is>
      </c>
      <c r="F3" s="37" t="inlineStr">
        <is>
          <t>FDRE</t>
        </is>
      </c>
      <c r="G3" s="274" t="n">
        <v>1000</v>
      </c>
      <c r="H3" s="37" t="inlineStr">
        <is>
          <t>No</t>
        </is>
      </c>
      <c r="I3" s="37" t="n"/>
      <c r="J3" s="37" t="n"/>
      <c r="K3" s="274" t="n"/>
      <c r="L3" s="37" t="n"/>
      <c r="M3" s="37" t="n"/>
      <c r="N3" s="280" t="n"/>
      <c r="O3" s="280" t="n"/>
      <c r="P3" s="280" t="n"/>
      <c r="Q3" s="280" t="inlineStr">
        <is>
          <t>Open</t>
        </is>
      </c>
      <c r="R3" s="280" t="n">
        <v>46237.26024921297</v>
      </c>
      <c r="S3" s="37" t="n">
        <v>0</v>
      </c>
      <c r="T3" s="37" t="inlineStr">
        <is>
          <t>https://www.seci.co.in/tender-details/YmZ3</t>
        </is>
      </c>
      <c r="U3" s="37" t="n"/>
      <c r="V3" s="37" t="inlineStr">
        <is>
          <t xml:space="preserve"> | SECI000240 | SECI-2026-TN000004 | SECI/C&amp;P/IPP/13/0020/25-26 | RfS for Supply of 1000 MW Firm and Dispatchable Renewable Energy Round-the-Clock (FDRE-RTC) Power from ISTS-Connected RE Power Projects in India (SECI-FDRE-RTC-V) | 10/03/2026 | 20/07/2026 | View Details  | SECI000240 | SECI-2026-TN000004 | SECI/C&amp;P/IPP/13/0020/25-26 | RfS for Supply of 1000 MW Firm and Dispatchable Renewable Energy Round-the-Clock (FDRE-RTC) Power from ISTS-Connected RE Power Projects in India (SECI-FDRE-RTC-V) | 10/03/2026 | 20/07/2026 | View Details</t>
        </is>
      </c>
      <c r="W3" s="278">
        <f>IF(N3="","",N3-TODAY())</f>
        <v/>
      </c>
      <c r="X3">
        <f>IF(W3="","",IF(W3&lt;0,"Expired",IF(W3&lt;=3,"Urgent",IF(W3&lt;=7,"Due in 7 Days","Normal"))))</f>
        <v/>
      </c>
      <c r="Y3">
        <f>UPPER(TRIM(C3&amp;"|"&amp;E3))</f>
        <v/>
      </c>
      <c r="Z3">
        <f>IF(Y3="","",IF(COUNTIF($Y$2:$Y$501,Y3)&gt;1,"Duplicate","Unique"))</f>
        <v/>
      </c>
      <c r="AB3" s="281" t="n"/>
      <c r="AC3" s="281" t="inlineStr">
        <is>
          <t>Official agency page</t>
        </is>
      </c>
      <c r="AD3" s="281" t="n"/>
      <c r="AE3" s="281" t="n"/>
      <c r="AF3" s="281" t="n"/>
      <c r="AG3" s="281" t="n"/>
      <c r="AH3" s="281" t="n"/>
      <c r="AI3" s="281" t="n"/>
      <c r="AX3" s="282" t="n">
        <v>46237.26024921297</v>
      </c>
      <c r="AY3" s="282" t="n">
        <v>46312.30972229487</v>
      </c>
      <c r="AZ3" t="inlineStr">
        <is>
          <t>014f0276d0bedb946c97bc1d31fd766e19a14673016f74b3288a3d56aab0e824</t>
        </is>
      </c>
    </row>
    <row r="4">
      <c r="A4" s="37" t="inlineStr">
        <is>
          <t>SECI000258</t>
        </is>
      </c>
      <c r="B4" s="37" t="inlineStr">
        <is>
          <t>Central</t>
        </is>
      </c>
      <c r="C4" s="37" t="inlineStr">
        <is>
          <t>SECI</t>
        </is>
      </c>
      <c r="D4" s="37" t="n"/>
      <c r="E4" s="37" t="inlineStr">
        <is>
          <t>SECI/C&amp;P/IPP/13/0006/26-27</t>
        </is>
      </c>
      <c r="F4" s="37" t="inlineStr">
        <is>
          <t>FDRE</t>
        </is>
      </c>
      <c r="G4" s="274" t="n">
        <v>1500</v>
      </c>
      <c r="H4" s="37" t="inlineStr">
        <is>
          <t>Yes</t>
        </is>
      </c>
      <c r="I4" s="37" t="n">
        <v>4</v>
      </c>
      <c r="J4" s="37" t="n"/>
      <c r="K4" s="274" t="n"/>
      <c r="L4" s="37" t="n"/>
      <c r="M4" s="37" t="n"/>
      <c r="N4" s="280" t="n"/>
      <c r="O4" s="280" t="n"/>
      <c r="P4" s="280" t="n"/>
      <c r="Q4" s="280" t="inlineStr">
        <is>
          <t>Open</t>
        </is>
      </c>
      <c r="R4" s="280" t="n">
        <v>46243.17686518518</v>
      </c>
      <c r="S4" s="37" t="n">
        <v>0</v>
      </c>
      <c r="T4" s="37" t="inlineStr">
        <is>
          <t>https://www.seci.co.in/tender-details/Ymd_</t>
        </is>
      </c>
      <c r="U4" s="37" t="n"/>
      <c r="V4" s="37" t="inlineStr">
        <is>
          <t xml:space="preserve"> | SECI000258 | SECI-2026-TN000014 | SECI/C&amp;P/IPP/13/0006/26-27 | RfS for assured Peak Supply of 6000 MWh (1500 MW x 4 Hrs.) from ISTS-Connected RE Projects (SECI-FDRE-IX) | 05/06/2026 | 07/08/2026 | View Details  | SECI000258 | SECI-2026-TN000014 | SECI/C&amp;P/IPP/13/0006/26-27 | RfS for assured Peak Supply of 6000 MWh (1500 MW x 4 Hrs.) from ISTS-Connected RE Projects (SECI-FDRE-IX) | 05/06/2026 | 07/08/2026 | View Details</t>
        </is>
      </c>
      <c r="W4" s="278">
        <f>IF(N4="","",N4-TODAY())</f>
        <v/>
      </c>
      <c r="X4">
        <f>IF(W4="","",IF(W4&lt;0,"Expired",IF(W4&lt;=3,"Urgent",IF(W4&lt;=7,"Due in 7 Days","Normal"))))</f>
        <v/>
      </c>
      <c r="Y4">
        <f>UPPER(TRIM(C4&amp;"|"&amp;E4))</f>
        <v/>
      </c>
      <c r="Z4">
        <f>IF(Y4="","",IF(COUNTIF($Y$2:$Y$501,Y4)&gt;1,"Duplicate","Unique"))</f>
        <v/>
      </c>
      <c r="AB4" s="281" t="n"/>
      <c r="AC4" s="281" t="inlineStr">
        <is>
          <t>Official agency page</t>
        </is>
      </c>
      <c r="AD4" s="281" t="n"/>
      <c r="AE4" s="281" t="n"/>
      <c r="AF4" s="281" t="n"/>
      <c r="AG4" s="281" t="n"/>
      <c r="AH4" s="281" t="n"/>
      <c r="AI4" s="281" t="n"/>
      <c r="AX4" s="282" t="n">
        <v>46243.17686518518</v>
      </c>
      <c r="AY4" s="282" t="n">
        <v>46312.30972229487</v>
      </c>
      <c r="AZ4" t="inlineStr">
        <is>
          <t>63f0892f32e39002cd45d1e3a78c55637433070adc204427287bd864299eff80</t>
        </is>
      </c>
    </row>
    <row r="5">
      <c r="A5" s="37" t="inlineStr">
        <is>
          <t>SECI000278</t>
        </is>
      </c>
      <c r="B5" s="37" t="inlineStr">
        <is>
          <t>Central</t>
        </is>
      </c>
      <c r="C5" s="37" t="inlineStr">
        <is>
          <t>SECI</t>
        </is>
      </c>
      <c r="D5" s="37" t="n"/>
      <c r="E5" s="37" t="inlineStr">
        <is>
          <t>SECI/C&amp;P/IPP/15/0009/26-27</t>
        </is>
      </c>
      <c r="F5" s="37" t="inlineStr">
        <is>
          <t>Solar</t>
        </is>
      </c>
      <c r="G5" s="274" t="n">
        <v>700</v>
      </c>
      <c r="H5" s="37" t="inlineStr">
        <is>
          <t>No</t>
        </is>
      </c>
      <c r="I5" s="37" t="n"/>
      <c r="J5" s="37" t="n"/>
      <c r="K5" s="274" t="n"/>
      <c r="L5" s="37" t="n"/>
      <c r="M5" s="37" t="n"/>
      <c r="N5" s="280" t="n"/>
      <c r="O5" s="280" t="n"/>
      <c r="P5" s="280" t="n"/>
      <c r="Q5" s="280" t="inlineStr">
        <is>
          <t>Open</t>
        </is>
      </c>
      <c r="R5" s="280" t="n">
        <v>46269.31819381945</v>
      </c>
      <c r="S5" s="37" t="n">
        <v>0</v>
      </c>
      <c r="T5" s="37" t="inlineStr">
        <is>
          <t>https://www.seci.co.in/tender-details/YmV_</t>
        </is>
      </c>
      <c r="U5" s="37" t="n"/>
      <c r="V5" s="37" t="inlineStr">
        <is>
          <t xml:space="preserve"> | SECI000278 | SECI-2026-TN000027 | SECI/C&amp;P/IPP/15/0009/26-27 | 700 MW ISTS-Connected Solar PV Power Projects in India under TBCB (C&amp;I-1) | 03/09/2026 | 30/10/2026 | View Details  | SECI000278 | SECI-2026-TN000027 | SECI/C&amp;P/IPP/15/0009/26-27 | 700 MW ISTS-Connected Solar PV Power Projects in India under TBCB (C&amp;I-1) | 03/09/2026 | 30/10/2026 | View Details</t>
        </is>
      </c>
      <c r="W5" s="278">
        <f>IF(N5="","",N5-TODAY())</f>
        <v/>
      </c>
      <c r="X5">
        <f>IF(W5="","",IF(W5&lt;0,"Expired",IF(W5&lt;=3,"Urgent",IF(W5&lt;=7,"Due in 7 Days","Normal"))))</f>
        <v/>
      </c>
      <c r="Y5">
        <f>UPPER(TRIM(C5&amp;"|"&amp;E5))</f>
        <v/>
      </c>
      <c r="Z5">
        <f>IF(Y5="","",IF(COUNTIF($Y$2:$Y$501,Y5)&gt;1,"Duplicate","Unique"))</f>
        <v/>
      </c>
      <c r="AB5" s="281" t="n"/>
      <c r="AC5" s="281" t="inlineStr">
        <is>
          <t>Official agency page</t>
        </is>
      </c>
      <c r="AD5" s="281" t="n"/>
      <c r="AE5" s="281" t="n"/>
      <c r="AF5" s="281" t="n"/>
      <c r="AG5" s="281" t="n"/>
      <c r="AH5" s="281" t="inlineStr"/>
      <c r="AI5" s="281" t="n"/>
      <c r="AX5" s="282" t="n">
        <v>46269.31819381945</v>
      </c>
      <c r="AY5" s="282" t="n">
        <v>46312.30972229487</v>
      </c>
      <c r="AZ5" t="inlineStr">
        <is>
          <t>7824665aa0c60055256886b7aaf5ac91b1463e7827e8addcf186fc53ed5c458b</t>
        </is>
      </c>
    </row>
    <row r="6">
      <c r="A6" s="37" t="inlineStr">
        <is>
          <t>SECI000286</t>
        </is>
      </c>
      <c r="B6" s="37" t="inlineStr">
        <is>
          <t>Central</t>
        </is>
      </c>
      <c r="C6" s="37" t="inlineStr">
        <is>
          <t>SECI</t>
        </is>
      </c>
      <c r="D6" s="37" t="n"/>
      <c r="E6" s="37" t="inlineStr">
        <is>
          <t>SECI/C&amp;P/IPP/15/0010/26-27</t>
        </is>
      </c>
      <c r="F6" s="37" t="inlineStr">
        <is>
          <t>BESS</t>
        </is>
      </c>
      <c r="G6" s="274" t="n">
        <v>800</v>
      </c>
      <c r="H6" s="37" t="inlineStr">
        <is>
          <t>Yes</t>
        </is>
      </c>
      <c r="I6" s="37" t="n">
        <v>4</v>
      </c>
      <c r="J6" s="37" t="n"/>
      <c r="K6" s="274" t="n"/>
      <c r="L6" s="37" t="n"/>
      <c r="M6" s="37" t="n"/>
      <c r="N6" s="280" t="n"/>
      <c r="O6" s="280" t="n"/>
      <c r="P6" s="280" t="n"/>
      <c r="Q6" s="280" t="inlineStr">
        <is>
          <t>Open</t>
        </is>
      </c>
      <c r="R6" s="280" t="n">
        <v>46297.38071684028</v>
      </c>
      <c r="S6" s="37" t="n">
        <v>0</v>
      </c>
      <c r="T6" s="37" t="inlineStr">
        <is>
          <t>https://www.seci.co.in/tender-details/Ympx</t>
        </is>
      </c>
      <c r="U6" s="37" t="n"/>
      <c r="V6" s="37" t="inlineStr">
        <is>
          <t xml:space="preserve"> | SECI000286 | SECI-2026-TN000032 | SECI/C&amp;P/IPP/15/0010/26-27 | RfS for Supply of Energy from 800 MW/ 3200 MWh Standalone Battery Energy Storage Systems in India (SECI-ESS-IV) | 01/10/2026 | 30/10/2026 | View Details  | SECI000286 | SECI-2026-TN000032 | SECI/C&amp;P/IPP/15/0010/26-27 | RfS for Supply of Energy from 800 MW/ 3200 MWh Standalone Battery Energy Storage Systems in India (SECI-ESS-IV) | 01/10/2026 | 30/10/2026 | View Details</t>
        </is>
      </c>
      <c r="W6" s="278">
        <f>IF(N6="","",N6-TODAY())</f>
        <v/>
      </c>
      <c r="X6">
        <f>IF(W6="","",IF(W6&lt;0,"Expired",IF(W6&lt;=3,"Urgent",IF(W6&lt;=7,"Due in 7 Days","Normal"))))</f>
        <v/>
      </c>
      <c r="Y6">
        <f>UPPER(TRIM(C6&amp;"|"&amp;E6))</f>
        <v/>
      </c>
      <c r="Z6">
        <f>IF(Y6="","",IF(COUNTIF($Y$2:$Y$501,Y6)&gt;1,"Duplicate","Unique"))</f>
        <v/>
      </c>
      <c r="AB6" s="281" t="n"/>
      <c r="AC6" s="281" t="inlineStr">
        <is>
          <t>Official agency page</t>
        </is>
      </c>
      <c r="AD6" s="281" t="n"/>
      <c r="AE6" s="281" t="n"/>
      <c r="AF6" s="281" t="n"/>
      <c r="AG6" s="281" t="n"/>
      <c r="AH6" s="281" t="inlineStr"/>
      <c r="AI6" s="281" t="n"/>
      <c r="AX6" s="282" t="n">
        <v>46297.38071684028</v>
      </c>
      <c r="AY6" s="282" t="n">
        <v>46312.30972229487</v>
      </c>
      <c r="AZ6" t="inlineStr">
        <is>
          <t>8038b9c673b234232243712421a064fdc5564f83be927e06286a43463e83fb1b</t>
        </is>
      </c>
    </row>
    <row r="7">
      <c r="A7" s="37" t="inlineStr">
        <is>
          <t>SECI000289</t>
        </is>
      </c>
      <c r="B7" s="37" t="inlineStr">
        <is>
          <t>Central</t>
        </is>
      </c>
      <c r="C7" s="37" t="inlineStr">
        <is>
          <t>SECI</t>
        </is>
      </c>
      <c r="D7" s="37" t="n"/>
      <c r="E7" s="37" t="inlineStr">
        <is>
          <t>SECI/C&amp;P/IPP/13/0012/26-27</t>
        </is>
      </c>
      <c r="F7" s="37" t="inlineStr">
        <is>
          <t>FDRE</t>
        </is>
      </c>
      <c r="G7" s="274" t="n">
        <v>1200</v>
      </c>
      <c r="H7" s="37" t="inlineStr">
        <is>
          <t>Yes</t>
        </is>
      </c>
      <c r="I7" s="37" t="n">
        <v>4</v>
      </c>
      <c r="J7" s="37" t="n"/>
      <c r="K7" s="274" t="n"/>
      <c r="L7" s="37" t="n"/>
      <c r="M7" s="37" t="n"/>
      <c r="N7" s="280" t="n"/>
      <c r="O7" s="280" t="n"/>
      <c r="P7" s="280" t="n"/>
      <c r="Q7" s="280" t="inlineStr">
        <is>
          <t>Open</t>
        </is>
      </c>
      <c r="R7" s="280" t="n">
        <v>46303.40137706019</v>
      </c>
      <c r="S7" s="37" t="n">
        <v>0</v>
      </c>
      <c r="T7" s="37" t="inlineStr">
        <is>
          <t>https://www.seci.co.in/tender-details/Ymp-</t>
        </is>
      </c>
      <c r="U7" s="37" t="n"/>
      <c r="V7" s="37" t="inlineStr">
        <is>
          <t xml:space="preserve"> | SECI000289 | SECI-2026-TN000035 | SECI/C&amp;P/IPP/13/0012/26-27 | RfS for Assured Peak Supply of 4800 MWh (1200 MW x 4 Hrs.) from ISTS-Connected RE Projects in India (SECI-FDRE-X) | 07/10/2026 | 29/10/2026 | View Details  | SECI000289 | SECI-2026-TN000035 | SECI/C&amp;P/IPP/13/0012/26-27 | RfS for Assured Peak Supply of 4800 MWh (1200 MW x 4 Hrs.) from ISTS-Connected RE Projects in India (SECI-FDRE-X) | 07/10/2026 | 29/10/2026 | View Details</t>
        </is>
      </c>
      <c r="W7" s="278">
        <f>IF(N7="","",N7-TODAY())</f>
        <v/>
      </c>
      <c r="X7">
        <f>IF(W7="","",IF(W7&lt;0,"Expired",IF(W7&lt;=3,"Urgent",IF(W7&lt;=7,"Due in 7 Days","Normal"))))</f>
        <v/>
      </c>
      <c r="Y7">
        <f>UPPER(TRIM(C7&amp;"|"&amp;E7))</f>
        <v/>
      </c>
      <c r="Z7">
        <f>IF(Y7="","",IF(COUNTIF($Y$2:$Y$501,Y7)&gt;1,"Duplicate","Unique"))</f>
        <v/>
      </c>
      <c r="AB7" s="281" t="n"/>
      <c r="AC7" s="281" t="inlineStr">
        <is>
          <t>Official agency page</t>
        </is>
      </c>
      <c r="AD7" s="281" t="n"/>
      <c r="AE7" s="281" t="n"/>
      <c r="AF7" s="281" t="n"/>
      <c r="AG7" s="281" t="n"/>
      <c r="AH7" s="281" t="inlineStr"/>
      <c r="AI7" s="281" t="n"/>
      <c r="AX7" s="282" t="n">
        <v>46303.40137706019</v>
      </c>
      <c r="AY7" s="282" t="n">
        <v>46312.30972229487</v>
      </c>
      <c r="AZ7" t="inlineStr">
        <is>
          <t>ddea91e8920c6f05a00cb8c5c42f00b52d1ec41a1a9f1c7b1fe735c184d95d52</t>
        </is>
      </c>
    </row>
    <row r="8">
      <c r="A8" s="37" t="inlineStr">
        <is>
          <t>SECI000288</t>
        </is>
      </c>
      <c r="B8" s="37" t="inlineStr">
        <is>
          <t>Central</t>
        </is>
      </c>
      <c r="C8" s="37" t="inlineStr">
        <is>
          <t>SECI</t>
        </is>
      </c>
      <c r="D8" s="37" t="n"/>
      <c r="E8" s="37" t="inlineStr">
        <is>
          <t>SECI/C&amp;P/IPP/12/0011/26-27</t>
        </is>
      </c>
      <c r="F8" s="37" t="inlineStr">
        <is>
          <t>Wind</t>
        </is>
      </c>
      <c r="G8" s="274" t="n">
        <v>1200</v>
      </c>
      <c r="H8" s="37" t="inlineStr">
        <is>
          <t>No</t>
        </is>
      </c>
      <c r="I8" s="37" t="n"/>
      <c r="J8" s="37" t="n"/>
      <c r="K8" s="274" t="n"/>
      <c r="L8" s="37" t="n"/>
      <c r="M8" s="37" t="n"/>
      <c r="N8" s="280" t="n"/>
      <c r="O8" s="280" t="n"/>
      <c r="P8" s="280" t="n"/>
      <c r="Q8" s="280" t="inlineStr">
        <is>
          <t>Open</t>
        </is>
      </c>
      <c r="R8" s="280" t="n">
        <v>46303.40137706019</v>
      </c>
      <c r="S8" s="37" t="n">
        <v>0</v>
      </c>
      <c r="T8" s="37" t="inlineStr">
        <is>
          <t>https://www.seci.co.in/tender-details/Ymp_</t>
        </is>
      </c>
      <c r="U8" s="37" t="n"/>
      <c r="V8" s="37" t="inlineStr">
        <is>
          <t xml:space="preserve"> | SECI000288 | SECI-2026-TN000034 | SECI/C&amp;P/IPP/12/0011/26-27 | RfS for 1200 MW ISTS-Connected Wind Power Projects in India (SECI-Tranche-XXI) | 07/10/2026 | 29/10/2026 | View Details  | SECI000288 | SECI-2026-TN000034 | SECI/C&amp;P/IPP/12/0011/26-27 | RfS for 1200 MW ISTS-Connected Wind Power Projects in India (SECI-Tranche-XXI) | 07/10/2026 | 29/10/2026 | View Details</t>
        </is>
      </c>
      <c r="W8" s="278">
        <f>IF(N8="","",N8-TODAY())</f>
        <v/>
      </c>
      <c r="X8">
        <f>IF(W8="","",IF(W8&lt;0,"Expired",IF(W8&lt;=3,"Urgent",IF(W8&lt;=7,"Due in 7 Days","Normal"))))</f>
        <v/>
      </c>
      <c r="Y8">
        <f>UPPER(TRIM(C8&amp;"|"&amp;E8))</f>
        <v/>
      </c>
      <c r="Z8">
        <f>IF(Y8="","",IF(COUNTIF($Y$2:$Y$501,Y8)&gt;1,"Duplicate","Unique"))</f>
        <v/>
      </c>
      <c r="AB8" s="281" t="n"/>
      <c r="AC8" s="281" t="inlineStr">
        <is>
          <t>Official agency page</t>
        </is>
      </c>
      <c r="AD8" s="281" t="n"/>
      <c r="AE8" s="281" t="n"/>
      <c r="AF8" s="281" t="n"/>
      <c r="AG8" s="281" t="n"/>
      <c r="AH8" s="281" t="inlineStr"/>
      <c r="AI8" s="281" t="n"/>
      <c r="AX8" s="282" t="n">
        <v>46303.40137706019</v>
      </c>
      <c r="AY8" s="282" t="n">
        <v>46312.30972229487</v>
      </c>
      <c r="AZ8" t="inlineStr">
        <is>
          <t>f78fab2d611bb0aa5e5cdc279685f3e2481353c8068bd750e95f5eb4b8948c8f</t>
        </is>
      </c>
    </row>
    <row r="9">
      <c r="A9" s="37" t="n"/>
      <c r="B9" s="37" t="inlineStr">
        <is>
          <t>Central</t>
        </is>
      </c>
      <c r="C9" s="37" t="inlineStr">
        <is>
          <t>NTPC REL</t>
        </is>
      </c>
      <c r="D9" s="37" t="n"/>
      <c r="E9" s="37" t="inlineStr">
        <is>
          <t>3</t>
        </is>
      </c>
      <c r="F9" s="37" t="inlineStr">
        <is>
          <t>Solar</t>
        </is>
      </c>
      <c r="G9" s="274" t="n">
        <v>2100</v>
      </c>
      <c r="H9" s="37" t="inlineStr">
        <is>
          <t>No</t>
        </is>
      </c>
      <c r="I9" s="37" t="n"/>
      <c r="J9" s="37" t="n"/>
      <c r="K9" s="274" t="n"/>
      <c r="L9" s="37" t="n"/>
      <c r="M9" s="37" t="n"/>
      <c r="N9" s="280" t="n"/>
      <c r="O9" s="280" t="n"/>
      <c r="P9" s="280" t="n"/>
      <c r="Q9" s="280" t="inlineStr">
        <is>
          <t>Open</t>
        </is>
      </c>
      <c r="R9" s="280" t="n">
        <v>46312.30972229487</v>
      </c>
      <c r="S9" s="37" t="n"/>
      <c r="T9" s="37" t="inlineStr">
        <is>
          <t>https://ntpctender.ntpc.co.in/NITDetails/NITs/30370</t>
        </is>
      </c>
      <c r="U9" s="37" t="inlineStr"/>
      <c r="V9" s="37" t="inlineStr">
        <is>
          <t>SUPPLY OF SOLAR PV MODULES FOR 2100MW SOLAR PV PROJECT OF NTPC REL AT FATEHGARH AND BIKANER, RAJASTHAN (opens in a new tab) Renewable Energy 3 | NRE-CS-5800-004(MOD-01)-9 | SUPPLY OF SOLAR PV MODULES FOR 2100MW SOLAR PV PROJECT OF NTPC REL AT FATEHGARH AND BIKANER, RAJASTHAN (opens in a new tab) Renewable Energy | Renewable Energy | 24 Oct 2026 5:00 PM | View tender NRE-CS-5800-004(MOD-01)-9 (opens in a new tab)</t>
        </is>
      </c>
      <c r="W9" s="278">
        <f>IF(N9="","",N9-TODAY())</f>
        <v/>
      </c>
      <c r="X9">
        <f>IF(W9="","",IF(W9&lt;0,"Expired",IF(W9&lt;=3,"Urgent",IF(W9&lt;=7,"Due in 7 Days","Normal"))))</f>
        <v/>
      </c>
      <c r="Y9">
        <f>UPPER(TRIM(C9&amp;"|"&amp;E9))</f>
        <v/>
      </c>
      <c r="Z9">
        <f>IF(Y9="","",IF(COUNTIF($Y$2:$Y$501,Y9)&gt;1,"Duplicate","Unique"))</f>
        <v/>
      </c>
      <c r="AB9" s="281" t="n"/>
      <c r="AC9" s="281" t="inlineStr">
        <is>
          <t>Official agency page</t>
        </is>
      </c>
      <c r="AD9" s="281" t="n"/>
      <c r="AE9" s="281" t="n"/>
      <c r="AF9" s="281" t="n"/>
      <c r="AG9" s="281" t="n"/>
      <c r="AH9" s="281" t="n"/>
      <c r="AI9" s="281" t="n"/>
      <c r="AX9" s="282" t="n">
        <v>46312.30972229487</v>
      </c>
      <c r="AY9" s="282" t="n">
        <v>46312.30972229487</v>
      </c>
      <c r="AZ9" t="inlineStr">
        <is>
          <t>372580ad68a1cb8f4796f1cc1acb5446dafd8bd8354920b25faf1fff320cf32b</t>
        </is>
      </c>
    </row>
    <row r="10">
      <c r="A10" s="37" t="n"/>
      <c r="B10" s="37" t="inlineStr">
        <is>
          <t>Central</t>
        </is>
      </c>
      <c r="C10" s="37" t="inlineStr">
        <is>
          <t>NTPC REL</t>
        </is>
      </c>
      <c r="D10" s="37" t="n"/>
      <c r="E10" s="37" t="inlineStr">
        <is>
          <t>4</t>
        </is>
      </c>
      <c r="F10" s="37" t="inlineStr">
        <is>
          <t>Solar</t>
        </is>
      </c>
      <c r="G10" s="274" t="n">
        <v>300</v>
      </c>
      <c r="H10" s="37" t="inlineStr">
        <is>
          <t>No</t>
        </is>
      </c>
      <c r="I10" s="37" t="n"/>
      <c r="J10" s="37" t="n"/>
      <c r="K10" s="274" t="n"/>
      <c r="L10" s="37" t="n"/>
      <c r="M10" s="37" t="n"/>
      <c r="N10" s="280" t="n"/>
      <c r="O10" s="280" t="n"/>
      <c r="P10" s="280" t="n"/>
      <c r="Q10" s="280" t="inlineStr">
        <is>
          <t>Open</t>
        </is>
      </c>
      <c r="R10" s="280" t="n">
        <v>46312.30972229487</v>
      </c>
      <c r="S10" s="37" t="n"/>
      <c r="T10" s="37" t="inlineStr">
        <is>
          <t>https://ntpctender.ntpc.co.in/NITDetails/NITs/30348</t>
        </is>
      </c>
      <c r="U10" s="37" t="inlineStr"/>
      <c r="V10" s="37" t="inlineStr">
        <is>
          <t>Hiring of One No. Vehicle for NTPC REL Anta 300 MW Solar PV Project. (opens in a new tab) Renewable Energy 4 | GEM/2026/B/8127645 | Hiring of One No. Vehicle for NTPC REL Anta 300 MW Solar PV Project. (opens in a new tab) Renewable Energy | Renewable Energy | 17 Oct 2026 2:00 PM | View tender GEM/2026/B/8127645 (opens in a new tab)</t>
        </is>
      </c>
      <c r="W10" s="278">
        <f>IF(N10="","",N10-TODAY())</f>
        <v/>
      </c>
      <c r="X10">
        <f>IF(W10="","",IF(W10&lt;0,"Expired",IF(W10&lt;=3,"Urgent",IF(W10&lt;=7,"Due in 7 Days","Normal"))))</f>
        <v/>
      </c>
      <c r="Y10">
        <f>UPPER(TRIM(C10&amp;"|"&amp;E10))</f>
        <v/>
      </c>
      <c r="Z10">
        <f>IF(Y10="","",IF(COUNTIF($Y$2:$Y$501,Y10)&gt;1,"Duplicate","Unique"))</f>
        <v/>
      </c>
      <c r="AB10" s="281" t="n"/>
      <c r="AC10" s="281" t="inlineStr">
        <is>
          <t>Official agency page</t>
        </is>
      </c>
      <c r="AD10" s="281" t="n"/>
      <c r="AE10" s="281" t="n"/>
      <c r="AF10" s="281" t="n"/>
      <c r="AG10" s="281" t="n"/>
      <c r="AH10" s="281" t="n"/>
      <c r="AI10" s="281" t="n"/>
      <c r="AX10" s="282" t="n">
        <v>46312.30972229487</v>
      </c>
      <c r="AY10" s="282" t="n">
        <v>46312.30972229487</v>
      </c>
      <c r="AZ10" t="inlineStr">
        <is>
          <t>a945264e4131654c5d86b9f70b4d450271c4f3c4081401857ff09f9c29e284eb</t>
        </is>
      </c>
    </row>
    <row r="11">
      <c r="A11" s="37" t="n"/>
      <c r="B11" s="37" t="inlineStr">
        <is>
          <t>Central</t>
        </is>
      </c>
      <c r="C11" s="37" t="inlineStr">
        <is>
          <t>NTPC REL</t>
        </is>
      </c>
      <c r="D11" s="37" t="n"/>
      <c r="E11" s="37" t="inlineStr">
        <is>
          <t>5</t>
        </is>
      </c>
      <c r="F11" s="37" t="inlineStr">
        <is>
          <t>Other</t>
        </is>
      </c>
      <c r="G11" s="274" t="n">
        <v>500</v>
      </c>
      <c r="H11" s="37" t="inlineStr">
        <is>
          <t>Yes</t>
        </is>
      </c>
      <c r="I11" s="37" t="n">
        <v>6</v>
      </c>
      <c r="J11" s="37" t="n"/>
      <c r="K11" s="274" t="n"/>
      <c r="L11" s="37" t="n"/>
      <c r="M11" s="37" t="n"/>
      <c r="N11" s="280" t="n"/>
      <c r="O11" s="280" t="n"/>
      <c r="P11" s="280" t="n"/>
      <c r="Q11" s="280" t="inlineStr">
        <is>
          <t>Open</t>
        </is>
      </c>
      <c r="R11" s="280" t="n">
        <v>46312.30972229487</v>
      </c>
      <c r="S11" s="37" t="n"/>
      <c r="T11" s="37" t="inlineStr">
        <is>
          <t>https://ntpctender.ntpc.co.in/NITDetails/NITs/30322</t>
        </is>
      </c>
      <c r="U11" s="37" t="inlineStr"/>
      <c r="V11" s="37" t="inlineStr">
        <is>
          <t>PROCUREMENT OF ISTS-CONNECTED PUMPED HYDRO ENERGY STORAGE OF 2,000 MW / 12,000 MWH, WITH MINIMUM 500 MW / 3000 MWH AT A SINGLE LOCATION, UNDER SERVICE MODE (ANYWHERE IN INDIA) (opens in a new tab) Renewable Energy 5 | NRE-CS-2026-27-0000-SER-1 | PROCUREMENT OF ISTS-CONNECTED PUMPED HYDRO ENERGY STORAGE OF 2,000 MW / 12,000 MWH, WITH MINIMUM 500 MW / 3000 MWH AT A SINGLE LOCATION, UNDER SERVICE MODE (ANYWHERE IN INDIA) (opens in a new tab) Renewable Energy | Renewable Energy | 19 Oct 2026 5:00 PM | View tender NRE-CS-2026-27-0000-SER-1 (opens in a new tab)</t>
        </is>
      </c>
      <c r="W11" s="278">
        <f>IF(N11="","",N11-TODAY())</f>
        <v/>
      </c>
      <c r="X11">
        <f>IF(W11="","",IF(W11&lt;0,"Expired",IF(W11&lt;=3,"Urgent",IF(W11&lt;=7,"Due in 7 Days","Normal"))))</f>
        <v/>
      </c>
      <c r="Y11">
        <f>UPPER(TRIM(C11&amp;"|"&amp;E11))</f>
        <v/>
      </c>
      <c r="Z11">
        <f>IF(Y11="","",IF(COUNTIF($Y$2:$Y$501,Y11)&gt;1,"Duplicate","Unique"))</f>
        <v/>
      </c>
      <c r="AB11" s="281" t="n"/>
      <c r="AC11" s="281" t="inlineStr">
        <is>
          <t>Official agency page</t>
        </is>
      </c>
      <c r="AD11" s="281" t="n"/>
      <c r="AE11" s="281" t="n"/>
      <c r="AF11" s="281" t="n"/>
      <c r="AG11" s="281" t="n"/>
      <c r="AH11" s="281" t="n"/>
      <c r="AI11" s="281" t="n"/>
      <c r="AX11" s="282" t="n">
        <v>46312.30972229487</v>
      </c>
      <c r="AY11" s="282" t="n">
        <v>46312.30972229487</v>
      </c>
      <c r="AZ11" t="inlineStr">
        <is>
          <t>345b0cd6025fd5f1fee552a23bac9e6223c4d985e7fcae6f73a0bca17a277dfa</t>
        </is>
      </c>
    </row>
    <row r="12">
      <c r="A12" s="37" t="n"/>
      <c r="B12" s="37" t="inlineStr">
        <is>
          <t>Central</t>
        </is>
      </c>
      <c r="C12" s="37" t="inlineStr">
        <is>
          <t>SJVN</t>
        </is>
      </c>
      <c r="D12" s="37" t="n"/>
      <c r="E12" s="37" t="inlineStr">
        <is>
          <t>Hiring of 02 Nos. AC Commercial vehicle, 7-Seater SUV (Mahindra Bolero Neo N4) Taxi Vehicle (without Fuel) registered as tourist/cab vehicle in Rajast</t>
        </is>
      </c>
      <c r="F12" s="37" t="inlineStr">
        <is>
          <t>Solar</t>
        </is>
      </c>
      <c r="G12" s="274" t="n">
        <v>1000</v>
      </c>
      <c r="H12" s="37" t="inlineStr">
        <is>
          <t>No</t>
        </is>
      </c>
      <c r="I12" s="37" t="n"/>
      <c r="J12" s="37" t="n"/>
      <c r="K12" s="274" t="n"/>
      <c r="L12" s="37" t="n"/>
      <c r="M12" s="37" t="n"/>
      <c r="N12" s="280" t="n"/>
      <c r="O12" s="280" t="n"/>
      <c r="P12" s="280" t="n"/>
      <c r="Q12" s="280" t="inlineStr">
        <is>
          <t>Open</t>
        </is>
      </c>
      <c r="R12" s="280" t="n">
        <v>46312.30972229487</v>
      </c>
      <c r="S12" s="37" t="n"/>
      <c r="T12" s="37" t="inlineStr">
        <is>
          <t>https://sjvn.nic.in/en/tender</t>
        </is>
      </c>
      <c r="U12" s="37" t="inlineStr"/>
      <c r="V12" s="37" t="inlineStr">
        <is>
          <t>Hiring of 02 Nos. AC Commercial vehicle, 7-Seater SUV (Mahindra Bolero Neo N4) Taxi Vehicle (without Fuel) registered as tourist/cab vehicle in Rajasthan along with driver for a period of 02 years” at 1000MW Bikaner Solar Power Project office, Rajasthan Hiring of 02 Nos. AC Commercial vehicle, 7-Seater SUV (Mahindra Bolero Neo N4) Taxi Vehicle (without Fuel) registered as tourist/cab vehicle in Rajasthan along with driver for a period of 02 years” at 1000MW Bikaner Solar Power Project office, Rajasthan</t>
        </is>
      </c>
      <c r="W12" s="278">
        <f>IF(N12="","",N12-TODAY())</f>
        <v/>
      </c>
      <c r="X12">
        <f>IF(W12="","",IF(W12&lt;0,"Expired",IF(W12&lt;=3,"Urgent",IF(W12&lt;=7,"Due in 7 Days","Normal"))))</f>
        <v/>
      </c>
      <c r="Y12">
        <f>UPPER(TRIM(C12&amp;"|"&amp;E12))</f>
        <v/>
      </c>
      <c r="Z12">
        <f>IF(Y12="","",IF(COUNTIF($Y$2:$Y$501,Y12)&gt;1,"Duplicate","Unique"))</f>
        <v/>
      </c>
      <c r="AB12" s="281" t="n"/>
      <c r="AC12" s="281" t="inlineStr">
        <is>
          <t>Official agency page</t>
        </is>
      </c>
      <c r="AD12" s="281" t="n"/>
      <c r="AE12" s="281" t="n"/>
      <c r="AF12" s="281" t="n"/>
      <c r="AG12" s="281" t="n"/>
      <c r="AH12" s="281" t="n"/>
      <c r="AI12" s="281" t="n"/>
      <c r="AX12" s="282" t="n">
        <v>46312.30972229487</v>
      </c>
      <c r="AY12" s="282" t="n">
        <v>46312.30972229487</v>
      </c>
      <c r="AZ12" t="inlineStr">
        <is>
          <t>ae9d8cf76c372228c5660ac5d38dc1c0b7e833c3a78a02407e10c8dbc57cff20</t>
        </is>
      </c>
    </row>
    <row r="13">
      <c r="A13" s="37" t="n"/>
      <c r="B13" s="37" t="inlineStr">
        <is>
          <t>Odisha</t>
        </is>
      </c>
      <c r="C13" s="37" t="inlineStr">
        <is>
          <t>GRIDCO</t>
        </is>
      </c>
      <c r="D13" s="37" t="n"/>
      <c r="E13" s="37" t="inlineStr">
        <is>
          <t xml:space="preserve">Issuing Authority : CPM,RENA,GRIDCO Ltd Start Date of Selling Tender Paper : 10/16/2026 Date of Opening : 11/17/2026 05:00 PM Scope of Work : RFP for </t>
        </is>
      </c>
      <c r="F13" s="37" t="inlineStr">
        <is>
          <t>Solar + BESS</t>
        </is>
      </c>
      <c r="G13" s="274" t="n">
        <v>225</v>
      </c>
      <c r="H13" s="37" t="inlineStr">
        <is>
          <t>No</t>
        </is>
      </c>
      <c r="I13" s="37" t="n"/>
      <c r="J13" s="37" t="n"/>
      <c r="K13" s="274" t="n"/>
      <c r="L13" s="37" t="n"/>
      <c r="M13" s="37" t="n"/>
      <c r="N13" s="280" t="n"/>
      <c r="O13" s="280" t="n"/>
      <c r="P13" s="280" t="n"/>
      <c r="Q13" s="280" t="inlineStr">
        <is>
          <t>Open</t>
        </is>
      </c>
      <c r="R13" s="280" t="n">
        <v>46312.30972229487</v>
      </c>
      <c r="S13" s="37" t="n"/>
      <c r="T13" s="37" t="inlineStr">
        <is>
          <t>https://www.gridco.co.in/tender.aspx</t>
        </is>
      </c>
      <c r="U13" s="37" t="inlineStr"/>
      <c r="V13" s="37" t="inlineStr">
        <is>
          <t>Issuing Authority : | CPM,RENA,GRIDCO Ltd | Start Date of Selling Tender Paper : | 10/16/2026 | Date of Opening : | 11/17/2026 05:00 PM | Scope of Work : | RFP for Consultancy Services for Environmental and Social Impact Assessment for the 225 MW Upper Indravati Floating Solar and Battery Energy Storage System Project, including evacuation infrastructure and associated transmission lines, Odisha | Tender Description : | RFP for Consultancy Services for Environmental and Social Impact Assessment for the 225 MW Upper Indravati Floating Solar and Battery Energy Storage System Project, including evacuation infrastructure and associated transmission lines, Odisha Issuing Authority : CPM,RENA,GRIDCO Ltd Start Date of Selling Tender Paper : 10/16/2026 Date of Opening : 11/17/2026 05:00 PM Scope of Work : RFP for Consultancy Services for Environmental and Social Impact Assessment for the 225 MW Upper Indravati Floating Solar and Battery Energy Storage System Project, including evacuation infra</t>
        </is>
      </c>
      <c r="W13" s="278">
        <f>IF(N13="","",N13-TODAY())</f>
        <v/>
      </c>
      <c r="X13">
        <f>IF(W13="","",IF(W13&lt;0,"Expired",IF(W13&lt;=3,"Urgent",IF(W13&lt;=7,"Due in 7 Days","Normal"))))</f>
        <v/>
      </c>
      <c r="Y13">
        <f>UPPER(TRIM(C13&amp;"|"&amp;E13))</f>
        <v/>
      </c>
      <c r="Z13">
        <f>IF(Y13="","",IF(COUNTIF($Y$2:$Y$501,Y13)&gt;1,"Duplicate","Unique"))</f>
        <v/>
      </c>
      <c r="AB13" s="281" t="n"/>
      <c r="AC13" s="281" t="inlineStr">
        <is>
          <t>Official agency page</t>
        </is>
      </c>
      <c r="AD13" s="281" t="n"/>
      <c r="AE13" s="281" t="n"/>
      <c r="AF13" s="281" t="n"/>
      <c r="AG13" s="281" t="n"/>
      <c r="AH13" s="281" t="n"/>
      <c r="AI13" s="281" t="n"/>
      <c r="AX13" s="282" t="n">
        <v>46312.30972229487</v>
      </c>
      <c r="AY13" s="282" t="n">
        <v>46312.30972229487</v>
      </c>
      <c r="AZ13" t="inlineStr">
        <is>
          <t>e6a1defdcdb58beebeabb1a028e0cf4d4d8f817b1c156825b172ad268d82b23c</t>
        </is>
      </c>
    </row>
    <row r="14">
      <c r="A14" s="37" t="n"/>
      <c r="B14" s="37" t="inlineStr">
        <is>
          <t>Odisha</t>
        </is>
      </c>
      <c r="C14" s="37" t="inlineStr">
        <is>
          <t>GRIDCO</t>
        </is>
      </c>
      <c r="D14" s="37" t="n"/>
      <c r="E14" s="37" t="inlineStr">
        <is>
          <t>Scope of Work :</t>
        </is>
      </c>
      <c r="F14" s="37" t="inlineStr">
        <is>
          <t>Solar + BESS</t>
        </is>
      </c>
      <c r="G14" s="274" t="n">
        <v>225</v>
      </c>
      <c r="H14" s="37" t="inlineStr">
        <is>
          <t>No</t>
        </is>
      </c>
      <c r="I14" s="37" t="n"/>
      <c r="J14" s="37" t="n"/>
      <c r="K14" s="274" t="n"/>
      <c r="L14" s="37" t="n"/>
      <c r="M14" s="37" t="n"/>
      <c r="N14" s="280" t="n"/>
      <c r="O14" s="280" t="n"/>
      <c r="P14" s="280" t="n"/>
      <c r="Q14" s="280" t="inlineStr">
        <is>
          <t>Open</t>
        </is>
      </c>
      <c r="R14" s="280" t="n">
        <v>46312.30972229487</v>
      </c>
      <c r="S14" s="37" t="n"/>
      <c r="T14" s="37" t="inlineStr">
        <is>
          <t>https://www.gridco.co.in/tender.aspx</t>
        </is>
      </c>
      <c r="U14" s="37" t="inlineStr"/>
      <c r="V14" s="37" t="inlineStr">
        <is>
          <t>RFP for Consultancy Services for Environmental and Social Impact Assessment for the 225 MW Upper Indravati Floating Solar and Battery Energy Storage System Project, including evacuation infrastructure and associated transmission lines, Odisha Scope of Work : RFP for Consultancy Services for Environmental and Social Impact Assessment for the 225 MW Upper Indravati Floating Solar and Battery Energy Storage System Project, including evacuation infrastructure and associated transmission lines, Odisha</t>
        </is>
      </c>
      <c r="W14" s="278">
        <f>IF(N14="","",N14-TODAY())</f>
        <v/>
      </c>
      <c r="X14">
        <f>IF(W14="","",IF(W14&lt;0,"Expired",IF(W14&lt;=3,"Urgent",IF(W14&lt;=7,"Due in 7 Days","Normal"))))</f>
        <v/>
      </c>
      <c r="Y14">
        <f>UPPER(TRIM(C14&amp;"|"&amp;E14))</f>
        <v/>
      </c>
      <c r="Z14">
        <f>IF(Y14="","",IF(COUNTIF($Y$2:$Y$501,Y14)&gt;1,"Duplicate","Unique"))</f>
        <v/>
      </c>
      <c r="AB14" s="281" t="n"/>
      <c r="AC14" s="281" t="inlineStr">
        <is>
          <t>Official agency page</t>
        </is>
      </c>
      <c r="AD14" s="281" t="n"/>
      <c r="AE14" s="281" t="n"/>
      <c r="AF14" s="281" t="n"/>
      <c r="AG14" s="281" t="n"/>
      <c r="AH14" s="281" t="n"/>
      <c r="AI14" s="281" t="n"/>
      <c r="AX14" s="282" t="n">
        <v>46312.30972229487</v>
      </c>
      <c r="AY14" s="282" t="n">
        <v>46312.30972229487</v>
      </c>
      <c r="AZ14" t="inlineStr">
        <is>
          <t>52e32cf0cd1ed71e5baab7ff0d2500d2184a637ef83b953a80ca61e2fc9f80ae</t>
        </is>
      </c>
    </row>
    <row r="15">
      <c r="A15" s="37" t="n"/>
      <c r="B15" s="37" t="inlineStr">
        <is>
          <t>Odisha</t>
        </is>
      </c>
      <c r="C15" s="37" t="inlineStr">
        <is>
          <t>GRIDCO</t>
        </is>
      </c>
      <c r="D15" s="37" t="n"/>
      <c r="E15" s="37" t="inlineStr">
        <is>
          <t>Tender Description :</t>
        </is>
      </c>
      <c r="F15" s="37" t="inlineStr">
        <is>
          <t>Solar + BESS</t>
        </is>
      </c>
      <c r="G15" s="274" t="n">
        <v>225</v>
      </c>
      <c r="H15" s="37" t="inlineStr">
        <is>
          <t>No</t>
        </is>
      </c>
      <c r="I15" s="37" t="n"/>
      <c r="J15" s="37" t="n"/>
      <c r="K15" s="274" t="n"/>
      <c r="L15" s="37" t="n"/>
      <c r="M15" s="37" t="n"/>
      <c r="N15" s="280" t="n"/>
      <c r="O15" s="280" t="n"/>
      <c r="P15" s="280" t="n"/>
      <c r="Q15" s="280" t="inlineStr">
        <is>
          <t>Open</t>
        </is>
      </c>
      <c r="R15" s="280" t="n">
        <v>46312.30972229487</v>
      </c>
      <c r="S15" s="37" t="n"/>
      <c r="T15" s="37" t="inlineStr">
        <is>
          <t>https://www.gridco.co.in/tender.aspx</t>
        </is>
      </c>
      <c r="U15" s="37" t="inlineStr"/>
      <c r="V15" s="37" t="inlineStr">
        <is>
          <t>RFP for Consultancy Services for Environmental and Social Impact Assessment for the 225 MW Upper Indravati Floating Solar and Battery Energy Storage System Project, including evacuation infrastructure and associated transmission lines, Odisha Tender Description : RFP for Consultancy Services for Environmental and Social Impact Assessment for the 225 MW Upper Indravati Floating Solar and Battery Energy Storage System Project, including evacuation infrastructure and associated transmission lines, Odisha</t>
        </is>
      </c>
      <c r="W15" s="278">
        <f>IF(N15="","",N15-TODAY())</f>
        <v/>
      </c>
      <c r="X15">
        <f>IF(W15="","",IF(W15&lt;0,"Expired",IF(W15&lt;=3,"Urgent",IF(W15&lt;=7,"Due in 7 Days","Normal"))))</f>
        <v/>
      </c>
      <c r="Y15">
        <f>UPPER(TRIM(C15&amp;"|"&amp;E15))</f>
        <v/>
      </c>
      <c r="Z15">
        <f>IF(Y15="","",IF(COUNTIF($Y$2:$Y$501,Y15)&gt;1,"Duplicate","Unique"))</f>
        <v/>
      </c>
      <c r="AB15" s="281" t="n"/>
      <c r="AC15" s="281" t="inlineStr">
        <is>
          <t>Official agency page</t>
        </is>
      </c>
      <c r="AD15" s="281" t="n"/>
      <c r="AE15" s="281" t="n"/>
      <c r="AF15" s="281" t="n"/>
      <c r="AG15" s="281" t="n"/>
      <c r="AH15" s="281" t="n"/>
      <c r="AI15" s="281" t="n"/>
      <c r="AX15" s="282" t="n">
        <v>46312.30972229487</v>
      </c>
      <c r="AY15" s="282" t="n">
        <v>46312.30972229487</v>
      </c>
      <c r="AZ15" t="inlineStr">
        <is>
          <t>791b5092eab5e02201c5ba3340df5b560b094983458e49be81970948be5467bf</t>
        </is>
      </c>
    </row>
    <row r="16">
      <c r="A16" s="37" t="n"/>
      <c r="B16" s="37" t="n"/>
      <c r="C16" s="37" t="n"/>
      <c r="D16" s="37" t="n"/>
      <c r="E16" s="37" t="n"/>
      <c r="F16" s="37" t="n"/>
      <c r="G16" s="274" t="n"/>
      <c r="H16" s="37" t="n"/>
      <c r="I16" s="37" t="n"/>
      <c r="J16" s="37" t="n"/>
      <c r="K16" s="274" t="n"/>
      <c r="L16" s="37" t="n"/>
      <c r="M16" s="37" t="n"/>
      <c r="N16" s="280" t="n"/>
      <c r="O16" s="280" t="n"/>
      <c r="P16" s="280" t="n"/>
      <c r="Q16" s="280" t="n"/>
      <c r="R16" s="280" t="n"/>
      <c r="S16" s="37" t="n"/>
      <c r="T16" s="37" t="n"/>
      <c r="U16" s="37" t="n"/>
      <c r="V16" s="37" t="n"/>
      <c r="W16" s="278" t="n"/>
      <c r="AB16" s="281" t="n"/>
    </row>
    <row r="17">
      <c r="A17" s="37" t="n"/>
      <c r="B17" s="37" t="n"/>
      <c r="C17" s="37" t="n"/>
      <c r="D17" s="37" t="n"/>
      <c r="E17" s="37" t="n"/>
      <c r="F17" s="37" t="n"/>
      <c r="G17" s="274" t="n"/>
      <c r="H17" s="37" t="n"/>
      <c r="I17" s="37" t="n"/>
      <c r="J17" s="37" t="n"/>
      <c r="K17" s="274" t="n"/>
      <c r="L17" s="37" t="n"/>
      <c r="M17" s="37" t="n"/>
      <c r="N17" s="280" t="n"/>
      <c r="O17" s="280" t="n"/>
      <c r="P17" s="280" t="n"/>
      <c r="Q17" s="280" t="n"/>
      <c r="R17" s="280" t="n"/>
      <c r="S17" s="37" t="n"/>
      <c r="T17" s="37" t="n"/>
      <c r="U17" s="37" t="n"/>
      <c r="V17" s="37" t="n"/>
      <c r="W17" s="278" t="n"/>
      <c r="AB17" s="281" t="n"/>
    </row>
    <row r="18">
      <c r="A18" s="37" t="n"/>
      <c r="B18" s="37" t="n"/>
      <c r="C18" s="37" t="n"/>
      <c r="D18" s="37" t="n"/>
      <c r="E18" s="37" t="n"/>
      <c r="F18" s="37" t="n"/>
      <c r="G18" s="274" t="n"/>
      <c r="H18" s="37" t="n"/>
      <c r="I18" s="37" t="n"/>
      <c r="J18" s="37" t="n"/>
      <c r="K18" s="274" t="n"/>
      <c r="L18" s="37" t="n"/>
      <c r="M18" s="37" t="n"/>
      <c r="N18" s="280" t="n"/>
      <c r="O18" s="280" t="n"/>
      <c r="P18" s="280" t="n"/>
      <c r="Q18" s="280" t="n"/>
      <c r="R18" s="280" t="n"/>
      <c r="S18" s="37" t="n"/>
      <c r="T18" s="37" t="n"/>
      <c r="U18" s="37" t="n"/>
      <c r="V18" s="37" t="n"/>
      <c r="W18" s="278" t="n"/>
      <c r="AB18" s="281" t="n"/>
    </row>
    <row r="19">
      <c r="A19" s="37" t="n"/>
      <c r="B19" s="37" t="n"/>
      <c r="C19" s="37" t="n"/>
      <c r="D19" s="37" t="n"/>
      <c r="E19" s="37" t="n"/>
      <c r="F19" s="37" t="n"/>
      <c r="G19" s="274" t="n"/>
      <c r="H19" s="37" t="n"/>
      <c r="I19" s="37" t="n"/>
      <c r="J19" s="37" t="n"/>
      <c r="K19" s="274" t="n"/>
      <c r="L19" s="37" t="n"/>
      <c r="M19" s="37" t="n"/>
      <c r="N19" s="280" t="n"/>
      <c r="O19" s="280" t="n"/>
      <c r="P19" s="280" t="n"/>
      <c r="Q19" s="280" t="n"/>
      <c r="R19" s="280" t="n"/>
      <c r="S19" s="37" t="n"/>
      <c r="T19" s="37" t="n"/>
      <c r="U19" s="37" t="n"/>
      <c r="V19" s="37" t="n"/>
      <c r="W19" s="278" t="n"/>
      <c r="AB19" s="281" t="n"/>
    </row>
    <row r="20">
      <c r="A20" s="37" t="n"/>
      <c r="B20" s="37" t="n"/>
      <c r="C20" s="37" t="n"/>
      <c r="D20" s="37" t="n"/>
      <c r="E20" s="37" t="n"/>
      <c r="F20" s="37" t="n"/>
      <c r="G20" s="274" t="n"/>
      <c r="H20" s="37" t="n"/>
      <c r="I20" s="37" t="n"/>
      <c r="J20" s="37" t="n"/>
      <c r="K20" s="274" t="n"/>
      <c r="L20" s="37" t="n"/>
      <c r="M20" s="37" t="n"/>
      <c r="N20" s="280" t="n"/>
      <c r="O20" s="280" t="n"/>
      <c r="P20" s="280" t="n"/>
      <c r="Q20" s="280" t="n"/>
      <c r="R20" s="280" t="n"/>
      <c r="S20" s="37" t="n"/>
      <c r="T20" s="37" t="n"/>
      <c r="U20" s="37" t="n"/>
      <c r="V20" s="37" t="n"/>
      <c r="W20" s="278" t="n"/>
      <c r="AB20" s="281" t="n"/>
    </row>
    <row r="21">
      <c r="A21" s="37" t="n"/>
      <c r="B21" s="37" t="n"/>
      <c r="C21" s="37" t="n"/>
      <c r="D21" s="37" t="n"/>
      <c r="E21" s="37" t="n"/>
      <c r="F21" s="37" t="n"/>
      <c r="G21" s="274" t="n"/>
      <c r="H21" s="37" t="n"/>
      <c r="I21" s="37" t="n"/>
      <c r="J21" s="37" t="n"/>
      <c r="K21" s="274" t="n"/>
      <c r="L21" s="37" t="n"/>
      <c r="M21" s="37" t="n"/>
      <c r="N21" s="280" t="n"/>
      <c r="O21" s="280" t="n"/>
      <c r="P21" s="280" t="n"/>
      <c r="Q21" s="280" t="n"/>
      <c r="R21" s="280" t="n"/>
      <c r="S21" s="37" t="n"/>
      <c r="T21" s="37" t="n"/>
      <c r="U21" s="37" t="n"/>
      <c r="V21" s="37" t="n"/>
      <c r="W21" s="278" t="n"/>
      <c r="AB21" s="281" t="n"/>
    </row>
    <row r="22">
      <c r="A22" s="37" t="n"/>
      <c r="B22" s="37" t="n"/>
      <c r="C22" s="37" t="n"/>
      <c r="D22" s="37" t="n"/>
      <c r="E22" s="37" t="n"/>
      <c r="F22" s="37" t="n"/>
      <c r="G22" s="274" t="n"/>
      <c r="H22" s="37" t="n"/>
      <c r="I22" s="37" t="n"/>
      <c r="J22" s="37" t="n"/>
      <c r="K22" s="274" t="n"/>
      <c r="L22" s="37" t="n"/>
      <c r="M22" s="37" t="n"/>
      <c r="N22" s="280" t="n"/>
      <c r="O22" s="280" t="n"/>
      <c r="P22" s="280" t="n"/>
      <c r="Q22" s="280" t="n"/>
      <c r="R22" s="280" t="n"/>
      <c r="S22" s="37" t="n"/>
      <c r="T22" s="37" t="n"/>
      <c r="U22" s="37" t="n"/>
      <c r="V22" s="37" t="n"/>
      <c r="W22" s="278" t="n"/>
      <c r="AB22" s="281" t="n"/>
    </row>
    <row r="23">
      <c r="A23" s="37" t="n"/>
      <c r="B23" s="37" t="n"/>
      <c r="C23" s="37" t="n"/>
      <c r="D23" s="37" t="n"/>
      <c r="E23" s="37" t="n"/>
      <c r="F23" s="37" t="n"/>
      <c r="G23" s="274" t="n"/>
      <c r="H23" s="37" t="n"/>
      <c r="I23" s="37" t="n"/>
      <c r="J23" s="37" t="n"/>
      <c r="K23" s="274" t="n"/>
      <c r="L23" s="37" t="n"/>
      <c r="M23" s="37" t="n"/>
      <c r="N23" s="280" t="n"/>
      <c r="O23" s="280" t="n"/>
      <c r="P23" s="280" t="n"/>
      <c r="Q23" s="280" t="n"/>
      <c r="R23" s="280" t="n"/>
      <c r="S23" s="37" t="n"/>
      <c r="T23" s="37" t="n"/>
      <c r="U23" s="37" t="n"/>
      <c r="V23" s="37" t="n"/>
      <c r="W23" s="278" t="n"/>
      <c r="AB23" s="281" t="n"/>
    </row>
    <row r="24">
      <c r="A24" s="37" t="n"/>
      <c r="B24" s="37" t="n"/>
      <c r="C24" s="37" t="n"/>
      <c r="D24" s="37" t="n"/>
      <c r="E24" s="37" t="n"/>
      <c r="F24" s="37" t="n"/>
      <c r="G24" s="274" t="n"/>
      <c r="H24" s="37" t="n"/>
      <c r="I24" s="37" t="n"/>
      <c r="J24" s="37" t="n"/>
      <c r="K24" s="274" t="n"/>
      <c r="L24" s="37" t="n"/>
      <c r="M24" s="37" t="n"/>
      <c r="N24" s="280" t="n"/>
      <c r="O24" s="280" t="n"/>
      <c r="P24" s="280" t="n"/>
      <c r="Q24" s="280" t="n"/>
      <c r="R24" s="280" t="n"/>
      <c r="S24" s="37" t="n"/>
      <c r="T24" s="37" t="n"/>
      <c r="U24" s="37" t="n"/>
      <c r="V24" s="37" t="n"/>
      <c r="W24" s="278" t="n"/>
      <c r="AB24" s="281" t="n"/>
    </row>
    <row r="25">
      <c r="A25" s="37" t="n"/>
      <c r="B25" s="37" t="n"/>
      <c r="C25" s="37" t="n"/>
      <c r="D25" s="37" t="n"/>
      <c r="E25" s="37" t="n"/>
      <c r="F25" s="37" t="n"/>
      <c r="G25" s="274" t="n"/>
      <c r="H25" s="37" t="n"/>
      <c r="I25" s="37" t="n"/>
      <c r="J25" s="37" t="n"/>
      <c r="K25" s="274" t="n"/>
      <c r="L25" s="37" t="n"/>
      <c r="M25" s="37" t="n"/>
      <c r="N25" s="280" t="n"/>
      <c r="O25" s="280" t="n"/>
      <c r="P25" s="280" t="n"/>
      <c r="Q25" s="280" t="n"/>
      <c r="R25" s="280" t="n"/>
      <c r="S25" s="37" t="n"/>
      <c r="T25" s="37" t="n"/>
      <c r="U25" s="37" t="n"/>
      <c r="V25" s="37" t="n"/>
      <c r="W25" s="278" t="n"/>
      <c r="AB25" s="281" t="n"/>
    </row>
    <row r="26">
      <c r="A26" s="37" t="n"/>
      <c r="B26" s="37" t="n"/>
      <c r="C26" s="37" t="n"/>
      <c r="D26" s="37" t="n"/>
      <c r="E26" s="37" t="n"/>
      <c r="F26" s="37" t="n"/>
      <c r="G26" s="274" t="n"/>
      <c r="H26" s="37" t="n"/>
      <c r="I26" s="37" t="n"/>
      <c r="J26" s="37" t="n"/>
      <c r="K26" s="274" t="n"/>
      <c r="L26" s="37" t="n"/>
      <c r="M26" s="37" t="n"/>
      <c r="N26" s="280" t="n"/>
      <c r="O26" s="280" t="n"/>
      <c r="P26" s="280" t="n"/>
      <c r="Q26" s="280" t="n"/>
      <c r="R26" s="280" t="n"/>
      <c r="S26" s="37" t="n"/>
      <c r="T26" s="37" t="n"/>
      <c r="U26" s="37" t="n"/>
      <c r="V26" s="37" t="n"/>
      <c r="W26" s="278" t="n"/>
      <c r="AB26" s="281" t="n"/>
    </row>
    <row r="27">
      <c r="A27" s="37" t="n"/>
      <c r="B27" s="37" t="n"/>
      <c r="C27" s="37" t="n"/>
      <c r="D27" s="37" t="n"/>
      <c r="E27" s="37" t="n"/>
      <c r="F27" s="37" t="n"/>
      <c r="G27" s="274" t="n"/>
      <c r="H27" s="37" t="n"/>
      <c r="I27" s="37" t="n"/>
      <c r="J27" s="37" t="n"/>
      <c r="K27" s="274" t="n"/>
      <c r="L27" s="37" t="n"/>
      <c r="M27" s="37" t="n"/>
      <c r="N27" s="280" t="n"/>
      <c r="O27" s="280" t="n"/>
      <c r="P27" s="280" t="n"/>
      <c r="Q27" s="280" t="n"/>
      <c r="R27" s="280" t="n"/>
      <c r="S27" s="37" t="n"/>
      <c r="T27" s="37" t="n"/>
      <c r="U27" s="37" t="n"/>
      <c r="V27" s="37" t="n"/>
      <c r="W27" s="278" t="n"/>
      <c r="AB27" s="281" t="n"/>
    </row>
    <row r="28">
      <c r="A28" s="37" t="n"/>
      <c r="B28" s="37" t="n"/>
      <c r="C28" s="37" t="n"/>
      <c r="D28" s="37" t="n"/>
      <c r="E28" s="37" t="n"/>
      <c r="F28" s="37" t="n"/>
      <c r="G28" s="274" t="n"/>
      <c r="H28" s="37" t="n"/>
      <c r="I28" s="37" t="n"/>
      <c r="J28" s="37" t="n"/>
      <c r="K28" s="274" t="n"/>
      <c r="L28" s="37" t="n"/>
      <c r="M28" s="37" t="n"/>
      <c r="N28" s="276" t="n"/>
      <c r="O28" s="276" t="n"/>
      <c r="P28" s="276" t="n"/>
      <c r="Q28" s="276" t="n"/>
      <c r="R28" s="276" t="n"/>
      <c r="S28" s="37" t="n"/>
      <c r="T28" s="37" t="n"/>
      <c r="U28" s="37" t="n"/>
      <c r="V28" s="37" t="n"/>
      <c r="W28" s="278" t="n"/>
    </row>
    <row r="29">
      <c r="A29" s="37" t="n"/>
      <c r="B29" s="37" t="n"/>
      <c r="C29" s="37" t="n"/>
      <c r="D29" s="37" t="n"/>
      <c r="E29" s="37" t="n"/>
      <c r="F29" s="37" t="n"/>
      <c r="G29" s="274" t="n"/>
      <c r="H29" s="37" t="n"/>
      <c r="I29" s="37" t="n"/>
      <c r="J29" s="37" t="n"/>
      <c r="K29" s="274" t="n"/>
      <c r="L29" s="37" t="n"/>
      <c r="M29" s="37" t="n"/>
      <c r="N29" s="276" t="n"/>
      <c r="O29" s="276" t="n"/>
      <c r="P29" s="276" t="n"/>
      <c r="Q29" s="276" t="n"/>
      <c r="R29" s="276" t="n"/>
      <c r="S29" s="37" t="n"/>
      <c r="T29" s="37" t="n"/>
      <c r="U29" s="37" t="n"/>
      <c r="V29" s="37" t="n"/>
      <c r="W29" s="278" t="n"/>
    </row>
    <row r="30">
      <c r="A30" s="37" t="n"/>
      <c r="B30" s="37" t="n"/>
      <c r="C30" s="37" t="n"/>
      <c r="D30" s="37" t="n"/>
      <c r="E30" s="37" t="n"/>
      <c r="F30" s="37" t="n"/>
      <c r="G30" s="274" t="n"/>
      <c r="H30" s="37" t="n"/>
      <c r="I30" s="37" t="n"/>
      <c r="J30" s="37" t="n"/>
      <c r="K30" s="274" t="n"/>
      <c r="L30" s="37" t="n"/>
      <c r="M30" s="37" t="n"/>
      <c r="N30" s="276" t="n"/>
      <c r="O30" s="276" t="n"/>
      <c r="P30" s="276" t="n"/>
      <c r="Q30" s="276" t="n"/>
      <c r="R30" s="276" t="n"/>
      <c r="S30" s="37" t="n"/>
      <c r="T30" s="37" t="n"/>
      <c r="U30" s="37" t="n"/>
      <c r="V30" s="37" t="n"/>
      <c r="W30" s="278" t="n"/>
    </row>
    <row r="31">
      <c r="A31" s="37" t="n"/>
      <c r="B31" s="37" t="n"/>
      <c r="C31" s="37" t="n"/>
      <c r="D31" s="37" t="n"/>
      <c r="E31" s="37" t="n"/>
      <c r="F31" s="37" t="n"/>
      <c r="G31" s="274" t="n"/>
      <c r="H31" s="37" t="n"/>
      <c r="I31" s="37" t="n"/>
      <c r="J31" s="37" t="n"/>
      <c r="K31" s="274" t="n"/>
      <c r="L31" s="37" t="n"/>
      <c r="M31" s="37" t="n"/>
      <c r="N31" s="276" t="n"/>
      <c r="O31" s="276" t="n"/>
      <c r="P31" s="276" t="n"/>
      <c r="Q31" s="276" t="n"/>
      <c r="R31" s="276" t="n"/>
      <c r="S31" s="37" t="n"/>
      <c r="T31" s="37" t="n"/>
      <c r="U31" s="37" t="n"/>
      <c r="V31" s="37" t="n"/>
      <c r="W31" s="278" t="n"/>
    </row>
    <row r="32">
      <c r="A32" s="37" t="n"/>
      <c r="B32" s="37" t="n"/>
      <c r="C32" s="37" t="n"/>
      <c r="D32" s="37" t="n"/>
      <c r="E32" s="37" t="n"/>
      <c r="F32" s="37" t="n"/>
      <c r="G32" s="274" t="n"/>
      <c r="H32" s="37" t="n"/>
      <c r="I32" s="37" t="n"/>
      <c r="J32" s="37" t="n"/>
      <c r="K32" s="274" t="n"/>
      <c r="L32" s="37" t="n"/>
      <c r="M32" s="37" t="n"/>
      <c r="N32" s="276" t="n"/>
      <c r="O32" s="276" t="n"/>
      <c r="P32" s="276" t="n"/>
      <c r="Q32" s="276" t="n"/>
      <c r="R32" s="276" t="n"/>
      <c r="S32" s="37" t="n"/>
      <c r="T32" s="37" t="n"/>
      <c r="U32" s="37" t="n"/>
      <c r="V32" s="37" t="n"/>
      <c r="W32" s="278" t="n"/>
    </row>
    <row r="33">
      <c r="A33" s="37" t="n"/>
      <c r="B33" s="37" t="n"/>
      <c r="C33" s="37" t="n"/>
      <c r="D33" s="37" t="n"/>
      <c r="E33" s="37" t="n"/>
      <c r="F33" s="37" t="n"/>
      <c r="G33" s="274" t="n"/>
      <c r="H33" s="37" t="n"/>
      <c r="I33" s="37" t="n"/>
      <c r="J33" s="37" t="n"/>
      <c r="K33" s="274" t="n"/>
      <c r="L33" s="37" t="n"/>
      <c r="M33" s="37" t="n"/>
      <c r="N33" s="276" t="n"/>
      <c r="O33" s="276" t="n"/>
      <c r="P33" s="276" t="n"/>
      <c r="Q33" s="276" t="n"/>
      <c r="R33" s="276" t="n"/>
      <c r="S33" s="37" t="n"/>
      <c r="T33" s="37" t="n"/>
      <c r="U33" s="37" t="n"/>
      <c r="V33" s="37" t="n"/>
      <c r="W33" s="278" t="n"/>
    </row>
    <row r="34">
      <c r="A34" s="37" t="n"/>
      <c r="B34" s="37" t="n"/>
      <c r="C34" s="37" t="n"/>
      <c r="D34" s="37" t="n"/>
      <c r="E34" s="37" t="n"/>
      <c r="F34" s="37" t="n"/>
      <c r="G34" s="274" t="n"/>
      <c r="H34" s="37" t="n"/>
      <c r="I34" s="37" t="n"/>
      <c r="J34" s="37" t="n"/>
      <c r="K34" s="274" t="n"/>
      <c r="L34" s="37" t="n"/>
      <c r="M34" s="37" t="n"/>
      <c r="N34" s="276" t="n"/>
      <c r="O34" s="276" t="n"/>
      <c r="P34" s="276" t="n"/>
      <c r="Q34" s="276" t="n"/>
      <c r="R34" s="276" t="n"/>
      <c r="S34" s="37" t="n"/>
      <c r="T34" s="37" t="n"/>
      <c r="U34" s="37" t="n"/>
      <c r="V34" s="37" t="n"/>
      <c r="W34" s="278" t="n"/>
    </row>
    <row r="35">
      <c r="A35" s="37" t="n"/>
      <c r="B35" s="37" t="n"/>
      <c r="C35" s="37" t="n"/>
      <c r="D35" s="37" t="n"/>
      <c r="E35" s="37" t="n"/>
      <c r="F35" s="37" t="n"/>
      <c r="G35" s="274" t="n"/>
      <c r="H35" s="37" t="n"/>
      <c r="I35" s="37" t="n"/>
      <c r="J35" s="37" t="n"/>
      <c r="K35" s="274" t="n"/>
      <c r="L35" s="37" t="n"/>
      <c r="M35" s="37" t="n"/>
      <c r="N35" s="276" t="n"/>
      <c r="O35" s="276" t="n"/>
      <c r="P35" s="276" t="n"/>
      <c r="Q35" s="276" t="n"/>
      <c r="R35" s="276" t="n"/>
      <c r="S35" s="37" t="n"/>
      <c r="T35" s="37" t="n"/>
      <c r="U35" s="37" t="n"/>
      <c r="V35" s="37" t="n"/>
      <c r="W35" s="278" t="n"/>
    </row>
    <row r="36">
      <c r="A36" s="37" t="n"/>
      <c r="B36" s="37" t="n"/>
      <c r="C36" s="37" t="n"/>
      <c r="D36" s="37" t="n"/>
      <c r="E36" s="37" t="n"/>
      <c r="F36" s="37" t="n"/>
      <c r="G36" s="274" t="n"/>
      <c r="H36" s="37" t="n"/>
      <c r="I36" s="37" t="n"/>
      <c r="J36" s="37" t="n"/>
      <c r="K36" s="274" t="n"/>
      <c r="L36" s="37" t="n"/>
      <c r="M36" s="37" t="n"/>
      <c r="N36" s="276" t="n"/>
      <c r="O36" s="276" t="n"/>
      <c r="P36" s="276" t="n"/>
      <c r="Q36" s="276" t="n"/>
      <c r="R36" s="276" t="n"/>
      <c r="S36" s="37" t="n"/>
      <c r="T36" s="37" t="n"/>
      <c r="U36" s="37" t="n"/>
      <c r="V36" s="37" t="n"/>
      <c r="W36" s="278" t="n"/>
    </row>
    <row r="37">
      <c r="A37" s="37" t="n"/>
      <c r="B37" s="37" t="n"/>
      <c r="C37" s="37" t="n"/>
      <c r="D37" s="37" t="n"/>
      <c r="E37" s="37" t="n"/>
      <c r="F37" s="37" t="n"/>
      <c r="G37" s="274" t="n"/>
      <c r="H37" s="37" t="n"/>
      <c r="I37" s="37" t="n"/>
      <c r="J37" s="37" t="n"/>
      <c r="K37" s="274" t="n"/>
      <c r="L37" s="37" t="n"/>
      <c r="M37" s="37" t="n"/>
      <c r="N37" s="276" t="n"/>
      <c r="O37" s="276" t="n"/>
      <c r="P37" s="276" t="n"/>
      <c r="Q37" s="276" t="n"/>
      <c r="R37" s="276" t="n"/>
      <c r="S37" s="37" t="n"/>
      <c r="T37" s="37" t="n"/>
      <c r="U37" s="37" t="n"/>
      <c r="V37" s="37" t="n"/>
      <c r="W37" s="278" t="n"/>
    </row>
    <row r="38">
      <c r="A38" s="37" t="n"/>
      <c r="B38" s="37" t="n"/>
      <c r="C38" s="37" t="n"/>
      <c r="D38" s="37" t="n"/>
      <c r="E38" s="37" t="n"/>
      <c r="F38" s="37" t="n"/>
      <c r="G38" s="274" t="n"/>
      <c r="H38" s="37" t="n"/>
      <c r="I38" s="37" t="n"/>
      <c r="J38" s="37" t="n"/>
      <c r="K38" s="274" t="n"/>
      <c r="L38" s="37" t="n"/>
      <c r="M38" s="37" t="n"/>
      <c r="N38" s="276" t="n"/>
      <c r="O38" s="276" t="n"/>
      <c r="P38" s="276" t="n"/>
      <c r="Q38" s="276" t="n"/>
      <c r="R38" s="276" t="n"/>
      <c r="S38" s="37" t="n"/>
      <c r="T38" s="37" t="n"/>
      <c r="U38" s="37" t="n"/>
      <c r="V38" s="37" t="n"/>
      <c r="W38" s="278" t="n"/>
    </row>
    <row r="39">
      <c r="A39" s="37" t="n"/>
      <c r="B39" s="37" t="n"/>
      <c r="C39" s="37" t="n"/>
      <c r="D39" s="37" t="n"/>
      <c r="E39" s="37" t="n"/>
      <c r="F39" s="37" t="n"/>
      <c r="G39" s="274" t="n"/>
      <c r="H39" s="37" t="n"/>
      <c r="I39" s="37" t="n"/>
      <c r="J39" s="37" t="n"/>
      <c r="K39" s="274" t="n"/>
      <c r="L39" s="37" t="n"/>
      <c r="M39" s="37" t="n"/>
      <c r="N39" s="276" t="n"/>
      <c r="O39" s="276" t="n"/>
      <c r="P39" s="276" t="n"/>
      <c r="Q39" s="276" t="n"/>
      <c r="R39" s="276" t="n"/>
      <c r="S39" s="37" t="n"/>
      <c r="T39" s="37" t="n"/>
      <c r="U39" s="37" t="n"/>
      <c r="V39" s="37" t="n"/>
      <c r="W39" s="278" t="n"/>
    </row>
    <row r="40">
      <c r="A40" s="37" t="n"/>
      <c r="B40" s="37" t="n"/>
      <c r="C40" s="37" t="n"/>
      <c r="D40" s="37" t="n"/>
      <c r="E40" s="37" t="n"/>
      <c r="F40" s="37" t="n"/>
      <c r="G40" s="274" t="n"/>
      <c r="H40" s="37" t="n"/>
      <c r="I40" s="37" t="n"/>
      <c r="J40" s="37" t="n"/>
      <c r="K40" s="274" t="n"/>
      <c r="L40" s="37" t="n"/>
      <c r="M40" s="37" t="n"/>
      <c r="N40" s="276" t="n"/>
      <c r="O40" s="276" t="n"/>
      <c r="P40" s="276" t="n"/>
      <c r="Q40" s="276" t="n"/>
      <c r="R40" s="276" t="n"/>
      <c r="S40" s="37" t="n"/>
      <c r="T40" s="37" t="n"/>
      <c r="U40" s="37" t="n"/>
      <c r="V40" s="37" t="n"/>
      <c r="W40" s="278" t="n"/>
    </row>
    <row r="41">
      <c r="A41" s="37" t="n"/>
      <c r="B41" s="37" t="n"/>
      <c r="C41" s="37" t="n"/>
      <c r="D41" s="37" t="n"/>
      <c r="E41" s="37" t="n"/>
      <c r="F41" s="37" t="n"/>
      <c r="G41" s="274" t="n"/>
      <c r="H41" s="37" t="n"/>
      <c r="I41" s="37" t="n"/>
      <c r="J41" s="37" t="n"/>
      <c r="K41" s="274" t="n"/>
      <c r="L41" s="37" t="n"/>
      <c r="M41" s="37" t="n"/>
      <c r="N41" s="276" t="n"/>
      <c r="O41" s="276" t="n"/>
      <c r="P41" s="276" t="n"/>
      <c r="Q41" s="276" t="n"/>
      <c r="R41" s="276" t="n"/>
      <c r="S41" s="37" t="n"/>
      <c r="T41" s="37" t="n"/>
      <c r="U41" s="37" t="n"/>
      <c r="V41" s="37" t="n"/>
      <c r="W41" s="278" t="n"/>
    </row>
    <row r="42">
      <c r="A42" s="37" t="n"/>
      <c r="B42" s="37" t="n"/>
      <c r="C42" s="37" t="n"/>
      <c r="D42" s="37" t="n"/>
      <c r="E42" s="37" t="n"/>
      <c r="F42" s="37" t="n"/>
      <c r="G42" s="274" t="n"/>
      <c r="H42" s="37" t="n"/>
      <c r="I42" s="37" t="n"/>
      <c r="J42" s="37" t="n"/>
      <c r="K42" s="274" t="n"/>
      <c r="L42" s="37" t="n"/>
      <c r="M42" s="37" t="n"/>
      <c r="N42" s="276" t="n"/>
      <c r="O42" s="276" t="n"/>
      <c r="P42" s="276" t="n"/>
      <c r="Q42" s="276" t="n"/>
      <c r="R42" s="276" t="n"/>
      <c r="S42" s="37" t="n"/>
      <c r="T42" s="37" t="n"/>
      <c r="U42" s="37" t="n"/>
      <c r="V42" s="37" t="n"/>
      <c r="W42" s="278" t="n"/>
    </row>
    <row r="43">
      <c r="A43" s="37" t="n"/>
      <c r="B43" s="37" t="n"/>
      <c r="C43" s="37" t="n"/>
      <c r="D43" s="37" t="n"/>
      <c r="E43" s="37" t="n"/>
      <c r="F43" s="37" t="n"/>
      <c r="G43" s="274" t="n"/>
      <c r="H43" s="37" t="n"/>
      <c r="I43" s="37" t="n"/>
      <c r="J43" s="37" t="n"/>
      <c r="K43" s="274" t="n"/>
      <c r="L43" s="37" t="n"/>
      <c r="M43" s="37" t="n"/>
      <c r="N43" s="276" t="n"/>
      <c r="O43" s="276" t="n"/>
      <c r="P43" s="276" t="n"/>
      <c r="Q43" s="276" t="n"/>
      <c r="R43" s="276" t="n"/>
      <c r="S43" s="37" t="n"/>
      <c r="T43" s="37" t="n"/>
      <c r="U43" s="37" t="n"/>
      <c r="V43" s="37" t="n"/>
      <c r="W43" s="278" t="n"/>
    </row>
    <row r="44">
      <c r="A44" s="37" t="n"/>
      <c r="B44" s="37" t="n"/>
      <c r="C44" s="37" t="n"/>
      <c r="D44" s="37" t="n"/>
      <c r="E44" s="37" t="n"/>
      <c r="F44" s="37" t="n"/>
      <c r="G44" s="274" t="n"/>
      <c r="H44" s="37" t="n"/>
      <c r="I44" s="37" t="n"/>
      <c r="J44" s="37" t="n"/>
      <c r="K44" s="274" t="n"/>
      <c r="L44" s="37" t="n"/>
      <c r="M44" s="37" t="n"/>
      <c r="N44" s="276" t="n"/>
      <c r="O44" s="276" t="n"/>
      <c r="P44" s="276" t="n"/>
      <c r="Q44" s="276" t="n"/>
      <c r="R44" s="276" t="n"/>
      <c r="S44" s="37" t="n"/>
      <c r="T44" s="37" t="n"/>
      <c r="U44" s="37" t="n"/>
      <c r="V44" s="37" t="n"/>
      <c r="W44" s="278" t="n"/>
    </row>
    <row r="45">
      <c r="A45" s="37" t="n"/>
      <c r="B45" s="37" t="n"/>
      <c r="C45" s="37" t="n"/>
      <c r="D45" s="37" t="n"/>
      <c r="E45" s="37" t="n"/>
      <c r="F45" s="37" t="n"/>
      <c r="G45" s="274" t="n"/>
      <c r="H45" s="37" t="n"/>
      <c r="I45" s="37" t="n"/>
      <c r="J45" s="37" t="n"/>
      <c r="K45" s="274" t="n"/>
      <c r="L45" s="37" t="n"/>
      <c r="M45" s="37" t="n"/>
      <c r="N45" s="276" t="n"/>
      <c r="O45" s="276" t="n"/>
      <c r="P45" s="276" t="n"/>
      <c r="Q45" s="276" t="n"/>
      <c r="R45" s="276" t="n"/>
      <c r="S45" s="37" t="n"/>
      <c r="T45" s="37" t="n"/>
      <c r="U45" s="37" t="n"/>
      <c r="V45" s="37" t="n"/>
      <c r="W45" s="278" t="n"/>
    </row>
    <row r="46">
      <c r="A46" s="37" t="n"/>
      <c r="B46" s="37" t="n"/>
      <c r="C46" s="37" t="n"/>
      <c r="D46" s="37" t="n"/>
      <c r="E46" s="37" t="n"/>
      <c r="F46" s="37" t="n"/>
      <c r="G46" s="274" t="n"/>
      <c r="H46" s="37" t="n"/>
      <c r="I46" s="37" t="n"/>
      <c r="J46" s="37" t="n"/>
      <c r="K46" s="274" t="n"/>
      <c r="L46" s="37" t="n"/>
      <c r="M46" s="37" t="n"/>
      <c r="N46" s="276" t="n"/>
      <c r="O46" s="276" t="n"/>
      <c r="P46" s="276" t="n"/>
      <c r="Q46" s="276" t="n"/>
      <c r="R46" s="276" t="n"/>
      <c r="S46" s="37" t="n"/>
      <c r="T46" s="37" t="n"/>
      <c r="U46" s="37" t="n"/>
      <c r="V46" s="37" t="n"/>
      <c r="W46" s="278" t="n"/>
    </row>
    <row r="47">
      <c r="A47" s="37" t="n"/>
      <c r="B47" s="37" t="n"/>
      <c r="C47" s="37" t="n"/>
      <c r="D47" s="37" t="n"/>
      <c r="E47" s="37" t="n"/>
      <c r="F47" s="37" t="n"/>
      <c r="G47" s="274" t="n"/>
      <c r="H47" s="37" t="n"/>
      <c r="I47" s="37" t="n"/>
      <c r="J47" s="37" t="n"/>
      <c r="K47" s="274" t="n"/>
      <c r="L47" s="37" t="n"/>
      <c r="M47" s="37" t="n"/>
      <c r="N47" s="276" t="n"/>
      <c r="O47" s="276" t="n"/>
      <c r="P47" s="276" t="n"/>
      <c r="Q47" s="276" t="n"/>
      <c r="R47" s="276" t="n"/>
      <c r="S47" s="37" t="n"/>
      <c r="T47" s="37" t="n"/>
      <c r="U47" s="37" t="n"/>
      <c r="V47" s="37" t="n"/>
      <c r="W47" s="278" t="n"/>
    </row>
    <row r="48">
      <c r="A48" s="37" t="n"/>
      <c r="B48" s="37" t="n"/>
      <c r="C48" s="37" t="n"/>
      <c r="D48" s="37" t="n"/>
      <c r="E48" s="37" t="n"/>
      <c r="F48" s="37" t="n"/>
      <c r="G48" s="274" t="n"/>
      <c r="H48" s="37" t="n"/>
      <c r="I48" s="37" t="n"/>
      <c r="J48" s="37" t="n"/>
      <c r="K48" s="274" t="n"/>
      <c r="L48" s="37" t="n"/>
      <c r="M48" s="37" t="n"/>
      <c r="N48" s="276" t="n"/>
      <c r="O48" s="276" t="n"/>
      <c r="P48" s="276" t="n"/>
      <c r="Q48" s="276" t="n"/>
      <c r="R48" s="276" t="n"/>
      <c r="S48" s="37" t="n"/>
      <c r="T48" s="37" t="n"/>
      <c r="U48" s="37" t="n"/>
      <c r="V48" s="37" t="n"/>
      <c r="W48" s="278" t="n"/>
    </row>
    <row r="49">
      <c r="A49" s="37" t="n"/>
      <c r="B49" s="37" t="n"/>
      <c r="C49" s="37" t="n"/>
      <c r="D49" s="37" t="n"/>
      <c r="E49" s="37" t="n"/>
      <c r="F49" s="37" t="n"/>
      <c r="G49" s="274" t="n"/>
      <c r="H49" s="37" t="n"/>
      <c r="I49" s="37" t="n"/>
      <c r="J49" s="37" t="n"/>
      <c r="K49" s="274" t="n"/>
      <c r="L49" s="37" t="n"/>
      <c r="M49" s="37" t="n"/>
      <c r="N49" s="276" t="n"/>
      <c r="O49" s="276" t="n"/>
      <c r="P49" s="276" t="n"/>
      <c r="Q49" s="276" t="n"/>
      <c r="R49" s="276" t="n"/>
      <c r="S49" s="37" t="n"/>
      <c r="T49" s="37" t="n"/>
      <c r="U49" s="37" t="n"/>
      <c r="V49" s="37" t="n"/>
      <c r="W49" s="278" t="n"/>
    </row>
    <row r="50">
      <c r="A50" s="37" t="n"/>
      <c r="B50" s="37" t="n"/>
      <c r="C50" s="37" t="n"/>
      <c r="D50" s="37" t="n"/>
      <c r="E50" s="37" t="n"/>
      <c r="F50" s="37" t="n"/>
      <c r="G50" s="274" t="n"/>
      <c r="H50" s="37" t="n"/>
      <c r="I50" s="37" t="n"/>
      <c r="J50" s="37" t="n"/>
      <c r="K50" s="274" t="n"/>
      <c r="L50" s="37" t="n"/>
      <c r="M50" s="37" t="n"/>
      <c r="N50" s="276" t="n"/>
      <c r="O50" s="276" t="n"/>
      <c r="P50" s="276" t="n"/>
      <c r="Q50" s="276" t="n"/>
      <c r="R50" s="276" t="n"/>
      <c r="S50" s="37" t="n"/>
      <c r="T50" s="37" t="n"/>
      <c r="U50" s="37" t="n"/>
      <c r="V50" s="37" t="n"/>
      <c r="W50" s="278" t="n"/>
    </row>
    <row r="51">
      <c r="A51" s="37" t="n"/>
      <c r="B51" s="37" t="n"/>
      <c r="C51" s="37" t="n"/>
      <c r="D51" s="37" t="n"/>
      <c r="E51" s="37" t="n"/>
      <c r="F51" s="37" t="n"/>
      <c r="G51" s="274" t="n"/>
      <c r="H51" s="37" t="n"/>
      <c r="I51" s="37" t="n"/>
      <c r="J51" s="37" t="n"/>
      <c r="K51" s="274" t="n"/>
      <c r="L51" s="37" t="n"/>
      <c r="M51" s="37" t="n"/>
      <c r="N51" s="276" t="n"/>
      <c r="O51" s="276" t="n"/>
      <c r="P51" s="276" t="n"/>
      <c r="Q51" s="276" t="n"/>
      <c r="R51" s="276" t="n"/>
      <c r="S51" s="37" t="n"/>
      <c r="T51" s="37" t="n"/>
      <c r="U51" s="37" t="n"/>
      <c r="V51" s="37" t="n"/>
      <c r="W51" s="278" t="n"/>
    </row>
    <row r="52">
      <c r="A52" s="37" t="n"/>
      <c r="B52" s="37" t="n"/>
      <c r="C52" s="37" t="n"/>
      <c r="D52" s="37" t="n"/>
      <c r="E52" s="37" t="n"/>
      <c r="F52" s="37" t="n"/>
      <c r="G52" s="274" t="n"/>
      <c r="H52" s="37" t="n"/>
      <c r="I52" s="37" t="n"/>
      <c r="J52" s="37" t="n"/>
      <c r="K52" s="274" t="n"/>
      <c r="L52" s="37" t="n"/>
      <c r="M52" s="37" t="n"/>
      <c r="N52" s="276" t="n"/>
      <c r="O52" s="276" t="n"/>
      <c r="P52" s="276" t="n"/>
      <c r="Q52" s="276" t="n"/>
      <c r="R52" s="276" t="n"/>
      <c r="S52" s="37" t="n"/>
      <c r="T52" s="37" t="n"/>
      <c r="U52" s="37" t="n"/>
      <c r="V52" s="37" t="n"/>
      <c r="W52" s="278" t="n"/>
    </row>
    <row r="53">
      <c r="A53" s="37" t="n"/>
      <c r="B53" s="37" t="n"/>
      <c r="C53" s="37" t="n"/>
      <c r="D53" s="37" t="n"/>
      <c r="E53" s="37" t="n"/>
      <c r="F53" s="37" t="n"/>
      <c r="G53" s="274" t="n"/>
      <c r="H53" s="37" t="n"/>
      <c r="I53" s="37" t="n"/>
      <c r="J53" s="37" t="n"/>
      <c r="K53" s="274" t="n"/>
      <c r="L53" s="37" t="n"/>
      <c r="M53" s="37" t="n"/>
      <c r="N53" s="276" t="n"/>
      <c r="O53" s="276" t="n"/>
      <c r="P53" s="276" t="n"/>
      <c r="Q53" s="276" t="n"/>
      <c r="R53" s="276" t="n"/>
      <c r="S53" s="37" t="n"/>
      <c r="T53" s="37" t="n"/>
      <c r="U53" s="37" t="n"/>
      <c r="V53" s="37" t="n"/>
      <c r="W53" s="278" t="n"/>
    </row>
    <row r="54">
      <c r="A54" s="37" t="n"/>
      <c r="B54" s="37" t="n"/>
      <c r="C54" s="37" t="n"/>
      <c r="D54" s="37" t="n"/>
      <c r="E54" s="37" t="n"/>
      <c r="F54" s="37" t="n"/>
      <c r="G54" s="274" t="n"/>
      <c r="H54" s="37" t="n"/>
      <c r="I54" s="37" t="n"/>
      <c r="J54" s="37" t="n"/>
      <c r="K54" s="274" t="n"/>
      <c r="L54" s="37" t="n"/>
      <c r="M54" s="37" t="n"/>
      <c r="N54" s="276" t="n"/>
      <c r="O54" s="276" t="n"/>
      <c r="P54" s="276" t="n"/>
      <c r="Q54" s="276" t="n"/>
      <c r="R54" s="276" t="n"/>
      <c r="S54" s="37" t="n"/>
      <c r="T54" s="37" t="n"/>
      <c r="U54" s="37" t="n"/>
      <c r="V54" s="37" t="n"/>
      <c r="W54" s="278" t="n"/>
    </row>
    <row r="55">
      <c r="A55" s="37" t="n"/>
      <c r="B55" s="37" t="n"/>
      <c r="C55" s="37" t="n"/>
      <c r="D55" s="37" t="n"/>
      <c r="E55" s="37" t="n"/>
      <c r="F55" s="37" t="n"/>
      <c r="G55" s="274" t="n"/>
      <c r="H55" s="37" t="n"/>
      <c r="I55" s="37" t="n"/>
      <c r="J55" s="37" t="n"/>
      <c r="K55" s="274" t="n"/>
      <c r="L55" s="37" t="n"/>
      <c r="M55" s="37" t="n"/>
      <c r="N55" s="276" t="n"/>
      <c r="O55" s="276" t="n"/>
      <c r="P55" s="276" t="n"/>
      <c r="Q55" s="276" t="n"/>
      <c r="R55" s="276" t="n"/>
      <c r="S55" s="37" t="n"/>
      <c r="T55" s="37" t="n"/>
      <c r="U55" s="37" t="n"/>
      <c r="V55" s="37" t="n"/>
      <c r="W55" s="278" t="n"/>
    </row>
    <row r="56">
      <c r="A56" s="37" t="n"/>
      <c r="B56" s="37" t="n"/>
      <c r="C56" s="37" t="n"/>
      <c r="D56" s="37" t="n"/>
      <c r="E56" s="37" t="n"/>
      <c r="F56" s="37" t="n"/>
      <c r="G56" s="274" t="n"/>
      <c r="H56" s="37" t="n"/>
      <c r="I56" s="37" t="n"/>
      <c r="J56" s="37" t="n"/>
      <c r="K56" s="274" t="n"/>
      <c r="L56" s="37" t="n"/>
      <c r="M56" s="37" t="n"/>
      <c r="N56" s="276" t="n"/>
      <c r="O56" s="276" t="n"/>
      <c r="P56" s="276" t="n"/>
      <c r="Q56" s="276" t="n"/>
      <c r="R56" s="276" t="n"/>
      <c r="S56" s="37" t="n"/>
      <c r="T56" s="37" t="n"/>
      <c r="U56" s="37" t="n"/>
      <c r="V56" s="37" t="n"/>
      <c r="W56" s="278" t="n"/>
    </row>
    <row r="57">
      <c r="A57" s="37" t="n"/>
      <c r="B57" s="37" t="n"/>
      <c r="C57" s="37" t="n"/>
      <c r="D57" s="37" t="n"/>
      <c r="E57" s="37" t="n"/>
      <c r="F57" s="37" t="n"/>
      <c r="G57" s="274" t="n"/>
      <c r="H57" s="37" t="n"/>
      <c r="I57" s="37" t="n"/>
      <c r="J57" s="37" t="n"/>
      <c r="K57" s="274" t="n"/>
      <c r="L57" s="37" t="n"/>
      <c r="M57" s="37" t="n"/>
      <c r="N57" s="276" t="n"/>
      <c r="O57" s="276" t="n"/>
      <c r="P57" s="276" t="n"/>
      <c r="Q57" s="276" t="n"/>
      <c r="R57" s="276" t="n"/>
      <c r="S57" s="37" t="n"/>
      <c r="T57" s="37" t="n"/>
      <c r="U57" s="37" t="n"/>
      <c r="V57" s="37" t="n"/>
      <c r="W57" s="278" t="n"/>
    </row>
    <row r="58">
      <c r="A58" s="37" t="n"/>
      <c r="B58" s="37" t="n"/>
      <c r="C58" s="37" t="n"/>
      <c r="D58" s="37" t="n"/>
      <c r="E58" s="37" t="n"/>
      <c r="F58" s="37" t="n"/>
      <c r="G58" s="274" t="n"/>
      <c r="H58" s="37" t="n"/>
      <c r="I58" s="37" t="n"/>
      <c r="J58" s="37" t="n"/>
      <c r="K58" s="274" t="n"/>
      <c r="L58" s="37" t="n"/>
      <c r="M58" s="37" t="n"/>
      <c r="N58" s="276" t="n"/>
      <c r="O58" s="276" t="n"/>
      <c r="P58" s="276" t="n"/>
      <c r="Q58" s="276" t="n"/>
      <c r="R58" s="276" t="n"/>
      <c r="S58" s="37" t="n"/>
      <c r="T58" s="37" t="n"/>
      <c r="U58" s="37" t="n"/>
      <c r="V58" s="37" t="n"/>
      <c r="W58" s="278" t="n"/>
    </row>
    <row r="59">
      <c r="A59" s="37" t="n"/>
      <c r="B59" s="37" t="n"/>
      <c r="C59" s="37" t="n"/>
      <c r="D59" s="37" t="n"/>
      <c r="E59" s="37" t="n"/>
      <c r="F59" s="37" t="n"/>
      <c r="G59" s="274" t="n"/>
      <c r="H59" s="37" t="n"/>
      <c r="I59" s="37" t="n"/>
      <c r="J59" s="37" t="n"/>
      <c r="K59" s="274" t="n"/>
      <c r="L59" s="37" t="n"/>
      <c r="M59" s="37" t="n"/>
      <c r="N59" s="276" t="n"/>
      <c r="O59" s="276" t="n"/>
      <c r="P59" s="276" t="n"/>
      <c r="Q59" s="276" t="n"/>
      <c r="R59" s="276" t="n"/>
      <c r="S59" s="37" t="n"/>
      <c r="T59" s="37" t="n"/>
      <c r="U59" s="37" t="n"/>
      <c r="V59" s="37" t="n"/>
      <c r="W59" s="278" t="n"/>
    </row>
    <row r="60">
      <c r="A60" s="37" t="n"/>
      <c r="B60" s="37" t="n"/>
      <c r="C60" s="37" t="n"/>
      <c r="D60" s="37" t="n"/>
      <c r="E60" s="37" t="n"/>
      <c r="F60" s="37" t="n"/>
      <c r="G60" s="274" t="n"/>
      <c r="H60" s="37" t="n"/>
      <c r="I60" s="37" t="n"/>
      <c r="J60" s="37" t="n"/>
      <c r="K60" s="274" t="n"/>
      <c r="L60" s="37" t="n"/>
      <c r="M60" s="37" t="n"/>
      <c r="N60" s="276" t="n"/>
      <c r="O60" s="276" t="n"/>
      <c r="P60" s="276" t="n"/>
      <c r="Q60" s="276" t="n"/>
      <c r="R60" s="276" t="n"/>
      <c r="S60" s="37" t="n"/>
      <c r="T60" s="37" t="n"/>
      <c r="U60" s="37" t="n"/>
      <c r="V60" s="37" t="n"/>
      <c r="W60" s="278" t="n"/>
    </row>
    <row r="61">
      <c r="A61" s="37" t="n"/>
      <c r="B61" s="37" t="n"/>
      <c r="C61" s="37" t="n"/>
      <c r="D61" s="37" t="n"/>
      <c r="E61" s="37" t="n"/>
      <c r="F61" s="37" t="n"/>
      <c r="G61" s="274" t="n"/>
      <c r="H61" s="37" t="n"/>
      <c r="I61" s="37" t="n"/>
      <c r="J61" s="37" t="n"/>
      <c r="K61" s="274" t="n"/>
      <c r="L61" s="37" t="n"/>
      <c r="M61" s="37" t="n"/>
      <c r="N61" s="276" t="n"/>
      <c r="O61" s="276" t="n"/>
      <c r="P61" s="276" t="n"/>
      <c r="Q61" s="276" t="n"/>
      <c r="R61" s="276" t="n"/>
      <c r="S61" s="37" t="n"/>
      <c r="T61" s="37" t="n"/>
      <c r="U61" s="37" t="n"/>
      <c r="V61" s="37" t="n"/>
      <c r="W61" s="278" t="n"/>
    </row>
    <row r="62">
      <c r="A62" s="37" t="n"/>
      <c r="B62" s="37" t="n"/>
      <c r="C62" s="37" t="n"/>
      <c r="D62" s="37" t="n"/>
      <c r="E62" s="37" t="n"/>
      <c r="F62" s="37" t="n"/>
      <c r="G62" s="274" t="n"/>
      <c r="H62" s="37" t="n"/>
      <c r="I62" s="37" t="n"/>
      <c r="J62" s="37" t="n"/>
      <c r="K62" s="274" t="n"/>
      <c r="L62" s="37" t="n"/>
      <c r="M62" s="37" t="n"/>
      <c r="N62" s="276" t="n"/>
      <c r="O62" s="276" t="n"/>
      <c r="P62" s="276" t="n"/>
      <c r="Q62" s="276" t="n"/>
      <c r="R62" s="276" t="n"/>
      <c r="S62" s="37" t="n"/>
      <c r="T62" s="37" t="n"/>
      <c r="U62" s="37" t="n"/>
      <c r="V62" s="37" t="n"/>
      <c r="W62" s="278" t="n"/>
    </row>
    <row r="63">
      <c r="A63" s="37" t="n"/>
      <c r="B63" s="37" t="n"/>
      <c r="C63" s="37" t="n"/>
      <c r="D63" s="37" t="n"/>
      <c r="E63" s="37" t="n"/>
      <c r="F63" s="37" t="n"/>
      <c r="G63" s="274" t="n"/>
      <c r="H63" s="37" t="n"/>
      <c r="I63" s="37" t="n"/>
      <c r="J63" s="37" t="n"/>
      <c r="K63" s="274" t="n"/>
      <c r="L63" s="37" t="n"/>
      <c r="M63" s="37" t="n"/>
      <c r="N63" s="276" t="n"/>
      <c r="O63" s="276" t="n"/>
      <c r="P63" s="276" t="n"/>
      <c r="Q63" s="276" t="n"/>
      <c r="R63" s="276" t="n"/>
      <c r="S63" s="37" t="n"/>
      <c r="T63" s="37" t="n"/>
      <c r="U63" s="37" t="n"/>
      <c r="V63" s="37" t="n"/>
      <c r="W63" s="278" t="n"/>
    </row>
    <row r="64">
      <c r="A64" s="37" t="n"/>
      <c r="B64" s="37" t="n"/>
      <c r="C64" s="37" t="n"/>
      <c r="D64" s="37" t="n"/>
      <c r="E64" s="37" t="n"/>
      <c r="F64" s="37" t="n"/>
      <c r="G64" s="274" t="n"/>
      <c r="H64" s="37" t="n"/>
      <c r="I64" s="37" t="n"/>
      <c r="J64" s="37" t="n"/>
      <c r="K64" s="274" t="n"/>
      <c r="L64" s="37" t="n"/>
      <c r="M64" s="37" t="n"/>
      <c r="N64" s="276" t="n"/>
      <c r="O64" s="276" t="n"/>
      <c r="P64" s="276" t="n"/>
      <c r="Q64" s="276" t="n"/>
      <c r="R64" s="276" t="n"/>
      <c r="S64" s="37" t="n"/>
      <c r="T64" s="37" t="n"/>
      <c r="U64" s="37" t="n"/>
      <c r="V64" s="37" t="n"/>
      <c r="W64" s="278" t="n"/>
    </row>
    <row r="65">
      <c r="A65" s="37" t="n"/>
      <c r="B65" s="37" t="n"/>
      <c r="C65" s="37" t="n"/>
      <c r="D65" s="37" t="n"/>
      <c r="E65" s="37" t="n"/>
      <c r="F65" s="37" t="n"/>
      <c r="G65" s="274" t="n"/>
      <c r="H65" s="37" t="n"/>
      <c r="I65" s="37" t="n"/>
      <c r="J65" s="37" t="n"/>
      <c r="K65" s="274" t="n"/>
      <c r="L65" s="37" t="n"/>
      <c r="M65" s="37" t="n"/>
      <c r="N65" s="276" t="n"/>
      <c r="O65" s="276" t="n"/>
      <c r="P65" s="276" t="n"/>
      <c r="Q65" s="276" t="n"/>
      <c r="R65" s="276" t="n"/>
      <c r="S65" s="37" t="n"/>
      <c r="T65" s="37" t="n"/>
      <c r="U65" s="37" t="n"/>
      <c r="V65" s="37" t="n"/>
      <c r="W65" s="278" t="n"/>
    </row>
    <row r="66">
      <c r="A66" s="37" t="n"/>
      <c r="B66" s="37" t="n"/>
      <c r="C66" s="37" t="n"/>
      <c r="D66" s="37" t="n"/>
      <c r="E66" s="37" t="n"/>
      <c r="F66" s="37" t="n"/>
      <c r="G66" s="274" t="n"/>
      <c r="H66" s="37" t="n"/>
      <c r="I66" s="37" t="n"/>
      <c r="J66" s="37" t="n"/>
      <c r="K66" s="274" t="n"/>
      <c r="L66" s="37" t="n"/>
      <c r="M66" s="37" t="n"/>
      <c r="N66" s="276" t="n"/>
      <c r="O66" s="276" t="n"/>
      <c r="P66" s="276" t="n"/>
      <c r="Q66" s="276" t="n"/>
      <c r="R66" s="276" t="n"/>
      <c r="S66" s="37" t="n"/>
      <c r="T66" s="37" t="n"/>
      <c r="U66" s="37" t="n"/>
      <c r="V66" s="37" t="n"/>
      <c r="W66" s="278" t="n"/>
    </row>
    <row r="67">
      <c r="A67" s="37" t="n"/>
      <c r="B67" s="37" t="n"/>
      <c r="C67" s="37" t="n"/>
      <c r="D67" s="37" t="n"/>
      <c r="E67" s="37" t="n"/>
      <c r="F67" s="37" t="n"/>
      <c r="G67" s="274" t="n"/>
      <c r="H67" s="37" t="n"/>
      <c r="I67" s="37" t="n"/>
      <c r="J67" s="37" t="n"/>
      <c r="K67" s="274" t="n"/>
      <c r="L67" s="37" t="n"/>
      <c r="M67" s="37" t="n"/>
      <c r="N67" s="276" t="n"/>
      <c r="O67" s="276" t="n"/>
      <c r="P67" s="276" t="n"/>
      <c r="Q67" s="276" t="n"/>
      <c r="R67" s="276" t="n"/>
      <c r="S67" s="37" t="n"/>
      <c r="T67" s="37" t="n"/>
      <c r="U67" s="37" t="n"/>
      <c r="V67" s="37" t="n"/>
      <c r="W67" s="278" t="n"/>
    </row>
    <row r="68">
      <c r="A68" s="37" t="n"/>
      <c r="B68" s="37" t="n"/>
      <c r="C68" s="37" t="n"/>
      <c r="D68" s="37" t="n"/>
      <c r="E68" s="37" t="n"/>
      <c r="F68" s="37" t="n"/>
      <c r="G68" s="274" t="n"/>
      <c r="H68" s="37" t="n"/>
      <c r="I68" s="37" t="n"/>
      <c r="J68" s="37" t="n"/>
      <c r="K68" s="274" t="n"/>
      <c r="L68" s="37" t="n"/>
      <c r="M68" s="37" t="n"/>
      <c r="N68" s="276" t="n"/>
      <c r="O68" s="276" t="n"/>
      <c r="P68" s="276" t="n"/>
      <c r="Q68" s="276" t="n"/>
      <c r="R68" s="276" t="n"/>
      <c r="S68" s="37" t="n"/>
      <c r="T68" s="37" t="n"/>
      <c r="U68" s="37" t="n"/>
      <c r="V68" s="37" t="n"/>
      <c r="W68" s="278" t="n"/>
    </row>
    <row r="69">
      <c r="A69" s="37" t="n"/>
      <c r="B69" s="37" t="n"/>
      <c r="C69" s="37" t="n"/>
      <c r="D69" s="37" t="n"/>
      <c r="E69" s="37" t="n"/>
      <c r="F69" s="37" t="n"/>
      <c r="G69" s="274" t="n"/>
      <c r="H69" s="37" t="n"/>
      <c r="I69" s="37" t="n"/>
      <c r="J69" s="37" t="n"/>
      <c r="K69" s="274" t="n"/>
      <c r="L69" s="37" t="n"/>
      <c r="M69" s="37" t="n"/>
      <c r="N69" s="276" t="n"/>
      <c r="O69" s="276" t="n"/>
      <c r="P69" s="276" t="n"/>
      <c r="Q69" s="276" t="n"/>
      <c r="R69" s="276" t="n"/>
      <c r="S69" s="37" t="n"/>
      <c r="T69" s="37" t="n"/>
      <c r="U69" s="37" t="n"/>
      <c r="V69" s="37" t="n"/>
      <c r="W69" s="278" t="n"/>
    </row>
    <row r="70">
      <c r="A70" s="37" t="n"/>
      <c r="B70" s="37" t="n"/>
      <c r="C70" s="37" t="n"/>
      <c r="D70" s="37" t="n"/>
      <c r="E70" s="37" t="n"/>
      <c r="F70" s="37" t="n"/>
      <c r="G70" s="274" t="n"/>
      <c r="H70" s="37" t="n"/>
      <c r="I70" s="37" t="n"/>
      <c r="J70" s="37" t="n"/>
      <c r="K70" s="274" t="n"/>
      <c r="L70" s="37" t="n"/>
      <c r="M70" s="37" t="n"/>
      <c r="N70" s="276" t="n"/>
      <c r="O70" s="276" t="n"/>
      <c r="P70" s="276" t="n"/>
      <c r="Q70" s="276" t="n"/>
      <c r="R70" s="276" t="n"/>
      <c r="S70" s="37" t="n"/>
      <c r="T70" s="37" t="n"/>
      <c r="U70" s="37" t="n"/>
      <c r="V70" s="37" t="n"/>
      <c r="W70" s="278" t="n"/>
    </row>
    <row r="71">
      <c r="A71" s="37" t="n"/>
      <c r="B71" s="37" t="n"/>
      <c r="C71" s="37" t="n"/>
      <c r="D71" s="37" t="n"/>
      <c r="E71" s="37" t="n"/>
      <c r="F71" s="37" t="n"/>
      <c r="G71" s="274" t="n"/>
      <c r="H71" s="37" t="n"/>
      <c r="I71" s="37" t="n"/>
      <c r="J71" s="37" t="n"/>
      <c r="K71" s="274" t="n"/>
      <c r="L71" s="37" t="n"/>
      <c r="M71" s="37" t="n"/>
      <c r="N71" s="276" t="n"/>
      <c r="O71" s="276" t="n"/>
      <c r="P71" s="276" t="n"/>
      <c r="Q71" s="276" t="n"/>
      <c r="R71" s="276" t="n"/>
      <c r="S71" s="37" t="n"/>
      <c r="T71" s="37" t="n"/>
      <c r="U71" s="37" t="n"/>
      <c r="V71" s="37" t="n"/>
      <c r="W71" s="278" t="n"/>
    </row>
    <row r="72">
      <c r="A72" s="37" t="n"/>
      <c r="B72" s="37" t="n"/>
      <c r="C72" s="37" t="n"/>
      <c r="D72" s="37" t="n"/>
      <c r="E72" s="37" t="n"/>
      <c r="F72" s="37" t="n"/>
      <c r="G72" s="274" t="n"/>
      <c r="H72" s="37" t="n"/>
      <c r="I72" s="37" t="n"/>
      <c r="J72" s="37" t="n"/>
      <c r="K72" s="274" t="n"/>
      <c r="L72" s="37" t="n"/>
      <c r="M72" s="37" t="n"/>
      <c r="N72" s="276" t="n"/>
      <c r="O72" s="276" t="n"/>
      <c r="P72" s="276" t="n"/>
      <c r="Q72" s="276" t="n"/>
      <c r="R72" s="276" t="n"/>
      <c r="S72" s="37" t="n"/>
      <c r="T72" s="37" t="n"/>
      <c r="U72" s="37" t="n"/>
      <c r="V72" s="37" t="n"/>
      <c r="W72" s="278" t="n"/>
    </row>
    <row r="73">
      <c r="A73" s="37" t="n"/>
      <c r="B73" s="37" t="n"/>
      <c r="C73" s="37" t="n"/>
      <c r="D73" s="37" t="n"/>
      <c r="E73" s="37" t="n"/>
      <c r="F73" s="37" t="n"/>
      <c r="G73" s="274" t="n"/>
      <c r="H73" s="37" t="n"/>
      <c r="I73" s="37" t="n"/>
      <c r="J73" s="37" t="n"/>
      <c r="K73" s="274" t="n"/>
      <c r="L73" s="37" t="n"/>
      <c r="M73" s="37" t="n"/>
      <c r="N73" s="276" t="n"/>
      <c r="O73" s="276" t="n"/>
      <c r="P73" s="276" t="n"/>
      <c r="Q73" s="276" t="n"/>
      <c r="R73" s="276" t="n"/>
      <c r="S73" s="37" t="n"/>
      <c r="T73" s="37" t="n"/>
      <c r="U73" s="37" t="n"/>
      <c r="V73" s="37" t="n"/>
      <c r="W73" s="278" t="n"/>
    </row>
    <row r="74">
      <c r="A74" s="37" t="n"/>
      <c r="B74" s="37" t="n"/>
      <c r="C74" s="37" t="n"/>
      <c r="D74" s="37" t="n"/>
      <c r="E74" s="37" t="n"/>
      <c r="F74" s="37" t="n"/>
      <c r="G74" s="274" t="n"/>
      <c r="H74" s="37" t="n"/>
      <c r="I74" s="37" t="n"/>
      <c r="J74" s="37" t="n"/>
      <c r="K74" s="274" t="n"/>
      <c r="L74" s="37" t="n"/>
      <c r="M74" s="37" t="n"/>
      <c r="N74" s="276" t="n"/>
      <c r="O74" s="276" t="n"/>
      <c r="P74" s="276" t="n"/>
      <c r="Q74" s="276" t="n"/>
      <c r="R74" s="276" t="n"/>
      <c r="S74" s="37" t="n"/>
      <c r="T74" s="37" t="n"/>
      <c r="U74" s="37" t="n"/>
      <c r="V74" s="37" t="n"/>
      <c r="W74" s="278" t="n"/>
    </row>
    <row r="75">
      <c r="A75" s="37" t="n"/>
      <c r="B75" s="37" t="n"/>
      <c r="C75" s="37" t="n"/>
      <c r="D75" s="37" t="n"/>
      <c r="E75" s="37" t="n"/>
      <c r="F75" s="37" t="n"/>
      <c r="G75" s="274" t="n"/>
      <c r="H75" s="37" t="n"/>
      <c r="I75" s="37" t="n"/>
      <c r="J75" s="37" t="n"/>
      <c r="K75" s="274" t="n"/>
      <c r="L75" s="37" t="n"/>
      <c r="M75" s="37" t="n"/>
      <c r="N75" s="276" t="n"/>
      <c r="O75" s="276" t="n"/>
      <c r="P75" s="276" t="n"/>
      <c r="Q75" s="276" t="n"/>
      <c r="R75" s="276" t="n"/>
      <c r="S75" s="37" t="n"/>
      <c r="T75" s="37" t="n"/>
      <c r="U75" s="37" t="n"/>
      <c r="V75" s="37" t="n"/>
      <c r="W75" s="278" t="n"/>
    </row>
    <row r="76">
      <c r="A76" s="37" t="n"/>
      <c r="B76" s="37" t="n"/>
      <c r="C76" s="37" t="n"/>
      <c r="D76" s="37" t="n"/>
      <c r="E76" s="37" t="n"/>
      <c r="F76" s="37" t="n"/>
      <c r="G76" s="274" t="n"/>
      <c r="H76" s="37" t="n"/>
      <c r="I76" s="37" t="n"/>
      <c r="J76" s="37" t="n"/>
      <c r="K76" s="274" t="n"/>
      <c r="L76" s="37" t="n"/>
      <c r="M76" s="37" t="n"/>
      <c r="N76" s="276" t="n"/>
      <c r="O76" s="276" t="n"/>
      <c r="P76" s="276" t="n"/>
      <c r="Q76" s="276" t="n"/>
      <c r="R76" s="276" t="n"/>
      <c r="S76" s="37" t="n"/>
      <c r="T76" s="37" t="n"/>
      <c r="U76" s="37" t="n"/>
      <c r="V76" s="37" t="n"/>
      <c r="W76" s="278" t="n"/>
    </row>
    <row r="77">
      <c r="A77" s="37" t="n"/>
      <c r="B77" s="37" t="n"/>
      <c r="C77" s="37" t="n"/>
      <c r="D77" s="37" t="n"/>
      <c r="E77" s="37" t="n"/>
      <c r="F77" s="37" t="n"/>
      <c r="G77" s="274" t="n"/>
      <c r="H77" s="37" t="n"/>
      <c r="I77" s="37" t="n"/>
      <c r="J77" s="37" t="n"/>
      <c r="K77" s="274" t="n"/>
      <c r="L77" s="37" t="n"/>
      <c r="M77" s="37" t="n"/>
      <c r="N77" s="276" t="n"/>
      <c r="O77" s="276" t="n"/>
      <c r="P77" s="276" t="n"/>
      <c r="Q77" s="276" t="n"/>
      <c r="R77" s="276" t="n"/>
      <c r="S77" s="37" t="n"/>
      <c r="T77" s="37" t="n"/>
      <c r="U77" s="37" t="n"/>
      <c r="V77" s="37" t="n"/>
      <c r="W77" s="278" t="n"/>
    </row>
    <row r="78">
      <c r="A78" s="37" t="n"/>
      <c r="B78" s="37" t="n"/>
      <c r="C78" s="37" t="n"/>
      <c r="D78" s="37" t="n"/>
      <c r="E78" s="37" t="n"/>
      <c r="F78" s="37" t="n"/>
      <c r="G78" s="274" t="n"/>
      <c r="H78" s="37" t="n"/>
      <c r="I78" s="37" t="n"/>
      <c r="J78" s="37" t="n"/>
      <c r="K78" s="274" t="n"/>
      <c r="L78" s="37" t="n"/>
      <c r="M78" s="37" t="n"/>
      <c r="N78" s="276" t="n"/>
      <c r="O78" s="276" t="n"/>
      <c r="P78" s="276" t="n"/>
      <c r="Q78" s="276" t="n"/>
      <c r="R78" s="276" t="n"/>
      <c r="S78" s="37" t="n"/>
      <c r="T78" s="37" t="n"/>
      <c r="U78" s="37" t="n"/>
      <c r="V78" s="37" t="n"/>
      <c r="W78" s="278" t="n"/>
    </row>
    <row r="79">
      <c r="A79" s="37" t="n"/>
      <c r="B79" s="37" t="n"/>
      <c r="C79" s="37" t="n"/>
      <c r="D79" s="37" t="n"/>
      <c r="E79" s="37" t="n"/>
      <c r="F79" s="37" t="n"/>
      <c r="G79" s="274" t="n"/>
      <c r="H79" s="37" t="n"/>
      <c r="I79" s="37" t="n"/>
      <c r="J79" s="37" t="n"/>
      <c r="K79" s="274" t="n"/>
      <c r="L79" s="37" t="n"/>
      <c r="M79" s="37" t="n"/>
      <c r="N79" s="276" t="n"/>
      <c r="O79" s="276" t="n"/>
      <c r="P79" s="276" t="n"/>
      <c r="Q79" s="276" t="n"/>
      <c r="R79" s="276" t="n"/>
      <c r="S79" s="37" t="n"/>
      <c r="T79" s="37" t="n"/>
      <c r="U79" s="37" t="n"/>
      <c r="V79" s="37" t="n"/>
      <c r="W79" s="278" t="n"/>
    </row>
    <row r="80">
      <c r="A80" s="37" t="n"/>
      <c r="B80" s="37" t="n"/>
      <c r="C80" s="37" t="n"/>
      <c r="D80" s="37" t="n"/>
      <c r="E80" s="37" t="n"/>
      <c r="F80" s="37" t="n"/>
      <c r="G80" s="274" t="n"/>
      <c r="H80" s="37" t="n"/>
      <c r="I80" s="37" t="n"/>
      <c r="J80" s="37" t="n"/>
      <c r="K80" s="274" t="n"/>
      <c r="L80" s="37" t="n"/>
      <c r="M80" s="37" t="n"/>
      <c r="N80" s="276" t="n"/>
      <c r="O80" s="276" t="n"/>
      <c r="P80" s="276" t="n"/>
      <c r="Q80" s="276" t="n"/>
      <c r="R80" s="276" t="n"/>
      <c r="S80" s="37" t="n"/>
      <c r="T80" s="37" t="n"/>
      <c r="U80" s="37" t="n"/>
      <c r="V80" s="37" t="n"/>
      <c r="W80" s="278" t="n"/>
    </row>
    <row r="81">
      <c r="A81" s="37" t="n"/>
      <c r="B81" s="37" t="n"/>
      <c r="C81" s="37" t="n"/>
      <c r="D81" s="37" t="n"/>
      <c r="E81" s="37" t="n"/>
      <c r="F81" s="37" t="n"/>
      <c r="G81" s="274" t="n"/>
      <c r="H81" s="37" t="n"/>
      <c r="I81" s="37" t="n"/>
      <c r="J81" s="37" t="n"/>
      <c r="K81" s="274" t="n"/>
      <c r="L81" s="37" t="n"/>
      <c r="M81" s="37" t="n"/>
      <c r="N81" s="276" t="n"/>
      <c r="O81" s="276" t="n"/>
      <c r="P81" s="276" t="n"/>
      <c r="Q81" s="276" t="n"/>
      <c r="R81" s="276" t="n"/>
      <c r="S81" s="37" t="n"/>
      <c r="T81" s="37" t="n"/>
      <c r="U81" s="37" t="n"/>
      <c r="V81" s="37" t="n"/>
      <c r="W81" s="278" t="n"/>
    </row>
    <row r="82">
      <c r="A82" s="37" t="n"/>
      <c r="B82" s="37" t="n"/>
      <c r="C82" s="37" t="n"/>
      <c r="D82" s="37" t="n"/>
      <c r="E82" s="37" t="n"/>
      <c r="F82" s="37" t="n"/>
      <c r="G82" s="274" t="n"/>
      <c r="H82" s="37" t="n"/>
      <c r="I82" s="37" t="n"/>
      <c r="J82" s="37" t="n"/>
      <c r="K82" s="274" t="n"/>
      <c r="L82" s="37" t="n"/>
      <c r="M82" s="37" t="n"/>
      <c r="N82" s="276" t="n"/>
      <c r="O82" s="276" t="n"/>
      <c r="P82" s="276" t="n"/>
      <c r="Q82" s="276" t="n"/>
      <c r="R82" s="276" t="n"/>
      <c r="S82" s="37" t="n"/>
      <c r="T82" s="37" t="n"/>
      <c r="U82" s="37" t="n"/>
      <c r="V82" s="37" t="n"/>
      <c r="W82" s="278" t="n"/>
    </row>
    <row r="83">
      <c r="A83" s="37" t="n"/>
      <c r="B83" s="37" t="n"/>
      <c r="C83" s="37" t="n"/>
      <c r="D83" s="37" t="n"/>
      <c r="E83" s="37" t="n"/>
      <c r="F83" s="37" t="n"/>
      <c r="G83" s="274" t="n"/>
      <c r="H83" s="37" t="n"/>
      <c r="I83" s="37" t="n"/>
      <c r="J83" s="37" t="n"/>
      <c r="K83" s="274" t="n"/>
      <c r="L83" s="37" t="n"/>
      <c r="M83" s="37" t="n"/>
      <c r="N83" s="276" t="n"/>
      <c r="O83" s="276" t="n"/>
      <c r="P83" s="276" t="n"/>
      <c r="Q83" s="276" t="n"/>
      <c r="R83" s="276" t="n"/>
      <c r="S83" s="37" t="n"/>
      <c r="T83" s="37" t="n"/>
      <c r="U83" s="37" t="n"/>
      <c r="V83" s="37" t="n"/>
      <c r="W83" s="278" t="n"/>
    </row>
    <row r="84">
      <c r="A84" s="37" t="n"/>
      <c r="B84" s="37" t="n"/>
      <c r="C84" s="37" t="n"/>
      <c r="D84" s="37" t="n"/>
      <c r="E84" s="37" t="n"/>
      <c r="F84" s="37" t="n"/>
      <c r="G84" s="274" t="n"/>
      <c r="H84" s="37" t="n"/>
      <c r="I84" s="37" t="n"/>
      <c r="J84" s="37" t="n"/>
      <c r="K84" s="274" t="n"/>
      <c r="L84" s="37" t="n"/>
      <c r="M84" s="37" t="n"/>
      <c r="N84" s="276" t="n"/>
      <c r="O84" s="276" t="n"/>
      <c r="P84" s="276" t="n"/>
      <c r="Q84" s="276" t="n"/>
      <c r="R84" s="276" t="n"/>
      <c r="S84" s="37" t="n"/>
      <c r="T84" s="37" t="n"/>
      <c r="U84" s="37" t="n"/>
      <c r="V84" s="37" t="n"/>
      <c r="W84" s="278" t="n"/>
    </row>
    <row r="85">
      <c r="A85" s="37" t="n"/>
      <c r="B85" s="37" t="n"/>
      <c r="C85" s="37" t="n"/>
      <c r="D85" s="37" t="n"/>
      <c r="E85" s="37" t="n"/>
      <c r="F85" s="37" t="n"/>
      <c r="G85" s="274" t="n"/>
      <c r="H85" s="37" t="n"/>
      <c r="I85" s="37" t="n"/>
      <c r="J85" s="37" t="n"/>
      <c r="K85" s="274" t="n"/>
      <c r="L85" s="37" t="n"/>
      <c r="M85" s="37" t="n"/>
      <c r="N85" s="276" t="n"/>
      <c r="O85" s="276" t="n"/>
      <c r="P85" s="276" t="n"/>
      <c r="Q85" s="276" t="n"/>
      <c r="R85" s="276" t="n"/>
      <c r="S85" s="37" t="n"/>
      <c r="T85" s="37" t="n"/>
      <c r="U85" s="37" t="n"/>
      <c r="V85" s="37" t="n"/>
      <c r="W85" s="278" t="n"/>
    </row>
    <row r="86">
      <c r="A86" s="37" t="n"/>
      <c r="B86" s="37" t="n"/>
      <c r="C86" s="37" t="n"/>
      <c r="D86" s="37" t="n"/>
      <c r="E86" s="37" t="n"/>
      <c r="F86" s="37" t="n"/>
      <c r="G86" s="274" t="n"/>
      <c r="H86" s="37" t="n"/>
      <c r="I86" s="37" t="n"/>
      <c r="J86" s="37" t="n"/>
      <c r="K86" s="274" t="n"/>
      <c r="L86" s="37" t="n"/>
      <c r="M86" s="37" t="n"/>
      <c r="N86" s="276" t="n"/>
      <c r="O86" s="276" t="n"/>
      <c r="P86" s="276" t="n"/>
      <c r="Q86" s="276" t="n"/>
      <c r="R86" s="276" t="n"/>
      <c r="S86" s="37" t="n"/>
      <c r="T86" s="37" t="n"/>
      <c r="U86" s="37" t="n"/>
      <c r="V86" s="37" t="n"/>
      <c r="W86" s="278" t="n"/>
    </row>
    <row r="87">
      <c r="A87" s="37" t="n"/>
      <c r="B87" s="37" t="n"/>
      <c r="C87" s="37" t="n"/>
      <c r="D87" s="37" t="n"/>
      <c r="E87" s="37" t="n"/>
      <c r="F87" s="37" t="n"/>
      <c r="G87" s="274" t="n"/>
      <c r="H87" s="37" t="n"/>
      <c r="I87" s="37" t="n"/>
      <c r="J87" s="37" t="n"/>
      <c r="K87" s="274" t="n"/>
      <c r="L87" s="37" t="n"/>
      <c r="M87" s="37" t="n"/>
      <c r="N87" s="276" t="n"/>
      <c r="O87" s="276" t="n"/>
      <c r="P87" s="276" t="n"/>
      <c r="Q87" s="276" t="n"/>
      <c r="R87" s="276" t="n"/>
      <c r="S87" s="37" t="n"/>
      <c r="T87" s="37" t="n"/>
      <c r="U87" s="37" t="n"/>
      <c r="V87" s="37" t="n"/>
      <c r="W87" s="278" t="n"/>
    </row>
    <row r="88">
      <c r="A88" s="37" t="n"/>
      <c r="B88" s="37" t="n"/>
      <c r="C88" s="37" t="n"/>
      <c r="D88" s="37" t="n"/>
      <c r="E88" s="37" t="n"/>
      <c r="F88" s="37" t="n"/>
      <c r="G88" s="274" t="n"/>
      <c r="H88" s="37" t="n"/>
      <c r="I88" s="37" t="n"/>
      <c r="J88" s="37" t="n"/>
      <c r="K88" s="274" t="n"/>
      <c r="L88" s="37" t="n"/>
      <c r="M88" s="37" t="n"/>
      <c r="N88" s="276" t="n"/>
      <c r="O88" s="276" t="n"/>
      <c r="P88" s="276" t="n"/>
      <c r="Q88" s="276" t="n"/>
      <c r="R88" s="276" t="n"/>
      <c r="S88" s="37" t="n"/>
      <c r="T88" s="37" t="n"/>
      <c r="U88" s="37" t="n"/>
      <c r="V88" s="37" t="n"/>
      <c r="W88" s="278" t="n"/>
    </row>
    <row r="89">
      <c r="A89" s="37" t="n"/>
      <c r="B89" s="37" t="n"/>
      <c r="C89" s="37" t="n"/>
      <c r="D89" s="37" t="n"/>
      <c r="E89" s="37" t="n"/>
      <c r="F89" s="37" t="n"/>
      <c r="G89" s="274" t="n"/>
      <c r="H89" s="37" t="n"/>
      <c r="I89" s="37" t="n"/>
      <c r="J89" s="37" t="n"/>
      <c r="K89" s="274" t="n"/>
      <c r="L89" s="37" t="n"/>
      <c r="M89" s="37" t="n"/>
      <c r="N89" s="276" t="n"/>
      <c r="O89" s="276" t="n"/>
      <c r="P89" s="276" t="n"/>
      <c r="Q89" s="276" t="n"/>
      <c r="R89" s="276" t="n"/>
      <c r="S89" s="37" t="n"/>
      <c r="T89" s="37" t="n"/>
      <c r="U89" s="37" t="n"/>
      <c r="V89" s="37" t="n"/>
      <c r="W89" s="278" t="n"/>
    </row>
    <row r="90">
      <c r="A90" s="37" t="n"/>
      <c r="B90" s="37" t="n"/>
      <c r="C90" s="37" t="n"/>
      <c r="D90" s="37" t="n"/>
      <c r="E90" s="37" t="n"/>
      <c r="F90" s="37" t="n"/>
      <c r="G90" s="274" t="n"/>
      <c r="H90" s="37" t="n"/>
      <c r="I90" s="37" t="n"/>
      <c r="J90" s="37" t="n"/>
      <c r="K90" s="274" t="n"/>
      <c r="L90" s="37" t="n"/>
      <c r="M90" s="37" t="n"/>
      <c r="N90" s="276" t="n"/>
      <c r="O90" s="276" t="n"/>
      <c r="P90" s="276" t="n"/>
      <c r="Q90" s="276" t="n"/>
      <c r="R90" s="276" t="n"/>
      <c r="S90" s="37" t="n"/>
      <c r="T90" s="37" t="n"/>
      <c r="U90" s="37" t="n"/>
      <c r="V90" s="37" t="n"/>
      <c r="W90" s="278" t="n"/>
    </row>
    <row r="91">
      <c r="A91" s="37" t="n"/>
      <c r="B91" s="37" t="n"/>
      <c r="C91" s="37" t="n"/>
      <c r="D91" s="37" t="n"/>
      <c r="E91" s="37" t="n"/>
      <c r="F91" s="37" t="n"/>
      <c r="G91" s="274" t="n"/>
      <c r="H91" s="37" t="n"/>
      <c r="I91" s="37" t="n"/>
      <c r="J91" s="37" t="n"/>
      <c r="K91" s="274" t="n"/>
      <c r="L91" s="37" t="n"/>
      <c r="M91" s="37" t="n"/>
      <c r="N91" s="276" t="n"/>
      <c r="O91" s="276" t="n"/>
      <c r="P91" s="276" t="n"/>
      <c r="Q91" s="276" t="n"/>
      <c r="R91" s="276" t="n"/>
      <c r="S91" s="37" t="n"/>
      <c r="T91" s="37" t="n"/>
      <c r="U91" s="37" t="n"/>
      <c r="V91" s="37" t="n"/>
      <c r="W91" s="278" t="n"/>
    </row>
    <row r="92">
      <c r="A92" s="37" t="n"/>
      <c r="B92" s="37" t="n"/>
      <c r="C92" s="37" t="n"/>
      <c r="D92" s="37" t="n"/>
      <c r="E92" s="37" t="n"/>
      <c r="F92" s="37" t="n"/>
      <c r="G92" s="274" t="n"/>
      <c r="H92" s="37" t="n"/>
      <c r="I92" s="37" t="n"/>
      <c r="J92" s="37" t="n"/>
      <c r="K92" s="274" t="n"/>
      <c r="L92" s="37" t="n"/>
      <c r="M92" s="37" t="n"/>
      <c r="N92" s="276" t="n"/>
      <c r="O92" s="276" t="n"/>
      <c r="P92" s="276" t="n"/>
      <c r="Q92" s="276" t="n"/>
      <c r="R92" s="276" t="n"/>
      <c r="S92" s="37" t="n"/>
      <c r="T92" s="37" t="n"/>
      <c r="U92" s="37" t="n"/>
      <c r="V92" s="37" t="n"/>
      <c r="W92" s="278" t="n"/>
    </row>
    <row r="93">
      <c r="A93" s="37" t="n"/>
      <c r="B93" s="37" t="n"/>
      <c r="C93" s="37" t="n"/>
      <c r="D93" s="37" t="n"/>
      <c r="E93" s="37" t="n"/>
      <c r="F93" s="37" t="n"/>
      <c r="G93" s="274" t="n"/>
      <c r="H93" s="37" t="n"/>
      <c r="I93" s="37" t="n"/>
      <c r="J93" s="37" t="n"/>
      <c r="K93" s="274" t="n"/>
      <c r="L93" s="37" t="n"/>
      <c r="M93" s="37" t="n"/>
      <c r="N93" s="276" t="n"/>
      <c r="O93" s="276" t="n"/>
      <c r="P93" s="276" t="n"/>
      <c r="Q93" s="276" t="n"/>
      <c r="R93" s="276" t="n"/>
      <c r="S93" s="37" t="n"/>
      <c r="T93" s="37" t="n"/>
      <c r="U93" s="37" t="n"/>
      <c r="V93" s="37" t="n"/>
      <c r="W93" s="278" t="n"/>
    </row>
    <row r="94">
      <c r="A94" s="37" t="n"/>
      <c r="B94" s="37" t="n"/>
      <c r="C94" s="37" t="n"/>
      <c r="D94" s="37" t="n"/>
      <c r="E94" s="37" t="n"/>
      <c r="F94" s="37" t="n"/>
      <c r="G94" s="274" t="n"/>
      <c r="H94" s="37" t="n"/>
      <c r="I94" s="37" t="n"/>
      <c r="J94" s="37" t="n"/>
      <c r="K94" s="274" t="n"/>
      <c r="L94" s="37" t="n"/>
      <c r="M94" s="37" t="n"/>
      <c r="N94" s="276" t="n"/>
      <c r="O94" s="276" t="n"/>
      <c r="P94" s="276" t="n"/>
      <c r="Q94" s="276" t="n"/>
      <c r="R94" s="276" t="n"/>
      <c r="S94" s="37" t="n"/>
      <c r="T94" s="37" t="n"/>
      <c r="U94" s="37" t="n"/>
      <c r="V94" s="37" t="n"/>
      <c r="W94" s="278" t="n"/>
    </row>
    <row r="95">
      <c r="A95" s="37" t="n"/>
      <c r="B95" s="37" t="n"/>
      <c r="C95" s="37" t="n"/>
      <c r="D95" s="37" t="n"/>
      <c r="E95" s="37" t="n"/>
      <c r="F95" s="37" t="n"/>
      <c r="G95" s="274" t="n"/>
      <c r="H95" s="37" t="n"/>
      <c r="I95" s="37" t="n"/>
      <c r="J95" s="37" t="n"/>
      <c r="K95" s="274" t="n"/>
      <c r="L95" s="37" t="n"/>
      <c r="M95" s="37" t="n"/>
      <c r="N95" s="276" t="n"/>
      <c r="O95" s="276" t="n"/>
      <c r="P95" s="276" t="n"/>
      <c r="Q95" s="276" t="n"/>
      <c r="R95" s="276" t="n"/>
      <c r="S95" s="37" t="n"/>
      <c r="T95" s="37" t="n"/>
      <c r="U95" s="37" t="n"/>
      <c r="V95" s="37" t="n"/>
      <c r="W95" s="278" t="n"/>
    </row>
    <row r="96">
      <c r="A96" s="37" t="n"/>
      <c r="B96" s="37" t="n"/>
      <c r="C96" s="37" t="n"/>
      <c r="D96" s="37" t="n"/>
      <c r="E96" s="37" t="n"/>
      <c r="F96" s="37" t="n"/>
      <c r="G96" s="274" t="n"/>
      <c r="H96" s="37" t="n"/>
      <c r="I96" s="37" t="n"/>
      <c r="J96" s="37" t="n"/>
      <c r="K96" s="274" t="n"/>
      <c r="L96" s="37" t="n"/>
      <c r="M96" s="37" t="n"/>
      <c r="N96" s="276" t="n"/>
      <c r="O96" s="276" t="n"/>
      <c r="P96" s="276" t="n"/>
      <c r="Q96" s="276" t="n"/>
      <c r="R96" s="276" t="n"/>
      <c r="S96" s="37" t="n"/>
      <c r="T96" s="37" t="n"/>
      <c r="U96" s="37" t="n"/>
      <c r="V96" s="37" t="n"/>
      <c r="W96" s="278" t="n"/>
    </row>
    <row r="97">
      <c r="A97" s="37" t="n"/>
      <c r="B97" s="37" t="n"/>
      <c r="C97" s="37" t="n"/>
      <c r="D97" s="37" t="n"/>
      <c r="E97" s="37" t="n"/>
      <c r="F97" s="37" t="n"/>
      <c r="G97" s="274" t="n"/>
      <c r="H97" s="37" t="n"/>
      <c r="I97" s="37" t="n"/>
      <c r="J97" s="37" t="n"/>
      <c r="K97" s="274" t="n"/>
      <c r="L97" s="37" t="n"/>
      <c r="M97" s="37" t="n"/>
      <c r="N97" s="276" t="n"/>
      <c r="O97" s="276" t="n"/>
      <c r="P97" s="276" t="n"/>
      <c r="Q97" s="276" t="n"/>
      <c r="R97" s="276" t="n"/>
      <c r="S97" s="37" t="n"/>
      <c r="T97" s="37" t="n"/>
      <c r="U97" s="37" t="n"/>
      <c r="V97" s="37" t="n"/>
      <c r="W97" s="278" t="n"/>
    </row>
    <row r="98">
      <c r="A98" s="37" t="n"/>
      <c r="B98" s="37" t="n"/>
      <c r="C98" s="37" t="n"/>
      <c r="D98" s="37" t="n"/>
      <c r="E98" s="37" t="n"/>
      <c r="F98" s="37" t="n"/>
      <c r="G98" s="274" t="n"/>
      <c r="H98" s="37" t="n"/>
      <c r="I98" s="37" t="n"/>
      <c r="J98" s="37" t="n"/>
      <c r="K98" s="274" t="n"/>
      <c r="L98" s="37" t="n"/>
      <c r="M98" s="37" t="n"/>
      <c r="N98" s="276" t="n"/>
      <c r="O98" s="276" t="n"/>
      <c r="P98" s="276" t="n"/>
      <c r="Q98" s="276" t="n"/>
      <c r="R98" s="276" t="n"/>
      <c r="S98" s="37" t="n"/>
      <c r="T98" s="37" t="n"/>
      <c r="U98" s="37" t="n"/>
      <c r="V98" s="37" t="n"/>
      <c r="W98" s="278" t="n"/>
    </row>
    <row r="99">
      <c r="A99" s="37" t="n"/>
      <c r="B99" s="37" t="n"/>
      <c r="C99" s="37" t="n"/>
      <c r="D99" s="37" t="n"/>
      <c r="E99" s="37" t="n"/>
      <c r="F99" s="37" t="n"/>
      <c r="G99" s="274" t="n"/>
      <c r="H99" s="37" t="n"/>
      <c r="I99" s="37" t="n"/>
      <c r="J99" s="37" t="n"/>
      <c r="K99" s="274" t="n"/>
      <c r="L99" s="37" t="n"/>
      <c r="M99" s="37" t="n"/>
      <c r="N99" s="276" t="n"/>
      <c r="O99" s="276" t="n"/>
      <c r="P99" s="276" t="n"/>
      <c r="Q99" s="276" t="n"/>
      <c r="R99" s="276" t="n"/>
      <c r="S99" s="37" t="n"/>
      <c r="T99" s="37" t="n"/>
      <c r="U99" s="37" t="n"/>
      <c r="V99" s="37" t="n"/>
      <c r="W99" s="278" t="n"/>
    </row>
    <row r="100">
      <c r="A100" s="37" t="n"/>
      <c r="B100" s="37" t="n"/>
      <c r="C100" s="37" t="n"/>
      <c r="D100" s="37" t="n"/>
      <c r="E100" s="37" t="n"/>
      <c r="F100" s="37" t="n"/>
      <c r="G100" s="274" t="n"/>
      <c r="H100" s="37" t="n"/>
      <c r="I100" s="37" t="n"/>
      <c r="J100" s="37" t="n"/>
      <c r="K100" s="274" t="n"/>
      <c r="L100" s="37" t="n"/>
      <c r="M100" s="37" t="n"/>
      <c r="N100" s="276" t="n"/>
      <c r="O100" s="276" t="n"/>
      <c r="P100" s="276" t="n"/>
      <c r="Q100" s="276" t="n"/>
      <c r="R100" s="276" t="n"/>
      <c r="S100" s="37" t="n"/>
      <c r="T100" s="37" t="n"/>
      <c r="U100" s="37" t="n"/>
      <c r="V100" s="37" t="n"/>
      <c r="W100" s="278" t="n"/>
    </row>
    <row r="101">
      <c r="A101" s="37" t="n"/>
      <c r="B101" s="37" t="n"/>
      <c r="C101" s="37" t="n"/>
      <c r="D101" s="37" t="n"/>
      <c r="E101" s="37" t="n"/>
      <c r="F101" s="37" t="n"/>
      <c r="G101" s="274" t="n"/>
      <c r="H101" s="37" t="n"/>
      <c r="I101" s="37" t="n"/>
      <c r="J101" s="37" t="n"/>
      <c r="K101" s="274" t="n"/>
      <c r="L101" s="37" t="n"/>
      <c r="M101" s="37" t="n"/>
      <c r="N101" s="276" t="n"/>
      <c r="O101" s="276" t="n"/>
      <c r="P101" s="276" t="n"/>
      <c r="Q101" s="276" t="n"/>
      <c r="R101" s="276" t="n"/>
      <c r="S101" s="37" t="n"/>
      <c r="T101" s="37" t="n"/>
      <c r="U101" s="37" t="n"/>
      <c r="V101" s="37" t="n"/>
      <c r="W101" s="278" t="n"/>
    </row>
    <row r="102">
      <c r="A102" s="37" t="n"/>
      <c r="B102" s="37" t="n"/>
      <c r="C102" s="37" t="n"/>
      <c r="D102" s="37" t="n"/>
      <c r="E102" s="37" t="n"/>
      <c r="F102" s="37" t="n"/>
      <c r="G102" s="274" t="n"/>
      <c r="H102" s="37" t="n"/>
      <c r="I102" s="37" t="n"/>
      <c r="J102" s="37" t="n"/>
      <c r="K102" s="274" t="n"/>
      <c r="L102" s="37" t="n"/>
      <c r="M102" s="37" t="n"/>
      <c r="N102" s="276" t="n"/>
      <c r="O102" s="276" t="n"/>
      <c r="P102" s="276" t="n"/>
      <c r="Q102" s="276" t="n"/>
      <c r="R102" s="276" t="n"/>
      <c r="S102" s="37" t="n"/>
      <c r="T102" s="37" t="n"/>
      <c r="U102" s="37" t="n"/>
      <c r="V102" s="37" t="n"/>
      <c r="W102" s="278" t="n"/>
    </row>
    <row r="103">
      <c r="A103" s="37" t="n"/>
      <c r="B103" s="37" t="n"/>
      <c r="C103" s="37" t="n"/>
      <c r="D103" s="37" t="n"/>
      <c r="E103" s="37" t="n"/>
      <c r="F103" s="37" t="n"/>
      <c r="G103" s="274" t="n"/>
      <c r="H103" s="37" t="n"/>
      <c r="I103" s="37" t="n"/>
      <c r="J103" s="37" t="n"/>
      <c r="K103" s="274" t="n"/>
      <c r="L103" s="37" t="n"/>
      <c r="M103" s="37" t="n"/>
      <c r="N103" s="276" t="n"/>
      <c r="O103" s="276" t="n"/>
      <c r="P103" s="276" t="n"/>
      <c r="Q103" s="276" t="n"/>
      <c r="R103" s="276" t="n"/>
      <c r="S103" s="37" t="n"/>
      <c r="T103" s="37" t="n"/>
      <c r="U103" s="37" t="n"/>
      <c r="V103" s="37" t="n"/>
      <c r="W103" s="278" t="n"/>
    </row>
    <row r="104">
      <c r="A104" s="37" t="n"/>
      <c r="B104" s="37" t="n"/>
      <c r="C104" s="37" t="n"/>
      <c r="D104" s="37" t="n"/>
      <c r="E104" s="37" t="n"/>
      <c r="F104" s="37" t="n"/>
      <c r="G104" s="274" t="n"/>
      <c r="H104" s="37" t="n"/>
      <c r="I104" s="37" t="n"/>
      <c r="J104" s="37" t="n"/>
      <c r="K104" s="274" t="n"/>
      <c r="L104" s="37" t="n"/>
      <c r="M104" s="37" t="n"/>
      <c r="N104" s="276" t="n"/>
      <c r="O104" s="276" t="n"/>
      <c r="P104" s="276" t="n"/>
      <c r="Q104" s="276" t="n"/>
      <c r="R104" s="276" t="n"/>
      <c r="S104" s="37" t="n"/>
      <c r="T104" s="37" t="n"/>
      <c r="U104" s="37" t="n"/>
      <c r="V104" s="37" t="n"/>
      <c r="W104" s="278" t="n"/>
    </row>
    <row r="105">
      <c r="A105" s="37" t="n"/>
      <c r="B105" s="37" t="n"/>
      <c r="C105" s="37" t="n"/>
      <c r="D105" s="37" t="n"/>
      <c r="E105" s="37" t="n"/>
      <c r="F105" s="37" t="n"/>
      <c r="G105" s="274" t="n"/>
      <c r="H105" s="37" t="n"/>
      <c r="I105" s="37" t="n"/>
      <c r="J105" s="37" t="n"/>
      <c r="K105" s="274" t="n"/>
      <c r="L105" s="37" t="n"/>
      <c r="M105" s="37" t="n"/>
      <c r="N105" s="276" t="n"/>
      <c r="O105" s="276" t="n"/>
      <c r="P105" s="276" t="n"/>
      <c r="Q105" s="276" t="n"/>
      <c r="R105" s="276" t="n"/>
      <c r="S105" s="37" t="n"/>
      <c r="T105" s="37" t="n"/>
      <c r="U105" s="37" t="n"/>
      <c r="V105" s="37" t="n"/>
      <c r="W105" s="278" t="n"/>
    </row>
    <row r="106">
      <c r="A106" s="37" t="n"/>
      <c r="B106" s="37" t="n"/>
      <c r="C106" s="37" t="n"/>
      <c r="D106" s="37" t="n"/>
      <c r="E106" s="37" t="n"/>
      <c r="F106" s="37" t="n"/>
      <c r="G106" s="274" t="n"/>
      <c r="H106" s="37" t="n"/>
      <c r="I106" s="37" t="n"/>
      <c r="J106" s="37" t="n"/>
      <c r="K106" s="274" t="n"/>
      <c r="L106" s="37" t="n"/>
      <c r="M106" s="37" t="n"/>
      <c r="N106" s="276" t="n"/>
      <c r="O106" s="276" t="n"/>
      <c r="P106" s="276" t="n"/>
      <c r="Q106" s="276" t="n"/>
      <c r="R106" s="276" t="n"/>
      <c r="S106" s="37" t="n"/>
      <c r="T106" s="37" t="n"/>
      <c r="U106" s="37" t="n"/>
      <c r="V106" s="37" t="n"/>
      <c r="W106" s="278" t="n"/>
    </row>
    <row r="107">
      <c r="A107" s="37" t="n"/>
      <c r="B107" s="37" t="n"/>
      <c r="C107" s="37" t="n"/>
      <c r="D107" s="37" t="n"/>
      <c r="E107" s="37" t="n"/>
      <c r="F107" s="37" t="n"/>
      <c r="G107" s="274" t="n"/>
      <c r="H107" s="37" t="n"/>
      <c r="I107" s="37" t="n"/>
      <c r="J107" s="37" t="n"/>
      <c r="K107" s="274" t="n"/>
      <c r="L107" s="37" t="n"/>
      <c r="M107" s="37" t="n"/>
      <c r="N107" s="276" t="n"/>
      <c r="O107" s="276" t="n"/>
      <c r="P107" s="276" t="n"/>
      <c r="Q107" s="276" t="n"/>
      <c r="R107" s="276" t="n"/>
      <c r="S107" s="37" t="n"/>
      <c r="T107" s="37" t="n"/>
      <c r="U107" s="37" t="n"/>
      <c r="V107" s="37" t="n"/>
      <c r="W107" s="278" t="n"/>
    </row>
    <row r="108">
      <c r="A108" s="37" t="n"/>
      <c r="B108" s="37" t="n"/>
      <c r="C108" s="37" t="n"/>
      <c r="D108" s="37" t="n"/>
      <c r="E108" s="37" t="n"/>
      <c r="F108" s="37" t="n"/>
      <c r="G108" s="274" t="n"/>
      <c r="H108" s="37" t="n"/>
      <c r="I108" s="37" t="n"/>
      <c r="J108" s="37" t="n"/>
      <c r="K108" s="274" t="n"/>
      <c r="L108" s="37" t="n"/>
      <c r="M108" s="37" t="n"/>
      <c r="N108" s="276" t="n"/>
      <c r="O108" s="276" t="n"/>
      <c r="P108" s="276" t="n"/>
      <c r="Q108" s="276" t="n"/>
      <c r="R108" s="276" t="n"/>
      <c r="S108" s="37" t="n"/>
      <c r="T108" s="37" t="n"/>
      <c r="U108" s="37" t="n"/>
      <c r="V108" s="37" t="n"/>
      <c r="W108" s="278" t="n"/>
    </row>
    <row r="109">
      <c r="A109" s="37" t="n"/>
      <c r="B109" s="37" t="n"/>
      <c r="C109" s="37" t="n"/>
      <c r="D109" s="37" t="n"/>
      <c r="E109" s="37" t="n"/>
      <c r="F109" s="37" t="n"/>
      <c r="G109" s="274" t="n"/>
      <c r="H109" s="37" t="n"/>
      <c r="I109" s="37" t="n"/>
      <c r="J109" s="37" t="n"/>
      <c r="K109" s="274" t="n"/>
      <c r="L109" s="37" t="n"/>
      <c r="M109" s="37" t="n"/>
      <c r="N109" s="276" t="n"/>
      <c r="O109" s="276" t="n"/>
      <c r="P109" s="276" t="n"/>
      <c r="Q109" s="276" t="n"/>
      <c r="R109" s="276" t="n"/>
      <c r="S109" s="37" t="n"/>
      <c r="T109" s="37" t="n"/>
      <c r="U109" s="37" t="n"/>
      <c r="V109" s="37" t="n"/>
      <c r="W109" s="278" t="n"/>
    </row>
    <row r="110">
      <c r="A110" s="37" t="n"/>
      <c r="B110" s="37" t="n"/>
      <c r="C110" s="37" t="n"/>
      <c r="D110" s="37" t="n"/>
      <c r="E110" s="37" t="n"/>
      <c r="F110" s="37" t="n"/>
      <c r="G110" s="274" t="n"/>
      <c r="H110" s="37" t="n"/>
      <c r="I110" s="37" t="n"/>
      <c r="J110" s="37" t="n"/>
      <c r="K110" s="274" t="n"/>
      <c r="L110" s="37" t="n"/>
      <c r="M110" s="37" t="n"/>
      <c r="N110" s="276" t="n"/>
      <c r="O110" s="276" t="n"/>
      <c r="P110" s="276" t="n"/>
      <c r="Q110" s="276" t="n"/>
      <c r="R110" s="276" t="n"/>
      <c r="S110" s="37" t="n"/>
      <c r="T110" s="37" t="n"/>
      <c r="U110" s="37" t="n"/>
      <c r="V110" s="37" t="n"/>
      <c r="W110" s="278" t="n"/>
    </row>
    <row r="111">
      <c r="A111" s="37" t="n"/>
      <c r="B111" s="37" t="n"/>
      <c r="C111" s="37" t="n"/>
      <c r="D111" s="37" t="n"/>
      <c r="E111" s="37" t="n"/>
      <c r="F111" s="37" t="n"/>
      <c r="G111" s="274" t="n"/>
      <c r="H111" s="37" t="n"/>
      <c r="I111" s="37" t="n"/>
      <c r="J111" s="37" t="n"/>
      <c r="K111" s="274" t="n"/>
      <c r="L111" s="37" t="n"/>
      <c r="M111" s="37" t="n"/>
      <c r="N111" s="276" t="n"/>
      <c r="O111" s="276" t="n"/>
      <c r="P111" s="276" t="n"/>
      <c r="Q111" s="276" t="n"/>
      <c r="R111" s="276" t="n"/>
      <c r="S111" s="37" t="n"/>
      <c r="T111" s="37" t="n"/>
      <c r="U111" s="37" t="n"/>
      <c r="V111" s="37" t="n"/>
      <c r="W111" s="278" t="n"/>
    </row>
    <row r="112">
      <c r="A112" s="37" t="n"/>
      <c r="B112" s="37" t="n"/>
      <c r="C112" s="37" t="n"/>
      <c r="D112" s="37" t="n"/>
      <c r="E112" s="37" t="n"/>
      <c r="F112" s="37" t="n"/>
      <c r="G112" s="274" t="n"/>
      <c r="H112" s="37" t="n"/>
      <c r="I112" s="37" t="n"/>
      <c r="J112" s="37" t="n"/>
      <c r="K112" s="274" t="n"/>
      <c r="L112" s="37" t="n"/>
      <c r="M112" s="37" t="n"/>
      <c r="N112" s="276" t="n"/>
      <c r="O112" s="276" t="n"/>
      <c r="P112" s="276" t="n"/>
      <c r="Q112" s="276" t="n"/>
      <c r="R112" s="276" t="n"/>
      <c r="S112" s="37" t="n"/>
      <c r="T112" s="37" t="n"/>
      <c r="U112" s="37" t="n"/>
      <c r="V112" s="37" t="n"/>
      <c r="W112" s="278" t="n"/>
    </row>
    <row r="113">
      <c r="A113" s="37" t="n"/>
      <c r="B113" s="37" t="n"/>
      <c r="C113" s="37" t="n"/>
      <c r="D113" s="37" t="n"/>
      <c r="E113" s="37" t="n"/>
      <c r="F113" s="37" t="n"/>
      <c r="G113" s="274" t="n"/>
      <c r="H113" s="37" t="n"/>
      <c r="I113" s="37" t="n"/>
      <c r="J113" s="37" t="n"/>
      <c r="K113" s="274" t="n"/>
      <c r="L113" s="37" t="n"/>
      <c r="M113" s="37" t="n"/>
      <c r="N113" s="276" t="n"/>
      <c r="O113" s="276" t="n"/>
      <c r="P113" s="276" t="n"/>
      <c r="Q113" s="276" t="n"/>
      <c r="R113" s="276" t="n"/>
      <c r="S113" s="37" t="n"/>
      <c r="T113" s="37" t="n"/>
      <c r="U113" s="37" t="n"/>
      <c r="V113" s="37" t="n"/>
      <c r="W113" s="278" t="n"/>
    </row>
    <row r="114">
      <c r="A114" s="37" t="n"/>
      <c r="B114" s="37" t="n"/>
      <c r="C114" s="37" t="n"/>
      <c r="D114" s="37" t="n"/>
      <c r="E114" s="37" t="n"/>
      <c r="F114" s="37" t="n"/>
      <c r="G114" s="274" t="n"/>
      <c r="H114" s="37" t="n"/>
      <c r="I114" s="37" t="n"/>
      <c r="J114" s="37" t="n"/>
      <c r="K114" s="274" t="n"/>
      <c r="L114" s="37" t="n"/>
      <c r="M114" s="37" t="n"/>
      <c r="N114" s="276" t="n"/>
      <c r="O114" s="276" t="n"/>
      <c r="P114" s="276" t="n"/>
      <c r="Q114" s="276" t="n"/>
      <c r="R114" s="276" t="n"/>
      <c r="S114" s="37" t="n"/>
      <c r="T114" s="37" t="n"/>
      <c r="U114" s="37" t="n"/>
      <c r="V114" s="37" t="n"/>
      <c r="W114" s="278" t="n"/>
    </row>
    <row r="115">
      <c r="A115" s="37" t="n"/>
      <c r="B115" s="37" t="n"/>
      <c r="C115" s="37" t="n"/>
      <c r="D115" s="37" t="n"/>
      <c r="E115" s="37" t="n"/>
      <c r="F115" s="37" t="n"/>
      <c r="G115" s="274" t="n"/>
      <c r="H115" s="37" t="n"/>
      <c r="I115" s="37" t="n"/>
      <c r="J115" s="37" t="n"/>
      <c r="K115" s="274" t="n"/>
      <c r="L115" s="37" t="n"/>
      <c r="M115" s="37" t="n"/>
      <c r="N115" s="276" t="n"/>
      <c r="O115" s="276" t="n"/>
      <c r="P115" s="276" t="n"/>
      <c r="Q115" s="276" t="n"/>
      <c r="R115" s="276" t="n"/>
      <c r="S115" s="37" t="n"/>
      <c r="T115" s="37" t="n"/>
      <c r="U115" s="37" t="n"/>
      <c r="V115" s="37" t="n"/>
      <c r="W115" s="278" t="n"/>
    </row>
    <row r="116">
      <c r="A116" s="37" t="n"/>
      <c r="B116" s="37" t="n"/>
      <c r="C116" s="37" t="n"/>
      <c r="D116" s="37" t="n"/>
      <c r="E116" s="37" t="n"/>
      <c r="F116" s="37" t="n"/>
      <c r="G116" s="274" t="n"/>
      <c r="H116" s="37" t="n"/>
      <c r="I116" s="37" t="n"/>
      <c r="J116" s="37" t="n"/>
      <c r="K116" s="274" t="n"/>
      <c r="L116" s="37" t="n"/>
      <c r="M116" s="37" t="n"/>
      <c r="N116" s="276" t="n"/>
      <c r="O116" s="276" t="n"/>
      <c r="P116" s="276" t="n"/>
      <c r="Q116" s="276" t="n"/>
      <c r="R116" s="276" t="n"/>
      <c r="S116" s="37" t="n"/>
      <c r="T116" s="37" t="n"/>
      <c r="U116" s="37" t="n"/>
      <c r="V116" s="37" t="n"/>
      <c r="W116" s="278" t="n"/>
    </row>
    <row r="117">
      <c r="A117" s="37" t="n"/>
      <c r="B117" s="37" t="n"/>
      <c r="C117" s="37" t="n"/>
      <c r="D117" s="37" t="n"/>
      <c r="E117" s="37" t="n"/>
      <c r="F117" s="37" t="n"/>
      <c r="G117" s="274" t="n"/>
      <c r="H117" s="37" t="n"/>
      <c r="I117" s="37" t="n"/>
      <c r="J117" s="37" t="n"/>
      <c r="K117" s="274" t="n"/>
      <c r="L117" s="37" t="n"/>
      <c r="M117" s="37" t="n"/>
      <c r="N117" s="276" t="n"/>
      <c r="O117" s="276" t="n"/>
      <c r="P117" s="276" t="n"/>
      <c r="Q117" s="276" t="n"/>
      <c r="R117" s="276" t="n"/>
      <c r="S117" s="37" t="n"/>
      <c r="T117" s="37" t="n"/>
      <c r="U117" s="37" t="n"/>
      <c r="V117" s="37" t="n"/>
      <c r="W117" s="278" t="n"/>
    </row>
    <row r="118">
      <c r="A118" s="37" t="n"/>
      <c r="B118" s="37" t="n"/>
      <c r="C118" s="37" t="n"/>
      <c r="D118" s="37" t="n"/>
      <c r="E118" s="37" t="n"/>
      <c r="F118" s="37" t="n"/>
      <c r="G118" s="274" t="n"/>
      <c r="H118" s="37" t="n"/>
      <c r="I118" s="37" t="n"/>
      <c r="J118" s="37" t="n"/>
      <c r="K118" s="274" t="n"/>
      <c r="L118" s="37" t="n"/>
      <c r="M118" s="37" t="n"/>
      <c r="N118" s="276" t="n"/>
      <c r="O118" s="276" t="n"/>
      <c r="P118" s="276" t="n"/>
      <c r="Q118" s="276" t="n"/>
      <c r="R118" s="276" t="n"/>
      <c r="S118" s="37" t="n"/>
      <c r="T118" s="37" t="n"/>
      <c r="U118" s="37" t="n"/>
      <c r="V118" s="37" t="n"/>
      <c r="W118" s="278" t="n"/>
    </row>
    <row r="119">
      <c r="A119" s="37" t="n"/>
      <c r="B119" s="37" t="n"/>
      <c r="C119" s="37" t="n"/>
      <c r="D119" s="37" t="n"/>
      <c r="E119" s="37" t="n"/>
      <c r="F119" s="37" t="n"/>
      <c r="G119" s="274" t="n"/>
      <c r="H119" s="37" t="n"/>
      <c r="I119" s="37" t="n"/>
      <c r="J119" s="37" t="n"/>
      <c r="K119" s="274" t="n"/>
      <c r="L119" s="37" t="n"/>
      <c r="M119" s="37" t="n"/>
      <c r="N119" s="276" t="n"/>
      <c r="O119" s="276" t="n"/>
      <c r="P119" s="276" t="n"/>
      <c r="Q119" s="276" t="n"/>
      <c r="R119" s="276" t="n"/>
      <c r="S119" s="37" t="n"/>
      <c r="T119" s="37" t="n"/>
      <c r="U119" s="37" t="n"/>
      <c r="V119" s="37" t="n"/>
      <c r="W119" s="278" t="n"/>
    </row>
    <row r="120">
      <c r="A120" s="37" t="n"/>
      <c r="B120" s="37" t="n"/>
      <c r="C120" s="37" t="n"/>
      <c r="D120" s="37" t="n"/>
      <c r="E120" s="37" t="n"/>
      <c r="F120" s="37" t="n"/>
      <c r="G120" s="274" t="n"/>
      <c r="H120" s="37" t="n"/>
      <c r="I120" s="37" t="n"/>
      <c r="J120" s="37" t="n"/>
      <c r="K120" s="274" t="n"/>
      <c r="L120" s="37" t="n"/>
      <c r="M120" s="37" t="n"/>
      <c r="N120" s="276" t="n"/>
      <c r="O120" s="276" t="n"/>
      <c r="P120" s="276" t="n"/>
      <c r="Q120" s="276" t="n"/>
      <c r="R120" s="276" t="n"/>
      <c r="S120" s="37" t="n"/>
      <c r="T120" s="37" t="n"/>
      <c r="U120" s="37" t="n"/>
      <c r="V120" s="37" t="n"/>
      <c r="W120" s="278" t="n"/>
    </row>
    <row r="121">
      <c r="A121" s="37" t="n"/>
      <c r="B121" s="37" t="n"/>
      <c r="C121" s="37" t="n"/>
      <c r="D121" s="37" t="n"/>
      <c r="E121" s="37" t="n"/>
      <c r="F121" s="37" t="n"/>
      <c r="G121" s="274" t="n"/>
      <c r="H121" s="37" t="n"/>
      <c r="I121" s="37" t="n"/>
      <c r="J121" s="37" t="n"/>
      <c r="K121" s="274" t="n"/>
      <c r="L121" s="37" t="n"/>
      <c r="M121" s="37" t="n"/>
      <c r="N121" s="276" t="n"/>
      <c r="O121" s="276" t="n"/>
      <c r="P121" s="276" t="n"/>
      <c r="Q121" s="276" t="n"/>
      <c r="R121" s="276" t="n"/>
      <c r="S121" s="37" t="n"/>
      <c r="T121" s="37" t="n"/>
      <c r="U121" s="37" t="n"/>
      <c r="V121" s="37" t="n"/>
      <c r="W121" s="278" t="n"/>
    </row>
    <row r="122">
      <c r="A122" s="37" t="n"/>
      <c r="B122" s="37" t="n"/>
      <c r="C122" s="37" t="n"/>
      <c r="D122" s="37" t="n"/>
      <c r="E122" s="37" t="n"/>
      <c r="F122" s="37" t="n"/>
      <c r="G122" s="274" t="n"/>
      <c r="H122" s="37" t="n"/>
      <c r="I122" s="37" t="n"/>
      <c r="J122" s="37" t="n"/>
      <c r="K122" s="274" t="n"/>
      <c r="L122" s="37" t="n"/>
      <c r="M122" s="37" t="n"/>
      <c r="N122" s="276" t="n"/>
      <c r="O122" s="276" t="n"/>
      <c r="P122" s="276" t="n"/>
      <c r="Q122" s="276" t="n"/>
      <c r="R122" s="276" t="n"/>
      <c r="S122" s="37" t="n"/>
      <c r="T122" s="37" t="n"/>
      <c r="U122" s="37" t="n"/>
      <c r="V122" s="37" t="n"/>
      <c r="W122" s="278" t="n"/>
    </row>
    <row r="123">
      <c r="A123" s="37" t="n"/>
      <c r="B123" s="37" t="n"/>
      <c r="C123" s="37" t="n"/>
      <c r="D123" s="37" t="n"/>
      <c r="E123" s="37" t="n"/>
      <c r="F123" s="37" t="n"/>
      <c r="G123" s="274" t="n"/>
      <c r="H123" s="37" t="n"/>
      <c r="I123" s="37" t="n"/>
      <c r="J123" s="37" t="n"/>
      <c r="K123" s="274" t="n"/>
      <c r="L123" s="37" t="n"/>
      <c r="M123" s="37" t="n"/>
      <c r="N123" s="276" t="n"/>
      <c r="O123" s="276" t="n"/>
      <c r="P123" s="276" t="n"/>
      <c r="Q123" s="276" t="n"/>
      <c r="R123" s="276" t="n"/>
      <c r="S123" s="37" t="n"/>
      <c r="T123" s="37" t="n"/>
      <c r="U123" s="37" t="n"/>
      <c r="V123" s="37" t="n"/>
      <c r="W123" s="278" t="n"/>
    </row>
    <row r="124">
      <c r="A124" s="37" t="n"/>
      <c r="B124" s="37" t="n"/>
      <c r="C124" s="37" t="n"/>
      <c r="D124" s="37" t="n"/>
      <c r="E124" s="37" t="n"/>
      <c r="F124" s="37" t="n"/>
      <c r="G124" s="274" t="n"/>
      <c r="H124" s="37" t="n"/>
      <c r="I124" s="37" t="n"/>
      <c r="J124" s="37" t="n"/>
      <c r="K124" s="274" t="n"/>
      <c r="L124" s="37" t="n"/>
      <c r="M124" s="37" t="n"/>
      <c r="N124" s="276" t="n"/>
      <c r="O124" s="276" t="n"/>
      <c r="P124" s="276" t="n"/>
      <c r="Q124" s="276" t="n"/>
      <c r="R124" s="276" t="n"/>
      <c r="S124" s="37" t="n"/>
      <c r="T124" s="37" t="n"/>
      <c r="U124" s="37" t="n"/>
      <c r="V124" s="37" t="n"/>
      <c r="W124" s="278" t="n"/>
    </row>
    <row r="125">
      <c r="A125" s="37" t="n"/>
      <c r="B125" s="37" t="n"/>
      <c r="C125" s="37" t="n"/>
      <c r="D125" s="37" t="n"/>
      <c r="E125" s="37" t="n"/>
      <c r="F125" s="37" t="n"/>
      <c r="G125" s="274" t="n"/>
      <c r="H125" s="37" t="n"/>
      <c r="I125" s="37" t="n"/>
      <c r="J125" s="37" t="n"/>
      <c r="K125" s="274" t="n"/>
      <c r="L125" s="37" t="n"/>
      <c r="M125" s="37" t="n"/>
      <c r="N125" s="276" t="n"/>
      <c r="O125" s="276" t="n"/>
      <c r="P125" s="276" t="n"/>
      <c r="Q125" s="276" t="n"/>
      <c r="R125" s="276" t="n"/>
      <c r="S125" s="37" t="n"/>
      <c r="T125" s="37" t="n"/>
      <c r="U125" s="37" t="n"/>
      <c r="V125" s="37" t="n"/>
      <c r="W125" s="278" t="n"/>
    </row>
    <row r="126">
      <c r="A126" s="37" t="n"/>
      <c r="B126" s="37" t="n"/>
      <c r="C126" s="37" t="n"/>
      <c r="D126" s="37" t="n"/>
      <c r="E126" s="37" t="n"/>
      <c r="F126" s="37" t="n"/>
      <c r="G126" s="274" t="n"/>
      <c r="H126" s="37" t="n"/>
      <c r="I126" s="37" t="n"/>
      <c r="J126" s="37" t="n"/>
      <c r="K126" s="274" t="n"/>
      <c r="L126" s="37" t="n"/>
      <c r="M126" s="37" t="n"/>
      <c r="N126" s="276" t="n"/>
      <c r="O126" s="276" t="n"/>
      <c r="P126" s="276" t="n"/>
      <c r="Q126" s="276" t="n"/>
      <c r="R126" s="276" t="n"/>
      <c r="S126" s="37" t="n"/>
      <c r="T126" s="37" t="n"/>
      <c r="U126" s="37" t="n"/>
      <c r="V126" s="37" t="n"/>
      <c r="W126" s="278" t="n"/>
    </row>
    <row r="127">
      <c r="A127" s="37" t="n"/>
      <c r="B127" s="37" t="n"/>
      <c r="C127" s="37" t="n"/>
      <c r="D127" s="37" t="n"/>
      <c r="E127" s="37" t="n"/>
      <c r="F127" s="37" t="n"/>
      <c r="G127" s="274" t="n"/>
      <c r="H127" s="37" t="n"/>
      <c r="I127" s="37" t="n"/>
      <c r="J127" s="37" t="n"/>
      <c r="K127" s="274" t="n"/>
      <c r="L127" s="37" t="n"/>
      <c r="M127" s="37" t="n"/>
      <c r="N127" s="276" t="n"/>
      <c r="O127" s="276" t="n"/>
      <c r="P127" s="276" t="n"/>
      <c r="Q127" s="276" t="n"/>
      <c r="R127" s="276" t="n"/>
      <c r="S127" s="37" t="n"/>
      <c r="T127" s="37" t="n"/>
      <c r="U127" s="37" t="n"/>
      <c r="V127" s="37" t="n"/>
      <c r="W127" s="278" t="n"/>
    </row>
    <row r="128">
      <c r="A128" s="37" t="n"/>
      <c r="B128" s="37" t="n"/>
      <c r="C128" s="37" t="n"/>
      <c r="D128" s="37" t="n"/>
      <c r="E128" s="37" t="n"/>
      <c r="F128" s="37" t="n"/>
      <c r="G128" s="274" t="n"/>
      <c r="H128" s="37" t="n"/>
      <c r="I128" s="37" t="n"/>
      <c r="J128" s="37" t="n"/>
      <c r="K128" s="274" t="n"/>
      <c r="L128" s="37" t="n"/>
      <c r="M128" s="37" t="n"/>
      <c r="N128" s="276" t="n"/>
      <c r="O128" s="276" t="n"/>
      <c r="P128" s="276" t="n"/>
      <c r="Q128" s="276" t="n"/>
      <c r="R128" s="276" t="n"/>
      <c r="S128" s="37" t="n"/>
      <c r="T128" s="37" t="n"/>
      <c r="U128" s="37" t="n"/>
      <c r="V128" s="37" t="n"/>
      <c r="W128" s="278" t="n"/>
    </row>
    <row r="129">
      <c r="A129" s="37" t="n"/>
      <c r="B129" s="37" t="n"/>
      <c r="C129" s="37" t="n"/>
      <c r="D129" s="37" t="n"/>
      <c r="E129" s="37" t="n"/>
      <c r="F129" s="37" t="n"/>
      <c r="G129" s="274" t="n"/>
      <c r="H129" s="37" t="n"/>
      <c r="I129" s="37" t="n"/>
      <c r="J129" s="37" t="n"/>
      <c r="K129" s="274" t="n"/>
      <c r="L129" s="37" t="n"/>
      <c r="M129" s="37" t="n"/>
      <c r="N129" s="276" t="n"/>
      <c r="O129" s="276" t="n"/>
      <c r="P129" s="276" t="n"/>
      <c r="Q129" s="276" t="n"/>
      <c r="R129" s="276" t="n"/>
      <c r="S129" s="37" t="n"/>
      <c r="T129" s="37" t="n"/>
      <c r="U129" s="37" t="n"/>
      <c r="V129" s="37" t="n"/>
      <c r="W129" s="278" t="n"/>
    </row>
    <row r="130">
      <c r="A130" s="37" t="n"/>
      <c r="B130" s="37" t="n"/>
      <c r="C130" s="37" t="n"/>
      <c r="D130" s="37" t="n"/>
      <c r="E130" s="37" t="n"/>
      <c r="F130" s="37" t="n"/>
      <c r="G130" s="274" t="n"/>
      <c r="H130" s="37" t="n"/>
      <c r="I130" s="37" t="n"/>
      <c r="J130" s="37" t="n"/>
      <c r="K130" s="274" t="n"/>
      <c r="L130" s="37" t="n"/>
      <c r="M130" s="37" t="n"/>
      <c r="N130" s="276" t="n"/>
      <c r="O130" s="276" t="n"/>
      <c r="P130" s="276" t="n"/>
      <c r="Q130" s="276" t="n"/>
      <c r="R130" s="276" t="n"/>
      <c r="S130" s="37" t="n"/>
      <c r="T130" s="37" t="n"/>
      <c r="U130" s="37" t="n"/>
      <c r="V130" s="37" t="n"/>
      <c r="W130" s="278" t="n"/>
    </row>
    <row r="131">
      <c r="A131" s="37" t="n"/>
      <c r="B131" s="37" t="n"/>
      <c r="C131" s="37" t="n"/>
      <c r="D131" s="37" t="n"/>
      <c r="E131" s="37" t="n"/>
      <c r="F131" s="37" t="n"/>
      <c r="G131" s="274" t="n"/>
      <c r="H131" s="37" t="n"/>
      <c r="I131" s="37" t="n"/>
      <c r="J131" s="37" t="n"/>
      <c r="K131" s="274" t="n"/>
      <c r="L131" s="37" t="n"/>
      <c r="M131" s="37" t="n"/>
      <c r="N131" s="276" t="n"/>
      <c r="O131" s="276" t="n"/>
      <c r="P131" s="276" t="n"/>
      <c r="Q131" s="276" t="n"/>
      <c r="R131" s="276" t="n"/>
      <c r="S131" s="37" t="n"/>
      <c r="T131" s="37" t="n"/>
      <c r="U131" s="37" t="n"/>
      <c r="V131" s="37" t="n"/>
      <c r="W131" s="278" t="n"/>
    </row>
    <row r="132">
      <c r="A132" s="37" t="n"/>
      <c r="B132" s="37" t="n"/>
      <c r="C132" s="37" t="n"/>
      <c r="D132" s="37" t="n"/>
      <c r="E132" s="37" t="n"/>
      <c r="F132" s="37" t="n"/>
      <c r="G132" s="274" t="n"/>
      <c r="H132" s="37" t="n"/>
      <c r="I132" s="37" t="n"/>
      <c r="J132" s="37" t="n"/>
      <c r="K132" s="274" t="n"/>
      <c r="L132" s="37" t="n"/>
      <c r="M132" s="37" t="n"/>
      <c r="N132" s="276" t="n"/>
      <c r="O132" s="276" t="n"/>
      <c r="P132" s="276" t="n"/>
      <c r="Q132" s="276" t="n"/>
      <c r="R132" s="276" t="n"/>
      <c r="S132" s="37" t="n"/>
      <c r="T132" s="37" t="n"/>
      <c r="U132" s="37" t="n"/>
      <c r="V132" s="37" t="n"/>
      <c r="W132" s="278" t="n"/>
    </row>
    <row r="133">
      <c r="A133" s="37" t="n"/>
      <c r="B133" s="37" t="n"/>
      <c r="C133" s="37" t="n"/>
      <c r="D133" s="37" t="n"/>
      <c r="E133" s="37" t="n"/>
      <c r="F133" s="37" t="n"/>
      <c r="G133" s="274" t="n"/>
      <c r="H133" s="37" t="n"/>
      <c r="I133" s="37" t="n"/>
      <c r="J133" s="37" t="n"/>
      <c r="K133" s="274" t="n"/>
      <c r="L133" s="37" t="n"/>
      <c r="M133" s="37" t="n"/>
      <c r="N133" s="276" t="n"/>
      <c r="O133" s="276" t="n"/>
      <c r="P133" s="276" t="n"/>
      <c r="Q133" s="276" t="n"/>
      <c r="R133" s="276" t="n"/>
      <c r="S133" s="37" t="n"/>
      <c r="T133" s="37" t="n"/>
      <c r="U133" s="37" t="n"/>
      <c r="V133" s="37" t="n"/>
      <c r="W133" s="278" t="n"/>
    </row>
    <row r="134">
      <c r="A134" s="37" t="n"/>
      <c r="B134" s="37" t="n"/>
      <c r="C134" s="37" t="n"/>
      <c r="D134" s="37" t="n"/>
      <c r="E134" s="37" t="n"/>
      <c r="F134" s="37" t="n"/>
      <c r="G134" s="274" t="n"/>
      <c r="H134" s="37" t="n"/>
      <c r="I134" s="37" t="n"/>
      <c r="J134" s="37" t="n"/>
      <c r="K134" s="274" t="n"/>
      <c r="L134" s="37" t="n"/>
      <c r="M134" s="37" t="n"/>
      <c r="N134" s="276" t="n"/>
      <c r="O134" s="276" t="n"/>
      <c r="P134" s="276" t="n"/>
      <c r="Q134" s="276" t="n"/>
      <c r="R134" s="276" t="n"/>
      <c r="S134" s="37" t="n"/>
      <c r="T134" s="37" t="n"/>
      <c r="U134" s="37" t="n"/>
      <c r="V134" s="37" t="n"/>
      <c r="W134" s="278" t="n"/>
    </row>
    <row r="135">
      <c r="A135" s="37" t="n"/>
      <c r="B135" s="37" t="n"/>
      <c r="C135" s="37" t="n"/>
      <c r="D135" s="37" t="n"/>
      <c r="E135" s="37" t="n"/>
      <c r="F135" s="37" t="n"/>
      <c r="G135" s="274" t="n"/>
      <c r="H135" s="37" t="n"/>
      <c r="I135" s="37" t="n"/>
      <c r="J135" s="37" t="n"/>
      <c r="K135" s="274" t="n"/>
      <c r="L135" s="37" t="n"/>
      <c r="M135" s="37" t="n"/>
      <c r="N135" s="276" t="n"/>
      <c r="O135" s="276" t="n"/>
      <c r="P135" s="276" t="n"/>
      <c r="Q135" s="276" t="n"/>
      <c r="R135" s="276" t="n"/>
      <c r="S135" s="37" t="n"/>
      <c r="T135" s="37" t="n"/>
      <c r="U135" s="37" t="n"/>
      <c r="V135" s="37" t="n"/>
      <c r="W135" s="278" t="n"/>
    </row>
    <row r="136">
      <c r="A136" s="37" t="n"/>
      <c r="B136" s="37" t="n"/>
      <c r="C136" s="37" t="n"/>
      <c r="D136" s="37" t="n"/>
      <c r="E136" s="37" t="n"/>
      <c r="F136" s="37" t="n"/>
      <c r="G136" s="274" t="n"/>
      <c r="H136" s="37" t="n"/>
      <c r="I136" s="37" t="n"/>
      <c r="J136" s="37" t="n"/>
      <c r="K136" s="274" t="n"/>
      <c r="L136" s="37" t="n"/>
      <c r="M136" s="37" t="n"/>
      <c r="N136" s="276" t="n"/>
      <c r="O136" s="276" t="n"/>
      <c r="P136" s="276" t="n"/>
      <c r="Q136" s="276" t="n"/>
      <c r="R136" s="276" t="n"/>
      <c r="S136" s="37" t="n"/>
      <c r="T136" s="37" t="n"/>
      <c r="U136" s="37" t="n"/>
      <c r="V136" s="37" t="n"/>
      <c r="W136" s="278" t="n"/>
    </row>
    <row r="137">
      <c r="A137" s="37" t="n"/>
      <c r="B137" s="37" t="n"/>
      <c r="C137" s="37" t="n"/>
      <c r="D137" s="37" t="n"/>
      <c r="E137" s="37" t="n"/>
      <c r="F137" s="37" t="n"/>
      <c r="G137" s="274" t="n"/>
      <c r="H137" s="37" t="n"/>
      <c r="I137" s="37" t="n"/>
      <c r="J137" s="37" t="n"/>
      <c r="K137" s="274" t="n"/>
      <c r="L137" s="37" t="n"/>
      <c r="M137" s="37" t="n"/>
      <c r="N137" s="276" t="n"/>
      <c r="O137" s="276" t="n"/>
      <c r="P137" s="276" t="n"/>
      <c r="Q137" s="276" t="n"/>
      <c r="R137" s="276" t="n"/>
      <c r="S137" s="37" t="n"/>
      <c r="T137" s="37" t="n"/>
      <c r="U137" s="37" t="n"/>
      <c r="V137" s="37" t="n"/>
      <c r="W137" s="278" t="n"/>
    </row>
    <row r="138">
      <c r="A138" s="37" t="n"/>
      <c r="B138" s="37" t="n"/>
      <c r="C138" s="37" t="n"/>
      <c r="D138" s="37" t="n"/>
      <c r="E138" s="37" t="n"/>
      <c r="F138" s="37" t="n"/>
      <c r="G138" s="274" t="n"/>
      <c r="H138" s="37" t="n"/>
      <c r="I138" s="37" t="n"/>
      <c r="J138" s="37" t="n"/>
      <c r="K138" s="274" t="n"/>
      <c r="L138" s="37" t="n"/>
      <c r="M138" s="37" t="n"/>
      <c r="N138" s="276" t="n"/>
      <c r="O138" s="276" t="n"/>
      <c r="P138" s="276" t="n"/>
      <c r="Q138" s="276" t="n"/>
      <c r="R138" s="276" t="n"/>
      <c r="S138" s="37" t="n"/>
      <c r="T138" s="37" t="n"/>
      <c r="U138" s="37" t="n"/>
      <c r="V138" s="37" t="n"/>
      <c r="W138" s="278" t="n"/>
    </row>
    <row r="139">
      <c r="A139" s="37" t="n"/>
      <c r="B139" s="37" t="n"/>
      <c r="C139" s="37" t="n"/>
      <c r="D139" s="37" t="n"/>
      <c r="E139" s="37" t="n"/>
      <c r="F139" s="37" t="n"/>
      <c r="G139" s="274" t="n"/>
      <c r="H139" s="37" t="n"/>
      <c r="I139" s="37" t="n"/>
      <c r="J139" s="37" t="n"/>
      <c r="K139" s="274" t="n"/>
      <c r="L139" s="37" t="n"/>
      <c r="M139" s="37" t="n"/>
      <c r="N139" s="276" t="n"/>
      <c r="O139" s="276" t="n"/>
      <c r="P139" s="276" t="n"/>
      <c r="Q139" s="276" t="n"/>
      <c r="R139" s="276" t="n"/>
      <c r="S139" s="37" t="n"/>
      <c r="T139" s="37" t="n"/>
      <c r="U139" s="37" t="n"/>
      <c r="V139" s="37" t="n"/>
      <c r="W139" s="278" t="n"/>
    </row>
    <row r="140">
      <c r="A140" s="37" t="n"/>
      <c r="B140" s="37" t="n"/>
      <c r="C140" s="37" t="n"/>
      <c r="D140" s="37" t="n"/>
      <c r="E140" s="37" t="n"/>
      <c r="F140" s="37" t="n"/>
      <c r="G140" s="274" t="n"/>
      <c r="H140" s="37" t="n"/>
      <c r="I140" s="37" t="n"/>
      <c r="J140" s="37" t="n"/>
      <c r="K140" s="274" t="n"/>
      <c r="L140" s="37" t="n"/>
      <c r="M140" s="37" t="n"/>
      <c r="N140" s="276" t="n"/>
      <c r="O140" s="276" t="n"/>
      <c r="P140" s="276" t="n"/>
      <c r="Q140" s="276" t="n"/>
      <c r="R140" s="276" t="n"/>
      <c r="S140" s="37" t="n"/>
      <c r="T140" s="37" t="n"/>
      <c r="U140" s="37" t="n"/>
      <c r="V140" s="37" t="n"/>
      <c r="W140" s="278" t="n"/>
    </row>
    <row r="141">
      <c r="A141" s="37" t="n"/>
      <c r="B141" s="37" t="n"/>
      <c r="C141" s="37" t="n"/>
      <c r="D141" s="37" t="n"/>
      <c r="E141" s="37" t="n"/>
      <c r="F141" s="37" t="n"/>
      <c r="G141" s="274" t="n"/>
      <c r="H141" s="37" t="n"/>
      <c r="I141" s="37" t="n"/>
      <c r="J141" s="37" t="n"/>
      <c r="K141" s="274" t="n"/>
      <c r="L141" s="37" t="n"/>
      <c r="M141" s="37" t="n"/>
      <c r="N141" s="276" t="n"/>
      <c r="O141" s="276" t="n"/>
      <c r="P141" s="276" t="n"/>
      <c r="Q141" s="276" t="n"/>
      <c r="R141" s="276" t="n"/>
      <c r="S141" s="37" t="n"/>
      <c r="T141" s="37" t="n"/>
      <c r="U141" s="37" t="n"/>
      <c r="V141" s="37" t="n"/>
      <c r="W141" s="278" t="n"/>
    </row>
    <row r="142">
      <c r="A142" s="37" t="n"/>
      <c r="B142" s="37" t="n"/>
      <c r="C142" s="37" t="n"/>
      <c r="D142" s="37" t="n"/>
      <c r="E142" s="37" t="n"/>
      <c r="F142" s="37" t="n"/>
      <c r="G142" s="274" t="n"/>
      <c r="H142" s="37" t="n"/>
      <c r="I142" s="37" t="n"/>
      <c r="J142" s="37" t="n"/>
      <c r="K142" s="274" t="n"/>
      <c r="L142" s="37" t="n"/>
      <c r="M142" s="37" t="n"/>
      <c r="N142" s="276" t="n"/>
      <c r="O142" s="276" t="n"/>
      <c r="P142" s="276" t="n"/>
      <c r="Q142" s="276" t="n"/>
      <c r="R142" s="276" t="n"/>
      <c r="S142" s="37" t="n"/>
      <c r="T142" s="37" t="n"/>
      <c r="U142" s="37" t="n"/>
      <c r="V142" s="37" t="n"/>
      <c r="W142" s="278" t="n"/>
    </row>
    <row r="143">
      <c r="A143" s="37" t="n"/>
      <c r="B143" s="37" t="n"/>
      <c r="C143" s="37" t="n"/>
      <c r="D143" s="37" t="n"/>
      <c r="E143" s="37" t="n"/>
      <c r="F143" s="37" t="n"/>
      <c r="G143" s="274" t="n"/>
      <c r="H143" s="37" t="n"/>
      <c r="I143" s="37" t="n"/>
      <c r="J143" s="37" t="n"/>
      <c r="K143" s="274" t="n"/>
      <c r="L143" s="37" t="n"/>
      <c r="M143" s="37" t="n"/>
      <c r="N143" s="276" t="n"/>
      <c r="O143" s="276" t="n"/>
      <c r="P143" s="276" t="n"/>
      <c r="Q143" s="276" t="n"/>
      <c r="R143" s="276" t="n"/>
      <c r="S143" s="37" t="n"/>
      <c r="T143" s="37" t="n"/>
      <c r="U143" s="37" t="n"/>
      <c r="V143" s="37" t="n"/>
      <c r="W143" s="278" t="n"/>
    </row>
    <row r="144">
      <c r="A144" s="37" t="n"/>
      <c r="B144" s="37" t="n"/>
      <c r="C144" s="37" t="n"/>
      <c r="D144" s="37" t="n"/>
      <c r="E144" s="37" t="n"/>
      <c r="F144" s="37" t="n"/>
      <c r="G144" s="274" t="n"/>
      <c r="H144" s="37" t="n"/>
      <c r="I144" s="37" t="n"/>
      <c r="J144" s="37" t="n"/>
      <c r="K144" s="274" t="n"/>
      <c r="L144" s="37" t="n"/>
      <c r="M144" s="37" t="n"/>
      <c r="N144" s="276" t="n"/>
      <c r="O144" s="276" t="n"/>
      <c r="P144" s="276" t="n"/>
      <c r="Q144" s="276" t="n"/>
      <c r="R144" s="276" t="n"/>
      <c r="S144" s="37" t="n"/>
      <c r="T144" s="37" t="n"/>
      <c r="U144" s="37" t="n"/>
      <c r="V144" s="37" t="n"/>
      <c r="W144" s="278" t="n"/>
    </row>
    <row r="145">
      <c r="A145" s="37" t="n"/>
      <c r="B145" s="37" t="n"/>
      <c r="C145" s="37" t="n"/>
      <c r="D145" s="37" t="n"/>
      <c r="E145" s="37" t="n"/>
      <c r="F145" s="37" t="n"/>
      <c r="G145" s="274" t="n"/>
      <c r="H145" s="37" t="n"/>
      <c r="I145" s="37" t="n"/>
      <c r="J145" s="37" t="n"/>
      <c r="K145" s="274" t="n"/>
      <c r="L145" s="37" t="n"/>
      <c r="M145" s="37" t="n"/>
      <c r="N145" s="276" t="n"/>
      <c r="O145" s="276" t="n"/>
      <c r="P145" s="276" t="n"/>
      <c r="Q145" s="276" t="n"/>
      <c r="R145" s="276" t="n"/>
      <c r="S145" s="37" t="n"/>
      <c r="T145" s="37" t="n"/>
      <c r="U145" s="37" t="n"/>
      <c r="V145" s="37" t="n"/>
      <c r="W145" s="278" t="n"/>
    </row>
    <row r="146">
      <c r="A146" s="37" t="n"/>
      <c r="B146" s="37" t="n"/>
      <c r="C146" s="37" t="n"/>
      <c r="D146" s="37" t="n"/>
      <c r="E146" s="37" t="n"/>
      <c r="F146" s="37" t="n"/>
      <c r="G146" s="274" t="n"/>
      <c r="H146" s="37" t="n"/>
      <c r="I146" s="37" t="n"/>
      <c r="J146" s="37" t="n"/>
      <c r="K146" s="274" t="n"/>
      <c r="L146" s="37" t="n"/>
      <c r="M146" s="37" t="n"/>
      <c r="N146" s="276" t="n"/>
      <c r="O146" s="276" t="n"/>
      <c r="P146" s="276" t="n"/>
      <c r="Q146" s="276" t="n"/>
      <c r="R146" s="276" t="n"/>
      <c r="S146" s="37" t="n"/>
      <c r="T146" s="37" t="n"/>
      <c r="U146" s="37" t="n"/>
      <c r="V146" s="37" t="n"/>
      <c r="W146" s="278" t="n"/>
    </row>
    <row r="147">
      <c r="A147" s="37" t="n"/>
      <c r="B147" s="37" t="n"/>
      <c r="C147" s="37" t="n"/>
      <c r="D147" s="37" t="n"/>
      <c r="E147" s="37" t="n"/>
      <c r="F147" s="37" t="n"/>
      <c r="G147" s="274" t="n"/>
      <c r="H147" s="37" t="n"/>
      <c r="I147" s="37" t="n"/>
      <c r="J147" s="37" t="n"/>
      <c r="K147" s="274" t="n"/>
      <c r="L147" s="37" t="n"/>
      <c r="M147" s="37" t="n"/>
      <c r="N147" s="276" t="n"/>
      <c r="O147" s="276" t="n"/>
      <c r="P147" s="276" t="n"/>
      <c r="Q147" s="276" t="n"/>
      <c r="R147" s="276" t="n"/>
      <c r="S147" s="37" t="n"/>
      <c r="T147" s="37" t="n"/>
      <c r="U147" s="37" t="n"/>
      <c r="V147" s="37" t="n"/>
      <c r="W147" s="278" t="n"/>
    </row>
    <row r="148">
      <c r="A148" s="37" t="n"/>
      <c r="B148" s="37" t="n"/>
      <c r="C148" s="37" t="n"/>
      <c r="D148" s="37" t="n"/>
      <c r="E148" s="37" t="n"/>
      <c r="F148" s="37" t="n"/>
      <c r="G148" s="274" t="n"/>
      <c r="H148" s="37" t="n"/>
      <c r="I148" s="37" t="n"/>
      <c r="J148" s="37" t="n"/>
      <c r="K148" s="274" t="n"/>
      <c r="L148" s="37" t="n"/>
      <c r="M148" s="37" t="n"/>
      <c r="N148" s="276" t="n"/>
      <c r="O148" s="276" t="n"/>
      <c r="P148" s="276" t="n"/>
      <c r="Q148" s="276" t="n"/>
      <c r="R148" s="276" t="n"/>
      <c r="S148" s="37" t="n"/>
      <c r="T148" s="37" t="n"/>
      <c r="U148" s="37" t="n"/>
      <c r="V148" s="37" t="n"/>
      <c r="W148" s="278" t="n"/>
    </row>
    <row r="149">
      <c r="A149" s="37" t="n"/>
      <c r="B149" s="37" t="n"/>
      <c r="C149" s="37" t="n"/>
      <c r="D149" s="37" t="n"/>
      <c r="E149" s="37" t="n"/>
      <c r="F149" s="37" t="n"/>
      <c r="G149" s="274" t="n"/>
      <c r="H149" s="37" t="n"/>
      <c r="I149" s="37" t="n"/>
      <c r="J149" s="37" t="n"/>
      <c r="K149" s="274" t="n"/>
      <c r="L149" s="37" t="n"/>
      <c r="M149" s="37" t="n"/>
      <c r="N149" s="276" t="n"/>
      <c r="O149" s="276" t="n"/>
      <c r="P149" s="276" t="n"/>
      <c r="Q149" s="276" t="n"/>
      <c r="R149" s="276" t="n"/>
      <c r="S149" s="37" t="n"/>
      <c r="T149" s="37" t="n"/>
      <c r="U149" s="37" t="n"/>
      <c r="V149" s="37" t="n"/>
      <c r="W149" s="278" t="n"/>
    </row>
    <row r="150">
      <c r="A150" s="37" t="n"/>
      <c r="B150" s="37" t="n"/>
      <c r="C150" s="37" t="n"/>
      <c r="D150" s="37" t="n"/>
      <c r="E150" s="37" t="n"/>
      <c r="F150" s="37" t="n"/>
      <c r="G150" s="274" t="n"/>
      <c r="H150" s="37" t="n"/>
      <c r="I150" s="37" t="n"/>
      <c r="J150" s="37" t="n"/>
      <c r="K150" s="274" t="n"/>
      <c r="L150" s="37" t="n"/>
      <c r="M150" s="37" t="n"/>
      <c r="N150" s="276" t="n"/>
      <c r="O150" s="276" t="n"/>
      <c r="P150" s="276" t="n"/>
      <c r="Q150" s="276" t="n"/>
      <c r="R150" s="276" t="n"/>
      <c r="S150" s="37" t="n"/>
      <c r="T150" s="37" t="n"/>
      <c r="U150" s="37" t="n"/>
      <c r="V150" s="37" t="n"/>
      <c r="W150" s="278" t="n"/>
    </row>
    <row r="151">
      <c r="A151" s="37" t="n"/>
      <c r="B151" s="37" t="n"/>
      <c r="C151" s="37" t="n"/>
      <c r="D151" s="37" t="n"/>
      <c r="E151" s="37" t="n"/>
      <c r="F151" s="37" t="n"/>
      <c r="G151" s="274" t="n"/>
      <c r="H151" s="37" t="n"/>
      <c r="I151" s="37" t="n"/>
      <c r="J151" s="37" t="n"/>
      <c r="K151" s="274" t="n"/>
      <c r="L151" s="37" t="n"/>
      <c r="M151" s="37" t="n"/>
      <c r="N151" s="276" t="n"/>
      <c r="O151" s="276" t="n"/>
      <c r="P151" s="276" t="n"/>
      <c r="Q151" s="276" t="n"/>
      <c r="R151" s="276" t="n"/>
      <c r="S151" s="37" t="n"/>
      <c r="T151" s="37" t="n"/>
      <c r="U151" s="37" t="n"/>
      <c r="V151" s="37" t="n"/>
      <c r="W151" s="278" t="n"/>
    </row>
    <row r="152">
      <c r="A152" s="37" t="n"/>
      <c r="B152" s="37" t="n"/>
      <c r="C152" s="37" t="n"/>
      <c r="D152" s="37" t="n"/>
      <c r="E152" s="37" t="n"/>
      <c r="F152" s="37" t="n"/>
      <c r="G152" s="274" t="n"/>
      <c r="H152" s="37" t="n"/>
      <c r="I152" s="37" t="n"/>
      <c r="J152" s="37" t="n"/>
      <c r="K152" s="274" t="n"/>
      <c r="L152" s="37" t="n"/>
      <c r="M152" s="37" t="n"/>
      <c r="N152" s="276" t="n"/>
      <c r="O152" s="276" t="n"/>
      <c r="P152" s="276" t="n"/>
      <c r="Q152" s="276" t="n"/>
      <c r="R152" s="276" t="n"/>
      <c r="S152" s="37" t="n"/>
      <c r="T152" s="37" t="n"/>
      <c r="U152" s="37" t="n"/>
      <c r="V152" s="37" t="n"/>
      <c r="W152" s="278" t="n"/>
    </row>
    <row r="153">
      <c r="A153" s="37" t="n"/>
      <c r="B153" s="37" t="n"/>
      <c r="C153" s="37" t="n"/>
      <c r="D153" s="37" t="n"/>
      <c r="E153" s="37" t="n"/>
      <c r="F153" s="37" t="n"/>
      <c r="G153" s="274" t="n"/>
      <c r="H153" s="37" t="n"/>
      <c r="I153" s="37" t="n"/>
      <c r="J153" s="37" t="n"/>
      <c r="K153" s="274" t="n"/>
      <c r="L153" s="37" t="n"/>
      <c r="M153" s="37" t="n"/>
      <c r="N153" s="276" t="n"/>
      <c r="O153" s="276" t="n"/>
      <c r="P153" s="276" t="n"/>
      <c r="Q153" s="276" t="n"/>
      <c r="R153" s="276" t="n"/>
      <c r="S153" s="37" t="n"/>
      <c r="T153" s="37" t="n"/>
      <c r="U153" s="37" t="n"/>
      <c r="V153" s="37" t="n"/>
      <c r="W153" s="278" t="n"/>
    </row>
    <row r="154">
      <c r="A154" s="37" t="n"/>
      <c r="B154" s="37" t="n"/>
      <c r="C154" s="37" t="n"/>
      <c r="D154" s="37" t="n"/>
      <c r="E154" s="37" t="n"/>
      <c r="F154" s="37" t="n"/>
      <c r="G154" s="274" t="n"/>
      <c r="H154" s="37" t="n"/>
      <c r="I154" s="37" t="n"/>
      <c r="J154" s="37" t="n"/>
      <c r="K154" s="274" t="n"/>
      <c r="L154" s="37" t="n"/>
      <c r="M154" s="37" t="n"/>
      <c r="N154" s="276" t="n"/>
      <c r="O154" s="276" t="n"/>
      <c r="P154" s="276" t="n"/>
      <c r="Q154" s="276" t="n"/>
      <c r="R154" s="276" t="n"/>
      <c r="S154" s="37" t="n"/>
      <c r="T154" s="37" t="n"/>
      <c r="U154" s="37" t="n"/>
      <c r="V154" s="37" t="n"/>
      <c r="W154" s="278" t="n"/>
    </row>
    <row r="155">
      <c r="A155" s="37" t="n"/>
      <c r="B155" s="37" t="n"/>
      <c r="C155" s="37" t="n"/>
      <c r="D155" s="37" t="n"/>
      <c r="E155" s="37" t="n"/>
      <c r="F155" s="37" t="n"/>
      <c r="G155" s="274" t="n"/>
      <c r="H155" s="37" t="n"/>
      <c r="I155" s="37" t="n"/>
      <c r="J155" s="37" t="n"/>
      <c r="K155" s="274" t="n"/>
      <c r="L155" s="37" t="n"/>
      <c r="M155" s="37" t="n"/>
      <c r="N155" s="276" t="n"/>
      <c r="O155" s="276" t="n"/>
      <c r="P155" s="276" t="n"/>
      <c r="Q155" s="276" t="n"/>
      <c r="R155" s="276" t="n"/>
      <c r="S155" s="37" t="n"/>
      <c r="T155" s="37" t="n"/>
      <c r="U155" s="37" t="n"/>
      <c r="V155" s="37" t="n"/>
      <c r="W155" s="278" t="n"/>
    </row>
    <row r="156">
      <c r="A156" s="37" t="n"/>
      <c r="B156" s="37" t="n"/>
      <c r="C156" s="37" t="n"/>
      <c r="D156" s="37" t="n"/>
      <c r="E156" s="37" t="n"/>
      <c r="F156" s="37" t="n"/>
      <c r="G156" s="274" t="n"/>
      <c r="H156" s="37" t="n"/>
      <c r="I156" s="37" t="n"/>
      <c r="J156" s="37" t="n"/>
      <c r="K156" s="274" t="n"/>
      <c r="L156" s="37" t="n"/>
      <c r="M156" s="37" t="n"/>
      <c r="N156" s="276" t="n"/>
      <c r="O156" s="276" t="n"/>
      <c r="P156" s="276" t="n"/>
      <c r="Q156" s="276" t="n"/>
      <c r="R156" s="276" t="n"/>
      <c r="S156" s="37" t="n"/>
      <c r="T156" s="37" t="n"/>
      <c r="U156" s="37" t="n"/>
      <c r="V156" s="37" t="n"/>
      <c r="W156" s="278" t="n"/>
    </row>
    <row r="157">
      <c r="A157" s="37" t="n"/>
      <c r="B157" s="37" t="n"/>
      <c r="C157" s="37" t="n"/>
      <c r="D157" s="37" t="n"/>
      <c r="E157" s="37" t="n"/>
      <c r="F157" s="37" t="n"/>
      <c r="G157" s="274" t="n"/>
      <c r="H157" s="37" t="n"/>
      <c r="I157" s="37" t="n"/>
      <c r="J157" s="37" t="n"/>
      <c r="K157" s="274" t="n"/>
      <c r="L157" s="37" t="n"/>
      <c r="M157" s="37" t="n"/>
      <c r="N157" s="276" t="n"/>
      <c r="O157" s="276" t="n"/>
      <c r="P157" s="276" t="n"/>
      <c r="Q157" s="276" t="n"/>
      <c r="R157" s="276" t="n"/>
      <c r="S157" s="37" t="n"/>
      <c r="T157" s="37" t="n"/>
      <c r="U157" s="37" t="n"/>
      <c r="V157" s="37" t="n"/>
      <c r="W157" s="278" t="n"/>
    </row>
    <row r="158">
      <c r="A158" s="37" t="n"/>
      <c r="B158" s="37" t="n"/>
      <c r="C158" s="37" t="n"/>
      <c r="D158" s="37" t="n"/>
      <c r="E158" s="37" t="n"/>
      <c r="F158" s="37" t="n"/>
      <c r="G158" s="274" t="n"/>
      <c r="H158" s="37" t="n"/>
      <c r="I158" s="37" t="n"/>
      <c r="J158" s="37" t="n"/>
      <c r="K158" s="274" t="n"/>
      <c r="L158" s="37" t="n"/>
      <c r="M158" s="37" t="n"/>
      <c r="N158" s="276" t="n"/>
      <c r="O158" s="276" t="n"/>
      <c r="P158" s="276" t="n"/>
      <c r="Q158" s="276" t="n"/>
      <c r="R158" s="276" t="n"/>
      <c r="S158" s="37" t="n"/>
      <c r="T158" s="37" t="n"/>
      <c r="U158" s="37" t="n"/>
      <c r="V158" s="37" t="n"/>
      <c r="W158" s="278" t="n"/>
    </row>
    <row r="159">
      <c r="A159" s="37" t="n"/>
      <c r="B159" s="37" t="n"/>
      <c r="C159" s="37" t="n"/>
      <c r="D159" s="37" t="n"/>
      <c r="E159" s="37" t="n"/>
      <c r="F159" s="37" t="n"/>
      <c r="G159" s="274" t="n"/>
      <c r="H159" s="37" t="n"/>
      <c r="I159" s="37" t="n"/>
      <c r="J159" s="37" t="n"/>
      <c r="K159" s="274" t="n"/>
      <c r="L159" s="37" t="n"/>
      <c r="M159" s="37" t="n"/>
      <c r="N159" s="276" t="n"/>
      <c r="O159" s="276" t="n"/>
      <c r="P159" s="276" t="n"/>
      <c r="Q159" s="276" t="n"/>
      <c r="R159" s="276" t="n"/>
      <c r="S159" s="37" t="n"/>
      <c r="T159" s="37" t="n"/>
      <c r="U159" s="37" t="n"/>
      <c r="V159" s="37" t="n"/>
      <c r="W159" s="278" t="n"/>
    </row>
    <row r="160">
      <c r="A160" s="37" t="n"/>
      <c r="B160" s="37" t="n"/>
      <c r="C160" s="37" t="n"/>
      <c r="D160" s="37" t="n"/>
      <c r="E160" s="37" t="n"/>
      <c r="F160" s="37" t="n"/>
      <c r="G160" s="274" t="n"/>
      <c r="H160" s="37" t="n"/>
      <c r="I160" s="37" t="n"/>
      <c r="J160" s="37" t="n"/>
      <c r="K160" s="274" t="n"/>
      <c r="L160" s="37" t="n"/>
      <c r="M160" s="37" t="n"/>
      <c r="N160" s="276" t="n"/>
      <c r="O160" s="276" t="n"/>
      <c r="P160" s="276" t="n"/>
      <c r="Q160" s="276" t="n"/>
      <c r="R160" s="276" t="n"/>
      <c r="S160" s="37" t="n"/>
      <c r="T160" s="37" t="n"/>
      <c r="U160" s="37" t="n"/>
      <c r="V160" s="37" t="n"/>
      <c r="W160" s="278" t="n"/>
    </row>
    <row r="161">
      <c r="A161" s="37" t="n"/>
      <c r="B161" s="37" t="n"/>
      <c r="C161" s="37" t="n"/>
      <c r="D161" s="37" t="n"/>
      <c r="E161" s="37" t="n"/>
      <c r="F161" s="37" t="n"/>
      <c r="G161" s="274" t="n"/>
      <c r="H161" s="37" t="n"/>
      <c r="I161" s="37" t="n"/>
      <c r="J161" s="37" t="n"/>
      <c r="K161" s="274" t="n"/>
      <c r="L161" s="37" t="n"/>
      <c r="M161" s="37" t="n"/>
      <c r="N161" s="276" t="n"/>
      <c r="O161" s="276" t="n"/>
      <c r="P161" s="276" t="n"/>
      <c r="Q161" s="276" t="n"/>
      <c r="R161" s="276" t="n"/>
      <c r="S161" s="37" t="n"/>
      <c r="T161" s="37" t="n"/>
      <c r="U161" s="37" t="n"/>
      <c r="V161" s="37" t="n"/>
      <c r="W161" s="278" t="n"/>
    </row>
    <row r="162">
      <c r="A162" s="37" t="n"/>
      <c r="B162" s="37" t="n"/>
      <c r="C162" s="37" t="n"/>
      <c r="D162" s="37" t="n"/>
      <c r="E162" s="37" t="n"/>
      <c r="F162" s="37" t="n"/>
      <c r="G162" s="274" t="n"/>
      <c r="H162" s="37" t="n"/>
      <c r="I162" s="37" t="n"/>
      <c r="J162" s="37" t="n"/>
      <c r="K162" s="274" t="n"/>
      <c r="L162" s="37" t="n"/>
      <c r="M162" s="37" t="n"/>
      <c r="N162" s="276" t="n"/>
      <c r="O162" s="276" t="n"/>
      <c r="P162" s="276" t="n"/>
      <c r="Q162" s="276" t="n"/>
      <c r="R162" s="276" t="n"/>
      <c r="S162" s="37" t="n"/>
      <c r="T162" s="37" t="n"/>
      <c r="U162" s="37" t="n"/>
      <c r="V162" s="37" t="n"/>
      <c r="W162" s="278" t="n"/>
    </row>
    <row r="163">
      <c r="A163" s="37" t="n"/>
      <c r="B163" s="37" t="n"/>
      <c r="C163" s="37" t="n"/>
      <c r="D163" s="37" t="n"/>
      <c r="E163" s="37" t="n"/>
      <c r="F163" s="37" t="n"/>
      <c r="G163" s="274" t="n"/>
      <c r="H163" s="37" t="n"/>
      <c r="I163" s="37" t="n"/>
      <c r="J163" s="37" t="n"/>
      <c r="K163" s="274" t="n"/>
      <c r="L163" s="37" t="n"/>
      <c r="M163" s="37" t="n"/>
      <c r="N163" s="276" t="n"/>
      <c r="O163" s="276" t="n"/>
      <c r="P163" s="276" t="n"/>
      <c r="Q163" s="276" t="n"/>
      <c r="R163" s="276" t="n"/>
      <c r="S163" s="37" t="n"/>
      <c r="T163" s="37" t="n"/>
      <c r="U163" s="37" t="n"/>
      <c r="V163" s="37" t="n"/>
      <c r="W163" s="278" t="n"/>
    </row>
    <row r="164">
      <c r="A164" s="37" t="n"/>
      <c r="B164" s="37" t="n"/>
      <c r="C164" s="37" t="n"/>
      <c r="D164" s="37" t="n"/>
      <c r="E164" s="37" t="n"/>
      <c r="F164" s="37" t="n"/>
      <c r="G164" s="274" t="n"/>
      <c r="H164" s="37" t="n"/>
      <c r="I164" s="37" t="n"/>
      <c r="J164" s="37" t="n"/>
      <c r="K164" s="274" t="n"/>
      <c r="L164" s="37" t="n"/>
      <c r="M164" s="37" t="n"/>
      <c r="N164" s="276" t="n"/>
      <c r="O164" s="276" t="n"/>
      <c r="P164" s="276" t="n"/>
      <c r="Q164" s="276" t="n"/>
      <c r="R164" s="276" t="n"/>
      <c r="S164" s="37" t="n"/>
      <c r="T164" s="37" t="n"/>
      <c r="U164" s="37" t="n"/>
      <c r="V164" s="37" t="n"/>
      <c r="W164" s="278" t="n"/>
    </row>
    <row r="165">
      <c r="A165" s="37" t="n"/>
      <c r="B165" s="37" t="n"/>
      <c r="C165" s="37" t="n"/>
      <c r="D165" s="37" t="n"/>
      <c r="E165" s="37" t="n"/>
      <c r="F165" s="37" t="n"/>
      <c r="G165" s="274" t="n"/>
      <c r="H165" s="37" t="n"/>
      <c r="I165" s="37" t="n"/>
      <c r="J165" s="37" t="n"/>
      <c r="K165" s="274" t="n"/>
      <c r="L165" s="37" t="n"/>
      <c r="M165" s="37" t="n"/>
      <c r="N165" s="276" t="n"/>
      <c r="O165" s="276" t="n"/>
      <c r="P165" s="276" t="n"/>
      <c r="Q165" s="276" t="n"/>
      <c r="R165" s="276" t="n"/>
      <c r="S165" s="37" t="n"/>
      <c r="T165" s="37" t="n"/>
      <c r="U165" s="37" t="n"/>
      <c r="V165" s="37" t="n"/>
      <c r="W165" s="278" t="n"/>
    </row>
    <row r="166">
      <c r="A166" s="37" t="n"/>
      <c r="B166" s="37" t="n"/>
      <c r="C166" s="37" t="n"/>
      <c r="D166" s="37" t="n"/>
      <c r="E166" s="37" t="n"/>
      <c r="F166" s="37" t="n"/>
      <c r="G166" s="274" t="n"/>
      <c r="H166" s="37" t="n"/>
      <c r="I166" s="37" t="n"/>
      <c r="J166" s="37" t="n"/>
      <c r="K166" s="274" t="n"/>
      <c r="L166" s="37" t="n"/>
      <c r="M166" s="37" t="n"/>
      <c r="N166" s="276" t="n"/>
      <c r="O166" s="276" t="n"/>
      <c r="P166" s="276" t="n"/>
      <c r="Q166" s="276" t="n"/>
      <c r="R166" s="276" t="n"/>
      <c r="S166" s="37" t="n"/>
      <c r="T166" s="37" t="n"/>
      <c r="U166" s="37" t="n"/>
      <c r="V166" s="37" t="n"/>
      <c r="W166" s="278" t="n"/>
    </row>
    <row r="167">
      <c r="A167" s="37" t="n"/>
      <c r="B167" s="37" t="n"/>
      <c r="C167" s="37" t="n"/>
      <c r="D167" s="37" t="n"/>
      <c r="E167" s="37" t="n"/>
      <c r="F167" s="37" t="n"/>
      <c r="G167" s="274" t="n"/>
      <c r="H167" s="37" t="n"/>
      <c r="I167" s="37" t="n"/>
      <c r="J167" s="37" t="n"/>
      <c r="K167" s="274" t="n"/>
      <c r="L167" s="37" t="n"/>
      <c r="M167" s="37" t="n"/>
      <c r="N167" s="276" t="n"/>
      <c r="O167" s="276" t="n"/>
      <c r="P167" s="276" t="n"/>
      <c r="Q167" s="276" t="n"/>
      <c r="R167" s="276" t="n"/>
      <c r="S167" s="37" t="n"/>
      <c r="T167" s="37" t="n"/>
      <c r="U167" s="37" t="n"/>
      <c r="V167" s="37" t="n"/>
      <c r="W167" s="278" t="n"/>
    </row>
    <row r="168">
      <c r="A168" s="37" t="n"/>
      <c r="B168" s="37" t="n"/>
      <c r="C168" s="37" t="n"/>
      <c r="D168" s="37" t="n"/>
      <c r="E168" s="37" t="n"/>
      <c r="F168" s="37" t="n"/>
      <c r="G168" s="274" t="n"/>
      <c r="H168" s="37" t="n"/>
      <c r="I168" s="37" t="n"/>
      <c r="J168" s="37" t="n"/>
      <c r="K168" s="274" t="n"/>
      <c r="L168" s="37" t="n"/>
      <c r="M168" s="37" t="n"/>
      <c r="N168" s="276" t="n"/>
      <c r="O168" s="276" t="n"/>
      <c r="P168" s="276" t="n"/>
      <c r="Q168" s="276" t="n"/>
      <c r="R168" s="276" t="n"/>
      <c r="S168" s="37" t="n"/>
      <c r="T168" s="37" t="n"/>
      <c r="U168" s="37" t="n"/>
      <c r="V168" s="37" t="n"/>
      <c r="W168" s="278" t="n"/>
    </row>
    <row r="169">
      <c r="A169" s="37" t="n"/>
      <c r="B169" s="37" t="n"/>
      <c r="C169" s="37" t="n"/>
      <c r="D169" s="37" t="n"/>
      <c r="E169" s="37" t="n"/>
      <c r="F169" s="37" t="n"/>
      <c r="G169" s="274" t="n"/>
      <c r="H169" s="37" t="n"/>
      <c r="I169" s="37" t="n"/>
      <c r="J169" s="37" t="n"/>
      <c r="K169" s="274" t="n"/>
      <c r="L169" s="37" t="n"/>
      <c r="M169" s="37" t="n"/>
      <c r="N169" s="276" t="n"/>
      <c r="O169" s="276" t="n"/>
      <c r="P169" s="276" t="n"/>
      <c r="Q169" s="276" t="n"/>
      <c r="R169" s="276" t="n"/>
      <c r="S169" s="37" t="n"/>
      <c r="T169" s="37" t="n"/>
      <c r="U169" s="37" t="n"/>
      <c r="V169" s="37" t="n"/>
      <c r="W169" s="278" t="n"/>
    </row>
    <row r="170">
      <c r="A170" s="37" t="n"/>
      <c r="B170" s="37" t="n"/>
      <c r="C170" s="37" t="n"/>
      <c r="D170" s="37" t="n"/>
      <c r="E170" s="37" t="n"/>
      <c r="F170" s="37" t="n"/>
      <c r="G170" s="274" t="n"/>
      <c r="H170" s="37" t="n"/>
      <c r="I170" s="37" t="n"/>
      <c r="J170" s="37" t="n"/>
      <c r="K170" s="274" t="n"/>
      <c r="L170" s="37" t="n"/>
      <c r="M170" s="37" t="n"/>
      <c r="N170" s="276" t="n"/>
      <c r="O170" s="276" t="n"/>
      <c r="P170" s="276" t="n"/>
      <c r="Q170" s="276" t="n"/>
      <c r="R170" s="276" t="n"/>
      <c r="S170" s="37" t="n"/>
      <c r="T170" s="37" t="n"/>
      <c r="U170" s="37" t="n"/>
      <c r="V170" s="37" t="n"/>
      <c r="W170" s="278" t="n"/>
    </row>
    <row r="171">
      <c r="A171" s="37" t="n"/>
      <c r="B171" s="37" t="n"/>
      <c r="C171" s="37" t="n"/>
      <c r="D171" s="37" t="n"/>
      <c r="E171" s="37" t="n"/>
      <c r="F171" s="37" t="n"/>
      <c r="G171" s="274" t="n"/>
      <c r="H171" s="37" t="n"/>
      <c r="I171" s="37" t="n"/>
      <c r="J171" s="37" t="n"/>
      <c r="K171" s="274" t="n"/>
      <c r="L171" s="37" t="n"/>
      <c r="M171" s="37" t="n"/>
      <c r="N171" s="276" t="n"/>
      <c r="O171" s="276" t="n"/>
      <c r="P171" s="276" t="n"/>
      <c r="Q171" s="276" t="n"/>
      <c r="R171" s="276" t="n"/>
      <c r="S171" s="37" t="n"/>
      <c r="T171" s="37" t="n"/>
      <c r="U171" s="37" t="n"/>
      <c r="V171" s="37" t="n"/>
      <c r="W171" s="278" t="n"/>
    </row>
    <row r="172">
      <c r="A172" s="37" t="n"/>
      <c r="B172" s="37" t="n"/>
      <c r="C172" s="37" t="n"/>
      <c r="D172" s="37" t="n"/>
      <c r="E172" s="37" t="n"/>
      <c r="F172" s="37" t="n"/>
      <c r="G172" s="274" t="n"/>
      <c r="H172" s="37" t="n"/>
      <c r="I172" s="37" t="n"/>
      <c r="J172" s="37" t="n"/>
      <c r="K172" s="274" t="n"/>
      <c r="L172" s="37" t="n"/>
      <c r="M172" s="37" t="n"/>
      <c r="N172" s="276" t="n"/>
      <c r="O172" s="276" t="n"/>
      <c r="P172" s="276" t="n"/>
      <c r="Q172" s="276" t="n"/>
      <c r="R172" s="276" t="n"/>
      <c r="S172" s="37" t="n"/>
      <c r="T172" s="37" t="n"/>
      <c r="U172" s="37" t="n"/>
      <c r="V172" s="37" t="n"/>
      <c r="W172" s="278" t="n"/>
    </row>
    <row r="173">
      <c r="A173" s="37" t="n"/>
      <c r="B173" s="37" t="n"/>
      <c r="C173" s="37" t="n"/>
      <c r="D173" s="37" t="n"/>
      <c r="E173" s="37" t="n"/>
      <c r="F173" s="37" t="n"/>
      <c r="G173" s="274" t="n"/>
      <c r="H173" s="37" t="n"/>
      <c r="I173" s="37" t="n"/>
      <c r="J173" s="37" t="n"/>
      <c r="K173" s="274" t="n"/>
      <c r="L173" s="37" t="n"/>
      <c r="M173" s="37" t="n"/>
      <c r="N173" s="276" t="n"/>
      <c r="O173" s="276" t="n"/>
      <c r="P173" s="276" t="n"/>
      <c r="Q173" s="276" t="n"/>
      <c r="R173" s="276" t="n"/>
      <c r="S173" s="37" t="n"/>
      <c r="T173" s="37" t="n"/>
      <c r="U173" s="37" t="n"/>
      <c r="V173" s="37" t="n"/>
      <c r="W173" s="278" t="n"/>
    </row>
    <row r="174">
      <c r="A174" s="37" t="n"/>
      <c r="B174" s="37" t="n"/>
      <c r="C174" s="37" t="n"/>
      <c r="D174" s="37" t="n"/>
      <c r="E174" s="37" t="n"/>
      <c r="F174" s="37" t="n"/>
      <c r="G174" s="274" t="n"/>
      <c r="H174" s="37" t="n"/>
      <c r="I174" s="37" t="n"/>
      <c r="J174" s="37" t="n"/>
      <c r="K174" s="274" t="n"/>
      <c r="L174" s="37" t="n"/>
      <c r="M174" s="37" t="n"/>
      <c r="N174" s="276" t="n"/>
      <c r="O174" s="276" t="n"/>
      <c r="P174" s="276" t="n"/>
      <c r="Q174" s="276" t="n"/>
      <c r="R174" s="276" t="n"/>
      <c r="S174" s="37" t="n"/>
      <c r="T174" s="37" t="n"/>
      <c r="U174" s="37" t="n"/>
      <c r="V174" s="37" t="n"/>
      <c r="W174" s="278" t="n"/>
    </row>
    <row r="175">
      <c r="A175" s="37" t="n"/>
      <c r="B175" s="37" t="n"/>
      <c r="C175" s="37" t="n"/>
      <c r="D175" s="37" t="n"/>
      <c r="E175" s="37" t="n"/>
      <c r="F175" s="37" t="n"/>
      <c r="G175" s="274" t="n"/>
      <c r="H175" s="37" t="n"/>
      <c r="I175" s="37" t="n"/>
      <c r="J175" s="37" t="n"/>
      <c r="K175" s="274" t="n"/>
      <c r="L175" s="37" t="n"/>
      <c r="M175" s="37" t="n"/>
      <c r="N175" s="276" t="n"/>
      <c r="O175" s="276" t="n"/>
      <c r="P175" s="276" t="n"/>
      <c r="Q175" s="276" t="n"/>
      <c r="R175" s="276" t="n"/>
      <c r="S175" s="37" t="n"/>
      <c r="T175" s="37" t="n"/>
      <c r="U175" s="37" t="n"/>
      <c r="V175" s="37" t="n"/>
      <c r="W175" s="278" t="n"/>
    </row>
    <row r="176">
      <c r="A176" s="37" t="n"/>
      <c r="B176" s="37" t="n"/>
      <c r="C176" s="37" t="n"/>
      <c r="D176" s="37" t="n"/>
      <c r="E176" s="37" t="n"/>
      <c r="F176" s="37" t="n"/>
      <c r="G176" s="274" t="n"/>
      <c r="H176" s="37" t="n"/>
      <c r="I176" s="37" t="n"/>
      <c r="J176" s="37" t="n"/>
      <c r="K176" s="274" t="n"/>
      <c r="L176" s="37" t="n"/>
      <c r="M176" s="37" t="n"/>
      <c r="N176" s="276" t="n"/>
      <c r="O176" s="276" t="n"/>
      <c r="P176" s="276" t="n"/>
      <c r="Q176" s="276" t="n"/>
      <c r="R176" s="276" t="n"/>
      <c r="S176" s="37" t="n"/>
      <c r="T176" s="37" t="n"/>
      <c r="U176" s="37" t="n"/>
      <c r="V176" s="37" t="n"/>
      <c r="W176" s="278" t="n"/>
    </row>
    <row r="177">
      <c r="A177" s="37" t="n"/>
      <c r="B177" s="37" t="n"/>
      <c r="C177" s="37" t="n"/>
      <c r="D177" s="37" t="n"/>
      <c r="E177" s="37" t="n"/>
      <c r="F177" s="37" t="n"/>
      <c r="G177" s="274" t="n"/>
      <c r="H177" s="37" t="n"/>
      <c r="I177" s="37" t="n"/>
      <c r="J177" s="37" t="n"/>
      <c r="K177" s="274" t="n"/>
      <c r="L177" s="37" t="n"/>
      <c r="M177" s="37" t="n"/>
      <c r="N177" s="276" t="n"/>
      <c r="O177" s="276" t="n"/>
      <c r="P177" s="276" t="n"/>
      <c r="Q177" s="276" t="n"/>
      <c r="R177" s="276" t="n"/>
      <c r="S177" s="37" t="n"/>
      <c r="T177" s="37" t="n"/>
      <c r="U177" s="37" t="n"/>
      <c r="V177" s="37" t="n"/>
      <c r="W177" s="278" t="n"/>
    </row>
    <row r="178">
      <c r="A178" s="37" t="n"/>
      <c r="B178" s="37" t="n"/>
      <c r="C178" s="37" t="n"/>
      <c r="D178" s="37" t="n"/>
      <c r="E178" s="37" t="n"/>
      <c r="F178" s="37" t="n"/>
      <c r="G178" s="274" t="n"/>
      <c r="H178" s="37" t="n"/>
      <c r="I178" s="37" t="n"/>
      <c r="J178" s="37" t="n"/>
      <c r="K178" s="274" t="n"/>
      <c r="L178" s="37" t="n"/>
      <c r="M178" s="37" t="n"/>
      <c r="N178" s="276" t="n"/>
      <c r="O178" s="276" t="n"/>
      <c r="P178" s="276" t="n"/>
      <c r="Q178" s="276" t="n"/>
      <c r="R178" s="276" t="n"/>
      <c r="S178" s="37" t="n"/>
      <c r="T178" s="37" t="n"/>
      <c r="U178" s="37" t="n"/>
      <c r="V178" s="37" t="n"/>
      <c r="W178" s="278" t="n"/>
    </row>
    <row r="179">
      <c r="A179" s="37" t="n"/>
      <c r="B179" s="37" t="n"/>
      <c r="C179" s="37" t="n"/>
      <c r="D179" s="37" t="n"/>
      <c r="E179" s="37" t="n"/>
      <c r="F179" s="37" t="n"/>
      <c r="G179" s="274" t="n"/>
      <c r="H179" s="37" t="n"/>
      <c r="I179" s="37" t="n"/>
      <c r="J179" s="37" t="n"/>
      <c r="K179" s="274" t="n"/>
      <c r="L179" s="37" t="n"/>
      <c r="M179" s="37" t="n"/>
      <c r="N179" s="276" t="n"/>
      <c r="O179" s="276" t="n"/>
      <c r="P179" s="276" t="n"/>
      <c r="Q179" s="276" t="n"/>
      <c r="R179" s="276" t="n"/>
      <c r="S179" s="37" t="n"/>
      <c r="T179" s="37" t="n"/>
      <c r="U179" s="37" t="n"/>
      <c r="V179" s="37" t="n"/>
      <c r="W179" s="278" t="n"/>
    </row>
    <row r="180">
      <c r="A180" s="37" t="n"/>
      <c r="B180" s="37" t="n"/>
      <c r="C180" s="37" t="n"/>
      <c r="D180" s="37" t="n"/>
      <c r="E180" s="37" t="n"/>
      <c r="F180" s="37" t="n"/>
      <c r="G180" s="274" t="n"/>
      <c r="H180" s="37" t="n"/>
      <c r="I180" s="37" t="n"/>
      <c r="J180" s="37" t="n"/>
      <c r="K180" s="274" t="n"/>
      <c r="L180" s="37" t="n"/>
      <c r="M180" s="37" t="n"/>
      <c r="N180" s="276" t="n"/>
      <c r="O180" s="276" t="n"/>
      <c r="P180" s="276" t="n"/>
      <c r="Q180" s="276" t="n"/>
      <c r="R180" s="276" t="n"/>
      <c r="S180" s="37" t="n"/>
      <c r="T180" s="37" t="n"/>
      <c r="U180" s="37" t="n"/>
      <c r="V180" s="37" t="n"/>
      <c r="W180" s="278" t="n"/>
    </row>
    <row r="181">
      <c r="A181" s="37" t="n"/>
      <c r="B181" s="37" t="n"/>
      <c r="C181" s="37" t="n"/>
      <c r="D181" s="37" t="n"/>
      <c r="E181" s="37" t="n"/>
      <c r="F181" s="37" t="n"/>
      <c r="G181" s="274" t="n"/>
      <c r="H181" s="37" t="n"/>
      <c r="I181" s="37" t="n"/>
      <c r="J181" s="37" t="n"/>
      <c r="K181" s="274" t="n"/>
      <c r="L181" s="37" t="n"/>
      <c r="M181" s="37" t="n"/>
      <c r="N181" s="276" t="n"/>
      <c r="O181" s="276" t="n"/>
      <c r="P181" s="276" t="n"/>
      <c r="Q181" s="276" t="n"/>
      <c r="R181" s="276" t="n"/>
      <c r="S181" s="37" t="n"/>
      <c r="T181" s="37" t="n"/>
      <c r="U181" s="37" t="n"/>
      <c r="V181" s="37" t="n"/>
      <c r="W181" s="278" t="n"/>
    </row>
    <row r="182">
      <c r="A182" s="37" t="n"/>
      <c r="B182" s="37" t="n"/>
      <c r="C182" s="37" t="n"/>
      <c r="D182" s="37" t="n"/>
      <c r="E182" s="37" t="n"/>
      <c r="F182" s="37" t="n"/>
      <c r="G182" s="274" t="n"/>
      <c r="H182" s="37" t="n"/>
      <c r="I182" s="37" t="n"/>
      <c r="J182" s="37" t="n"/>
      <c r="K182" s="274" t="n"/>
      <c r="L182" s="37" t="n"/>
      <c r="M182" s="37" t="n"/>
      <c r="N182" s="276" t="n"/>
      <c r="O182" s="276" t="n"/>
      <c r="P182" s="276" t="n"/>
      <c r="Q182" s="276" t="n"/>
      <c r="R182" s="276" t="n"/>
      <c r="S182" s="37" t="n"/>
      <c r="T182" s="37" t="n"/>
      <c r="U182" s="37" t="n"/>
      <c r="V182" s="37" t="n"/>
      <c r="W182" s="278" t="n"/>
    </row>
    <row r="183">
      <c r="A183" s="37" t="n"/>
      <c r="B183" s="37" t="n"/>
      <c r="C183" s="37" t="n"/>
      <c r="D183" s="37" t="n"/>
      <c r="E183" s="37" t="n"/>
      <c r="F183" s="37" t="n"/>
      <c r="G183" s="274" t="n"/>
      <c r="H183" s="37" t="n"/>
      <c r="I183" s="37" t="n"/>
      <c r="J183" s="37" t="n"/>
      <c r="K183" s="274" t="n"/>
      <c r="L183" s="37" t="n"/>
      <c r="M183" s="37" t="n"/>
      <c r="N183" s="276" t="n"/>
      <c r="O183" s="276" t="n"/>
      <c r="P183" s="276" t="n"/>
      <c r="Q183" s="276" t="n"/>
      <c r="R183" s="276" t="n"/>
      <c r="S183" s="37" t="n"/>
      <c r="T183" s="37" t="n"/>
      <c r="U183" s="37" t="n"/>
      <c r="V183" s="37" t="n"/>
      <c r="W183" s="278" t="n"/>
    </row>
    <row r="184">
      <c r="A184" s="37" t="n"/>
      <c r="B184" s="37" t="n"/>
      <c r="C184" s="37" t="n"/>
      <c r="D184" s="37" t="n"/>
      <c r="E184" s="37" t="n"/>
      <c r="F184" s="37" t="n"/>
      <c r="G184" s="274" t="n"/>
      <c r="H184" s="37" t="n"/>
      <c r="I184" s="37" t="n"/>
      <c r="J184" s="37" t="n"/>
      <c r="K184" s="274" t="n"/>
      <c r="L184" s="37" t="n"/>
      <c r="M184" s="37" t="n"/>
      <c r="N184" s="276" t="n"/>
      <c r="O184" s="276" t="n"/>
      <c r="P184" s="276" t="n"/>
      <c r="Q184" s="276" t="n"/>
      <c r="R184" s="276" t="n"/>
      <c r="S184" s="37" t="n"/>
      <c r="T184" s="37" t="n"/>
      <c r="U184" s="37" t="n"/>
      <c r="V184" s="37" t="n"/>
      <c r="W184" s="278" t="n"/>
    </row>
    <row r="185">
      <c r="A185" s="37" t="n"/>
      <c r="B185" s="37" t="n"/>
      <c r="C185" s="37" t="n"/>
      <c r="D185" s="37" t="n"/>
      <c r="E185" s="37" t="n"/>
      <c r="F185" s="37" t="n"/>
      <c r="G185" s="274" t="n"/>
      <c r="H185" s="37" t="n"/>
      <c r="I185" s="37" t="n"/>
      <c r="J185" s="37" t="n"/>
      <c r="K185" s="274" t="n"/>
      <c r="L185" s="37" t="n"/>
      <c r="M185" s="37" t="n"/>
      <c r="N185" s="276" t="n"/>
      <c r="O185" s="276" t="n"/>
      <c r="P185" s="276" t="n"/>
      <c r="Q185" s="276" t="n"/>
      <c r="R185" s="276" t="n"/>
      <c r="S185" s="37" t="n"/>
      <c r="T185" s="37" t="n"/>
      <c r="U185" s="37" t="n"/>
      <c r="V185" s="37" t="n"/>
      <c r="W185" s="278" t="n"/>
    </row>
    <row r="186">
      <c r="A186" s="37" t="n"/>
      <c r="B186" s="37" t="n"/>
      <c r="C186" s="37" t="n"/>
      <c r="D186" s="37" t="n"/>
      <c r="E186" s="37" t="n"/>
      <c r="F186" s="37" t="n"/>
      <c r="G186" s="274" t="n"/>
      <c r="H186" s="37" t="n"/>
      <c r="I186" s="37" t="n"/>
      <c r="J186" s="37" t="n"/>
      <c r="K186" s="274" t="n"/>
      <c r="L186" s="37" t="n"/>
      <c r="M186" s="37" t="n"/>
      <c r="N186" s="276" t="n"/>
      <c r="O186" s="276" t="n"/>
      <c r="P186" s="276" t="n"/>
      <c r="Q186" s="276" t="n"/>
      <c r="R186" s="276" t="n"/>
      <c r="S186" s="37" t="n"/>
      <c r="T186" s="37" t="n"/>
      <c r="U186" s="37" t="n"/>
      <c r="V186" s="37" t="n"/>
      <c r="W186" s="278" t="n"/>
    </row>
    <row r="187">
      <c r="A187" s="37" t="n"/>
      <c r="B187" s="37" t="n"/>
      <c r="C187" s="37" t="n"/>
      <c r="D187" s="37" t="n"/>
      <c r="E187" s="37" t="n"/>
      <c r="F187" s="37" t="n"/>
      <c r="G187" s="274" t="n"/>
      <c r="H187" s="37" t="n"/>
      <c r="I187" s="37" t="n"/>
      <c r="J187" s="37" t="n"/>
      <c r="K187" s="274" t="n"/>
      <c r="L187" s="37" t="n"/>
      <c r="M187" s="37" t="n"/>
      <c r="N187" s="276" t="n"/>
      <c r="O187" s="276" t="n"/>
      <c r="P187" s="276" t="n"/>
      <c r="Q187" s="276" t="n"/>
      <c r="R187" s="276" t="n"/>
      <c r="S187" s="37" t="n"/>
      <c r="T187" s="37" t="n"/>
      <c r="U187" s="37" t="n"/>
      <c r="V187" s="37" t="n"/>
      <c r="W187" s="278" t="n"/>
    </row>
    <row r="188">
      <c r="A188" s="37" t="n"/>
      <c r="B188" s="37" t="n"/>
      <c r="C188" s="37" t="n"/>
      <c r="D188" s="37" t="n"/>
      <c r="E188" s="37" t="n"/>
      <c r="F188" s="37" t="n"/>
      <c r="G188" s="274" t="n"/>
      <c r="H188" s="37" t="n"/>
      <c r="I188" s="37" t="n"/>
      <c r="J188" s="37" t="n"/>
      <c r="K188" s="274" t="n"/>
      <c r="L188" s="37" t="n"/>
      <c r="M188" s="37" t="n"/>
      <c r="N188" s="276" t="n"/>
      <c r="O188" s="276" t="n"/>
      <c r="P188" s="276" t="n"/>
      <c r="Q188" s="276" t="n"/>
      <c r="R188" s="276" t="n"/>
      <c r="S188" s="37" t="n"/>
      <c r="T188" s="37" t="n"/>
      <c r="U188" s="37" t="n"/>
      <c r="V188" s="37" t="n"/>
      <c r="W188" s="278" t="n"/>
    </row>
    <row r="189">
      <c r="A189" s="37" t="n"/>
      <c r="B189" s="37" t="n"/>
      <c r="C189" s="37" t="n"/>
      <c r="D189" s="37" t="n"/>
      <c r="E189" s="37" t="n"/>
      <c r="F189" s="37" t="n"/>
      <c r="G189" s="274" t="n"/>
      <c r="H189" s="37" t="n"/>
      <c r="I189" s="37" t="n"/>
      <c r="J189" s="37" t="n"/>
      <c r="K189" s="274" t="n"/>
      <c r="L189" s="37" t="n"/>
      <c r="M189" s="37" t="n"/>
      <c r="N189" s="276" t="n"/>
      <c r="O189" s="276" t="n"/>
      <c r="P189" s="276" t="n"/>
      <c r="Q189" s="276" t="n"/>
      <c r="R189" s="276" t="n"/>
      <c r="S189" s="37" t="n"/>
      <c r="T189" s="37" t="n"/>
      <c r="U189" s="37" t="n"/>
      <c r="V189" s="37" t="n"/>
      <c r="W189" s="278" t="n"/>
    </row>
    <row r="190">
      <c r="A190" s="37" t="n"/>
      <c r="B190" s="37" t="n"/>
      <c r="C190" s="37" t="n"/>
      <c r="D190" s="37" t="n"/>
      <c r="E190" s="37" t="n"/>
      <c r="F190" s="37" t="n"/>
      <c r="G190" s="274" t="n"/>
      <c r="H190" s="37" t="n"/>
      <c r="I190" s="37" t="n"/>
      <c r="J190" s="37" t="n"/>
      <c r="K190" s="274" t="n"/>
      <c r="L190" s="37" t="n"/>
      <c r="M190" s="37" t="n"/>
      <c r="N190" s="276" t="n"/>
      <c r="O190" s="276" t="n"/>
      <c r="P190" s="276" t="n"/>
      <c r="Q190" s="276" t="n"/>
      <c r="R190" s="276" t="n"/>
      <c r="S190" s="37" t="n"/>
      <c r="T190" s="37" t="n"/>
      <c r="U190" s="37" t="n"/>
      <c r="V190" s="37" t="n"/>
      <c r="W190" s="278" t="n"/>
    </row>
    <row r="191">
      <c r="A191" s="37" t="n"/>
      <c r="B191" s="37" t="n"/>
      <c r="C191" s="37" t="n"/>
      <c r="D191" s="37" t="n"/>
      <c r="E191" s="37" t="n"/>
      <c r="F191" s="37" t="n"/>
      <c r="G191" s="274" t="n"/>
      <c r="H191" s="37" t="n"/>
      <c r="I191" s="37" t="n"/>
      <c r="J191" s="37" t="n"/>
      <c r="K191" s="274" t="n"/>
      <c r="L191" s="37" t="n"/>
      <c r="M191" s="37" t="n"/>
      <c r="N191" s="276" t="n"/>
      <c r="O191" s="276" t="n"/>
      <c r="P191" s="276" t="n"/>
      <c r="Q191" s="276" t="n"/>
      <c r="R191" s="276" t="n"/>
      <c r="S191" s="37" t="n"/>
      <c r="T191" s="37" t="n"/>
      <c r="U191" s="37" t="n"/>
      <c r="V191" s="37" t="n"/>
      <c r="W191" s="278" t="n"/>
    </row>
    <row r="192">
      <c r="A192" s="37" t="n"/>
      <c r="B192" s="37" t="n"/>
      <c r="C192" s="37" t="n"/>
      <c r="D192" s="37" t="n"/>
      <c r="E192" s="37" t="n"/>
      <c r="F192" s="37" t="n"/>
      <c r="G192" s="274" t="n"/>
      <c r="H192" s="37" t="n"/>
      <c r="I192" s="37" t="n"/>
      <c r="J192" s="37" t="n"/>
      <c r="K192" s="274" t="n"/>
      <c r="L192" s="37" t="n"/>
      <c r="M192" s="37" t="n"/>
      <c r="N192" s="276" t="n"/>
      <c r="O192" s="276" t="n"/>
      <c r="P192" s="276" t="n"/>
      <c r="Q192" s="276" t="n"/>
      <c r="R192" s="276" t="n"/>
      <c r="S192" s="37" t="n"/>
      <c r="T192" s="37" t="n"/>
      <c r="U192" s="37" t="n"/>
      <c r="V192" s="37" t="n"/>
      <c r="W192" s="278" t="n"/>
    </row>
    <row r="193">
      <c r="A193" s="37" t="n"/>
      <c r="B193" s="37" t="n"/>
      <c r="C193" s="37" t="n"/>
      <c r="D193" s="37" t="n"/>
      <c r="E193" s="37" t="n"/>
      <c r="F193" s="37" t="n"/>
      <c r="G193" s="274" t="n"/>
      <c r="H193" s="37" t="n"/>
      <c r="I193" s="37" t="n"/>
      <c r="J193" s="37" t="n"/>
      <c r="K193" s="274" t="n"/>
      <c r="L193" s="37" t="n"/>
      <c r="M193" s="37" t="n"/>
      <c r="N193" s="276" t="n"/>
      <c r="O193" s="276" t="n"/>
      <c r="P193" s="276" t="n"/>
      <c r="Q193" s="276" t="n"/>
      <c r="R193" s="276" t="n"/>
      <c r="S193" s="37" t="n"/>
      <c r="T193" s="37" t="n"/>
      <c r="U193" s="37" t="n"/>
      <c r="V193" s="37" t="n"/>
      <c r="W193" s="278" t="n"/>
    </row>
    <row r="194">
      <c r="A194" s="37" t="n"/>
      <c r="B194" s="37" t="n"/>
      <c r="C194" s="37" t="n"/>
      <c r="D194" s="37" t="n"/>
      <c r="E194" s="37" t="n"/>
      <c r="F194" s="37" t="n"/>
      <c r="G194" s="274" t="n"/>
      <c r="H194" s="37" t="n"/>
      <c r="I194" s="37" t="n"/>
      <c r="J194" s="37" t="n"/>
      <c r="K194" s="274" t="n"/>
      <c r="L194" s="37" t="n"/>
      <c r="M194" s="37" t="n"/>
      <c r="N194" s="276" t="n"/>
      <c r="O194" s="276" t="n"/>
      <c r="P194" s="276" t="n"/>
      <c r="Q194" s="276" t="n"/>
      <c r="R194" s="276" t="n"/>
      <c r="S194" s="37" t="n"/>
      <c r="T194" s="37" t="n"/>
      <c r="U194" s="37" t="n"/>
      <c r="V194" s="37" t="n"/>
      <c r="W194" s="278" t="n"/>
    </row>
    <row r="195">
      <c r="A195" s="37" t="n"/>
      <c r="B195" s="37" t="n"/>
      <c r="C195" s="37" t="n"/>
      <c r="D195" s="37" t="n"/>
      <c r="E195" s="37" t="n"/>
      <c r="F195" s="37" t="n"/>
      <c r="G195" s="274" t="n"/>
      <c r="H195" s="37" t="n"/>
      <c r="I195" s="37" t="n"/>
      <c r="J195" s="37" t="n"/>
      <c r="K195" s="274" t="n"/>
      <c r="L195" s="37" t="n"/>
      <c r="M195" s="37" t="n"/>
      <c r="N195" s="276" t="n"/>
      <c r="O195" s="276" t="n"/>
      <c r="P195" s="276" t="n"/>
      <c r="Q195" s="276" t="n"/>
      <c r="R195" s="276" t="n"/>
      <c r="S195" s="37" t="n"/>
      <c r="T195" s="37" t="n"/>
      <c r="U195" s="37" t="n"/>
      <c r="V195" s="37" t="n"/>
      <c r="W195" s="278" t="n"/>
    </row>
    <row r="196">
      <c r="A196" s="37" t="n"/>
      <c r="B196" s="37" t="n"/>
      <c r="C196" s="37" t="n"/>
      <c r="D196" s="37" t="n"/>
      <c r="E196" s="37" t="n"/>
      <c r="F196" s="37" t="n"/>
      <c r="G196" s="274" t="n"/>
      <c r="H196" s="37" t="n"/>
      <c r="I196" s="37" t="n"/>
      <c r="J196" s="37" t="n"/>
      <c r="K196" s="274" t="n"/>
      <c r="L196" s="37" t="n"/>
      <c r="M196" s="37" t="n"/>
      <c r="N196" s="276" t="n"/>
      <c r="O196" s="276" t="n"/>
      <c r="P196" s="276" t="n"/>
      <c r="Q196" s="276" t="n"/>
      <c r="R196" s="276" t="n"/>
      <c r="S196" s="37" t="n"/>
      <c r="T196" s="37" t="n"/>
      <c r="U196" s="37" t="n"/>
      <c r="V196" s="37" t="n"/>
      <c r="W196" s="278" t="n"/>
    </row>
    <row r="197">
      <c r="A197" s="37" t="n"/>
      <c r="B197" s="37" t="n"/>
      <c r="C197" s="37" t="n"/>
      <c r="D197" s="37" t="n"/>
      <c r="E197" s="37" t="n"/>
      <c r="F197" s="37" t="n"/>
      <c r="G197" s="274" t="n"/>
      <c r="H197" s="37" t="n"/>
      <c r="I197" s="37" t="n"/>
      <c r="J197" s="37" t="n"/>
      <c r="K197" s="274" t="n"/>
      <c r="L197" s="37" t="n"/>
      <c r="M197" s="37" t="n"/>
      <c r="N197" s="276" t="n"/>
      <c r="O197" s="276" t="n"/>
      <c r="P197" s="276" t="n"/>
      <c r="Q197" s="276" t="n"/>
      <c r="R197" s="276" t="n"/>
      <c r="S197" s="37" t="n"/>
      <c r="T197" s="37" t="n"/>
      <c r="U197" s="37" t="n"/>
      <c r="V197" s="37" t="n"/>
      <c r="W197" s="278" t="n"/>
    </row>
    <row r="198">
      <c r="A198" s="37" t="n"/>
      <c r="B198" s="37" t="n"/>
      <c r="C198" s="37" t="n"/>
      <c r="D198" s="37" t="n"/>
      <c r="E198" s="37" t="n"/>
      <c r="F198" s="37" t="n"/>
      <c r="G198" s="274" t="n"/>
      <c r="H198" s="37" t="n"/>
      <c r="I198" s="37" t="n"/>
      <c r="J198" s="37" t="n"/>
      <c r="K198" s="274" t="n"/>
      <c r="L198" s="37" t="n"/>
      <c r="M198" s="37" t="n"/>
      <c r="N198" s="276" t="n"/>
      <c r="O198" s="276" t="n"/>
      <c r="P198" s="276" t="n"/>
      <c r="Q198" s="276" t="n"/>
      <c r="R198" s="276" t="n"/>
      <c r="S198" s="37" t="n"/>
      <c r="T198" s="37" t="n"/>
      <c r="U198" s="37" t="n"/>
      <c r="V198" s="37" t="n"/>
      <c r="W198" s="278" t="n"/>
    </row>
    <row r="199">
      <c r="A199" s="37" t="n"/>
      <c r="B199" s="37" t="n"/>
      <c r="C199" s="37" t="n"/>
      <c r="D199" s="37" t="n"/>
      <c r="E199" s="37" t="n"/>
      <c r="F199" s="37" t="n"/>
      <c r="G199" s="274" t="n"/>
      <c r="H199" s="37" t="n"/>
      <c r="I199" s="37" t="n"/>
      <c r="J199" s="37" t="n"/>
      <c r="K199" s="274" t="n"/>
      <c r="L199" s="37" t="n"/>
      <c r="M199" s="37" t="n"/>
      <c r="N199" s="276" t="n"/>
      <c r="O199" s="276" t="n"/>
      <c r="P199" s="276" t="n"/>
      <c r="Q199" s="276" t="n"/>
      <c r="R199" s="276" t="n"/>
      <c r="S199" s="37" t="n"/>
      <c r="T199" s="37" t="n"/>
      <c r="U199" s="37" t="n"/>
      <c r="V199" s="37" t="n"/>
      <c r="W199" s="278" t="n"/>
    </row>
    <row r="200">
      <c r="A200" s="37" t="n"/>
      <c r="B200" s="37" t="n"/>
      <c r="C200" s="37" t="n"/>
      <c r="D200" s="37" t="n"/>
      <c r="E200" s="37" t="n"/>
      <c r="F200" s="37" t="n"/>
      <c r="G200" s="274" t="n"/>
      <c r="H200" s="37" t="n"/>
      <c r="I200" s="37" t="n"/>
      <c r="J200" s="37" t="n"/>
      <c r="K200" s="274" t="n"/>
      <c r="L200" s="37" t="n"/>
      <c r="M200" s="37" t="n"/>
      <c r="N200" s="276" t="n"/>
      <c r="O200" s="276" t="n"/>
      <c r="P200" s="276" t="n"/>
      <c r="Q200" s="276" t="n"/>
      <c r="R200" s="276" t="n"/>
      <c r="S200" s="37" t="n"/>
      <c r="T200" s="37" t="n"/>
      <c r="U200" s="37" t="n"/>
      <c r="V200" s="37" t="n"/>
      <c r="W200" s="278" t="n"/>
    </row>
    <row r="201">
      <c r="A201" s="37" t="n"/>
      <c r="B201" s="37" t="n"/>
      <c r="C201" s="37" t="n"/>
      <c r="D201" s="37" t="n"/>
      <c r="E201" s="37" t="n"/>
      <c r="F201" s="37" t="n"/>
      <c r="G201" s="274" t="n"/>
      <c r="H201" s="37" t="n"/>
      <c r="I201" s="37" t="n"/>
      <c r="J201" s="37" t="n"/>
      <c r="K201" s="274" t="n"/>
      <c r="L201" s="37" t="n"/>
      <c r="M201" s="37" t="n"/>
      <c r="N201" s="276" t="n"/>
      <c r="O201" s="276" t="n"/>
      <c r="P201" s="276" t="n"/>
      <c r="Q201" s="276" t="n"/>
      <c r="R201" s="276" t="n"/>
      <c r="S201" s="37" t="n"/>
      <c r="T201" s="37" t="n"/>
      <c r="U201" s="37" t="n"/>
      <c r="V201" s="37" t="n"/>
      <c r="W201" s="278" t="n"/>
    </row>
    <row r="202">
      <c r="A202" s="37" t="n"/>
      <c r="B202" s="37" t="n"/>
      <c r="C202" s="37" t="n"/>
      <c r="D202" s="37" t="n"/>
      <c r="E202" s="37" t="n"/>
      <c r="F202" s="37" t="n"/>
      <c r="G202" s="274" t="n"/>
      <c r="H202" s="37" t="n"/>
      <c r="I202" s="37" t="n"/>
      <c r="J202" s="37" t="n"/>
      <c r="K202" s="274" t="n"/>
      <c r="L202" s="37" t="n"/>
      <c r="M202" s="37" t="n"/>
      <c r="N202" s="276" t="n"/>
      <c r="O202" s="276" t="n"/>
      <c r="P202" s="276" t="n"/>
      <c r="Q202" s="276" t="n"/>
      <c r="R202" s="276" t="n"/>
      <c r="S202" s="37" t="n"/>
      <c r="T202" s="37" t="n"/>
      <c r="U202" s="37" t="n"/>
      <c r="V202" s="37" t="n"/>
      <c r="W202" s="278" t="n"/>
    </row>
    <row r="203">
      <c r="A203" s="37" t="n"/>
      <c r="B203" s="37" t="n"/>
      <c r="C203" s="37" t="n"/>
      <c r="D203" s="37" t="n"/>
      <c r="E203" s="37" t="n"/>
      <c r="F203" s="37" t="n"/>
      <c r="G203" s="274" t="n"/>
      <c r="H203" s="37" t="n"/>
      <c r="I203" s="37" t="n"/>
      <c r="J203" s="37" t="n"/>
      <c r="K203" s="274" t="n"/>
      <c r="L203" s="37" t="n"/>
      <c r="M203" s="37" t="n"/>
      <c r="N203" s="276" t="n"/>
      <c r="O203" s="276" t="n"/>
      <c r="P203" s="276" t="n"/>
      <c r="Q203" s="276" t="n"/>
      <c r="R203" s="276" t="n"/>
      <c r="S203" s="37" t="n"/>
      <c r="T203" s="37" t="n"/>
      <c r="U203" s="37" t="n"/>
      <c r="V203" s="37" t="n"/>
      <c r="W203" s="278" t="n"/>
    </row>
    <row r="204">
      <c r="A204" s="37" t="n"/>
      <c r="B204" s="37" t="n"/>
      <c r="C204" s="37" t="n"/>
      <c r="D204" s="37" t="n"/>
      <c r="E204" s="37" t="n"/>
      <c r="F204" s="37" t="n"/>
      <c r="G204" s="274" t="n"/>
      <c r="H204" s="37" t="n"/>
      <c r="I204" s="37" t="n"/>
      <c r="J204" s="37" t="n"/>
      <c r="K204" s="274" t="n"/>
      <c r="L204" s="37" t="n"/>
      <c r="M204" s="37" t="n"/>
      <c r="N204" s="276" t="n"/>
      <c r="O204" s="276" t="n"/>
      <c r="P204" s="276" t="n"/>
      <c r="Q204" s="276" t="n"/>
      <c r="R204" s="276" t="n"/>
      <c r="S204" s="37" t="n"/>
      <c r="T204" s="37" t="n"/>
      <c r="U204" s="37" t="n"/>
      <c r="V204" s="37" t="n"/>
      <c r="W204" s="278" t="n"/>
    </row>
    <row r="205">
      <c r="A205" s="37" t="n"/>
      <c r="B205" s="37" t="n"/>
      <c r="C205" s="37" t="n"/>
      <c r="D205" s="37" t="n"/>
      <c r="E205" s="37" t="n"/>
      <c r="F205" s="37" t="n"/>
      <c r="G205" s="274" t="n"/>
      <c r="H205" s="37" t="n"/>
      <c r="I205" s="37" t="n"/>
      <c r="J205" s="37" t="n"/>
      <c r="K205" s="274" t="n"/>
      <c r="L205" s="37" t="n"/>
      <c r="M205" s="37" t="n"/>
      <c r="N205" s="276" t="n"/>
      <c r="O205" s="276" t="n"/>
      <c r="P205" s="276" t="n"/>
      <c r="Q205" s="276" t="n"/>
      <c r="R205" s="276" t="n"/>
      <c r="S205" s="37" t="n"/>
      <c r="T205" s="37" t="n"/>
      <c r="U205" s="37" t="n"/>
      <c r="V205" s="37" t="n"/>
      <c r="W205" s="278" t="n"/>
    </row>
    <row r="206">
      <c r="A206" s="37" t="n"/>
      <c r="B206" s="37" t="n"/>
      <c r="C206" s="37" t="n"/>
      <c r="D206" s="37" t="n"/>
      <c r="E206" s="37" t="n"/>
      <c r="F206" s="37" t="n"/>
      <c r="G206" s="274" t="n"/>
      <c r="H206" s="37" t="n"/>
      <c r="I206" s="37" t="n"/>
      <c r="J206" s="37" t="n"/>
      <c r="K206" s="274" t="n"/>
      <c r="L206" s="37" t="n"/>
      <c r="M206" s="37" t="n"/>
      <c r="N206" s="276" t="n"/>
      <c r="O206" s="276" t="n"/>
      <c r="P206" s="276" t="n"/>
      <c r="Q206" s="276" t="n"/>
      <c r="R206" s="276" t="n"/>
      <c r="S206" s="37" t="n"/>
      <c r="T206" s="37" t="n"/>
      <c r="U206" s="37" t="n"/>
      <c r="V206" s="37" t="n"/>
      <c r="W206" s="278" t="n"/>
    </row>
    <row r="207">
      <c r="A207" s="37" t="n"/>
      <c r="B207" s="37" t="n"/>
      <c r="C207" s="37" t="n"/>
      <c r="D207" s="37" t="n"/>
      <c r="E207" s="37" t="n"/>
      <c r="F207" s="37" t="n"/>
      <c r="G207" s="274" t="n"/>
      <c r="H207" s="37" t="n"/>
      <c r="I207" s="37" t="n"/>
      <c r="J207" s="37" t="n"/>
      <c r="K207" s="274" t="n"/>
      <c r="L207" s="37" t="n"/>
      <c r="M207" s="37" t="n"/>
      <c r="N207" s="276" t="n"/>
      <c r="O207" s="276" t="n"/>
      <c r="P207" s="276" t="n"/>
      <c r="Q207" s="276" t="n"/>
      <c r="R207" s="276" t="n"/>
      <c r="S207" s="37" t="n"/>
      <c r="T207" s="37" t="n"/>
      <c r="U207" s="37" t="n"/>
      <c r="V207" s="37" t="n"/>
      <c r="W207" s="278" t="n"/>
    </row>
    <row r="208">
      <c r="A208" s="37" t="n"/>
      <c r="B208" s="37" t="n"/>
      <c r="C208" s="37" t="n"/>
      <c r="D208" s="37" t="n"/>
      <c r="E208" s="37" t="n"/>
      <c r="F208" s="37" t="n"/>
      <c r="G208" s="274" t="n"/>
      <c r="H208" s="37" t="n"/>
      <c r="I208" s="37" t="n"/>
      <c r="J208" s="37" t="n"/>
      <c r="K208" s="274" t="n"/>
      <c r="L208" s="37" t="n"/>
      <c r="M208" s="37" t="n"/>
      <c r="N208" s="276" t="n"/>
      <c r="O208" s="276" t="n"/>
      <c r="P208" s="276" t="n"/>
      <c r="Q208" s="276" t="n"/>
      <c r="R208" s="276" t="n"/>
      <c r="S208" s="37" t="n"/>
      <c r="T208" s="37" t="n"/>
      <c r="U208" s="37" t="n"/>
      <c r="V208" s="37" t="n"/>
      <c r="W208" s="278" t="n"/>
    </row>
    <row r="209">
      <c r="A209" s="37" t="n"/>
      <c r="B209" s="37" t="n"/>
      <c r="C209" s="37" t="n"/>
      <c r="D209" s="37" t="n"/>
      <c r="E209" s="37" t="n"/>
      <c r="F209" s="37" t="n"/>
      <c r="G209" s="274" t="n"/>
      <c r="H209" s="37" t="n"/>
      <c r="I209" s="37" t="n"/>
      <c r="J209" s="37" t="n"/>
      <c r="K209" s="274" t="n"/>
      <c r="L209" s="37" t="n"/>
      <c r="M209" s="37" t="n"/>
      <c r="N209" s="276" t="n"/>
      <c r="O209" s="276" t="n"/>
      <c r="P209" s="276" t="n"/>
      <c r="Q209" s="276" t="n"/>
      <c r="R209" s="276" t="n"/>
      <c r="S209" s="37" t="n"/>
      <c r="T209" s="37" t="n"/>
      <c r="U209" s="37" t="n"/>
      <c r="V209" s="37" t="n"/>
      <c r="W209" s="278" t="n"/>
    </row>
    <row r="210">
      <c r="A210" s="37" t="n"/>
      <c r="B210" s="37" t="n"/>
      <c r="C210" s="37" t="n"/>
      <c r="D210" s="37" t="n"/>
      <c r="E210" s="37" t="n"/>
      <c r="F210" s="37" t="n"/>
      <c r="G210" s="274" t="n"/>
      <c r="H210" s="37" t="n"/>
      <c r="I210" s="37" t="n"/>
      <c r="J210" s="37" t="n"/>
      <c r="K210" s="274" t="n"/>
      <c r="L210" s="37" t="n"/>
      <c r="M210" s="37" t="n"/>
      <c r="N210" s="276" t="n"/>
      <c r="O210" s="276" t="n"/>
      <c r="P210" s="276" t="n"/>
      <c r="Q210" s="276" t="n"/>
      <c r="R210" s="276" t="n"/>
      <c r="S210" s="37" t="n"/>
      <c r="T210" s="37" t="n"/>
      <c r="U210" s="37" t="n"/>
      <c r="V210" s="37" t="n"/>
      <c r="W210" s="278" t="n"/>
    </row>
    <row r="211">
      <c r="A211" s="37" t="n"/>
      <c r="B211" s="37" t="n"/>
      <c r="C211" s="37" t="n"/>
      <c r="D211" s="37" t="n"/>
      <c r="E211" s="37" t="n"/>
      <c r="F211" s="37" t="n"/>
      <c r="G211" s="274" t="n"/>
      <c r="H211" s="37" t="n"/>
      <c r="I211" s="37" t="n"/>
      <c r="J211" s="37" t="n"/>
      <c r="K211" s="274" t="n"/>
      <c r="L211" s="37" t="n"/>
      <c r="M211" s="37" t="n"/>
      <c r="N211" s="276" t="n"/>
      <c r="O211" s="276" t="n"/>
      <c r="P211" s="276" t="n"/>
      <c r="Q211" s="276" t="n"/>
      <c r="R211" s="276" t="n"/>
      <c r="S211" s="37" t="n"/>
      <c r="T211" s="37" t="n"/>
      <c r="U211" s="37" t="n"/>
      <c r="V211" s="37" t="n"/>
      <c r="W211" s="278" t="n"/>
    </row>
    <row r="212">
      <c r="A212" s="37" t="n"/>
      <c r="B212" s="37" t="n"/>
      <c r="C212" s="37" t="n"/>
      <c r="D212" s="37" t="n"/>
      <c r="E212" s="37" t="n"/>
      <c r="F212" s="37" t="n"/>
      <c r="G212" s="274" t="n"/>
      <c r="H212" s="37" t="n"/>
      <c r="I212" s="37" t="n"/>
      <c r="J212" s="37" t="n"/>
      <c r="K212" s="274" t="n"/>
      <c r="L212" s="37" t="n"/>
      <c r="M212" s="37" t="n"/>
      <c r="N212" s="276" t="n"/>
      <c r="O212" s="276" t="n"/>
      <c r="P212" s="276" t="n"/>
      <c r="Q212" s="276" t="n"/>
      <c r="R212" s="276" t="n"/>
      <c r="S212" s="37" t="n"/>
      <c r="T212" s="37" t="n"/>
      <c r="U212" s="37" t="n"/>
      <c r="V212" s="37" t="n"/>
      <c r="W212" s="278" t="n"/>
    </row>
    <row r="213">
      <c r="A213" s="37" t="n"/>
      <c r="B213" s="37" t="n"/>
      <c r="C213" s="37" t="n"/>
      <c r="D213" s="37" t="n"/>
      <c r="E213" s="37" t="n"/>
      <c r="F213" s="37" t="n"/>
      <c r="G213" s="274" t="n"/>
      <c r="H213" s="37" t="n"/>
      <c r="I213" s="37" t="n"/>
      <c r="J213" s="37" t="n"/>
      <c r="K213" s="274" t="n"/>
      <c r="L213" s="37" t="n"/>
      <c r="M213" s="37" t="n"/>
      <c r="N213" s="276" t="n"/>
      <c r="O213" s="276" t="n"/>
      <c r="P213" s="276" t="n"/>
      <c r="Q213" s="276" t="n"/>
      <c r="R213" s="276" t="n"/>
      <c r="S213" s="37" t="n"/>
      <c r="T213" s="37" t="n"/>
      <c r="U213" s="37" t="n"/>
      <c r="V213" s="37" t="n"/>
      <c r="W213" s="278" t="n"/>
    </row>
    <row r="214">
      <c r="A214" s="37" t="n"/>
      <c r="B214" s="37" t="n"/>
      <c r="C214" s="37" t="n"/>
      <c r="D214" s="37" t="n"/>
      <c r="E214" s="37" t="n"/>
      <c r="F214" s="37" t="n"/>
      <c r="G214" s="274" t="n"/>
      <c r="H214" s="37" t="n"/>
      <c r="I214" s="37" t="n"/>
      <c r="J214" s="37" t="n"/>
      <c r="K214" s="274" t="n"/>
      <c r="L214" s="37" t="n"/>
      <c r="M214" s="37" t="n"/>
      <c r="N214" s="276" t="n"/>
      <c r="O214" s="276" t="n"/>
      <c r="P214" s="276" t="n"/>
      <c r="Q214" s="276" t="n"/>
      <c r="R214" s="276" t="n"/>
      <c r="S214" s="37" t="n"/>
      <c r="T214" s="37" t="n"/>
      <c r="U214" s="37" t="n"/>
      <c r="V214" s="37" t="n"/>
      <c r="W214" s="278" t="n"/>
    </row>
    <row r="215">
      <c r="A215" s="37" t="n"/>
      <c r="B215" s="37" t="n"/>
      <c r="C215" s="37" t="n"/>
      <c r="D215" s="37" t="n"/>
      <c r="E215" s="37" t="n"/>
      <c r="F215" s="37" t="n"/>
      <c r="G215" s="274" t="n"/>
      <c r="H215" s="37" t="n"/>
      <c r="I215" s="37" t="n"/>
      <c r="J215" s="37" t="n"/>
      <c r="K215" s="274" t="n"/>
      <c r="L215" s="37" t="n"/>
      <c r="M215" s="37" t="n"/>
      <c r="N215" s="276" t="n"/>
      <c r="O215" s="276" t="n"/>
      <c r="P215" s="276" t="n"/>
      <c r="Q215" s="276" t="n"/>
      <c r="R215" s="276" t="n"/>
      <c r="S215" s="37" t="n"/>
      <c r="T215" s="37" t="n"/>
      <c r="U215" s="37" t="n"/>
      <c r="V215" s="37" t="n"/>
      <c r="W215" s="278" t="n"/>
    </row>
    <row r="216">
      <c r="A216" s="37" t="n"/>
      <c r="B216" s="37" t="n"/>
      <c r="C216" s="37" t="n"/>
      <c r="D216" s="37" t="n"/>
      <c r="E216" s="37" t="n"/>
      <c r="F216" s="37" t="n"/>
      <c r="G216" s="274" t="n"/>
      <c r="H216" s="37" t="n"/>
      <c r="I216" s="37" t="n"/>
      <c r="J216" s="37" t="n"/>
      <c r="K216" s="274" t="n"/>
      <c r="L216" s="37" t="n"/>
      <c r="M216" s="37" t="n"/>
      <c r="N216" s="276" t="n"/>
      <c r="O216" s="276" t="n"/>
      <c r="P216" s="276" t="n"/>
      <c r="Q216" s="276" t="n"/>
      <c r="R216" s="276" t="n"/>
      <c r="S216" s="37" t="n"/>
      <c r="T216" s="37" t="n"/>
      <c r="U216" s="37" t="n"/>
      <c r="V216" s="37" t="n"/>
      <c r="W216" s="278" t="n"/>
    </row>
    <row r="217">
      <c r="A217" s="37" t="n"/>
      <c r="B217" s="37" t="n"/>
      <c r="C217" s="37" t="n"/>
      <c r="D217" s="37" t="n"/>
      <c r="E217" s="37" t="n"/>
      <c r="F217" s="37" t="n"/>
      <c r="G217" s="274" t="n"/>
      <c r="H217" s="37" t="n"/>
      <c r="I217" s="37" t="n"/>
      <c r="J217" s="37" t="n"/>
      <c r="K217" s="274" t="n"/>
      <c r="L217" s="37" t="n"/>
      <c r="M217" s="37" t="n"/>
      <c r="N217" s="276" t="n"/>
      <c r="O217" s="276" t="n"/>
      <c r="P217" s="276" t="n"/>
      <c r="Q217" s="276" t="n"/>
      <c r="R217" s="276" t="n"/>
      <c r="S217" s="37" t="n"/>
      <c r="T217" s="37" t="n"/>
      <c r="U217" s="37" t="n"/>
      <c r="V217" s="37" t="n"/>
      <c r="W217" s="278" t="n"/>
    </row>
    <row r="218">
      <c r="A218" s="37" t="n"/>
      <c r="B218" s="37" t="n"/>
      <c r="C218" s="37" t="n"/>
      <c r="D218" s="37" t="n"/>
      <c r="E218" s="37" t="n"/>
      <c r="F218" s="37" t="n"/>
      <c r="G218" s="274" t="n"/>
      <c r="H218" s="37" t="n"/>
      <c r="I218" s="37" t="n"/>
      <c r="J218" s="37" t="n"/>
      <c r="K218" s="274" t="n"/>
      <c r="L218" s="37" t="n"/>
      <c r="M218" s="37" t="n"/>
      <c r="N218" s="276" t="n"/>
      <c r="O218" s="276" t="n"/>
      <c r="P218" s="276" t="n"/>
      <c r="Q218" s="276" t="n"/>
      <c r="R218" s="276" t="n"/>
      <c r="S218" s="37" t="n"/>
      <c r="T218" s="37" t="n"/>
      <c r="U218" s="37" t="n"/>
      <c r="V218" s="37" t="n"/>
      <c r="W218" s="278" t="n"/>
    </row>
    <row r="219">
      <c r="A219" s="37" t="n"/>
      <c r="B219" s="37" t="n"/>
      <c r="C219" s="37" t="n"/>
      <c r="D219" s="37" t="n"/>
      <c r="E219" s="37" t="n"/>
      <c r="F219" s="37" t="n"/>
      <c r="G219" s="274" t="n"/>
      <c r="H219" s="37" t="n"/>
      <c r="I219" s="37" t="n"/>
      <c r="J219" s="37" t="n"/>
      <c r="K219" s="274" t="n"/>
      <c r="L219" s="37" t="n"/>
      <c r="M219" s="37" t="n"/>
      <c r="N219" s="276" t="n"/>
      <c r="O219" s="276" t="n"/>
      <c r="P219" s="276" t="n"/>
      <c r="Q219" s="276" t="n"/>
      <c r="R219" s="276" t="n"/>
      <c r="S219" s="37" t="n"/>
      <c r="T219" s="37" t="n"/>
      <c r="U219" s="37" t="n"/>
      <c r="V219" s="37" t="n"/>
      <c r="W219" s="278" t="n"/>
    </row>
    <row r="220">
      <c r="A220" s="37" t="n"/>
      <c r="B220" s="37" t="n"/>
      <c r="C220" s="37" t="n"/>
      <c r="D220" s="37" t="n"/>
      <c r="E220" s="37" t="n"/>
      <c r="F220" s="37" t="n"/>
      <c r="G220" s="274" t="n"/>
      <c r="H220" s="37" t="n"/>
      <c r="I220" s="37" t="n"/>
      <c r="J220" s="37" t="n"/>
      <c r="K220" s="274" t="n"/>
      <c r="L220" s="37" t="n"/>
      <c r="M220" s="37" t="n"/>
      <c r="N220" s="276" t="n"/>
      <c r="O220" s="276" t="n"/>
      <c r="P220" s="276" t="n"/>
      <c r="Q220" s="276" t="n"/>
      <c r="R220" s="276" t="n"/>
      <c r="S220" s="37" t="n"/>
      <c r="T220" s="37" t="n"/>
      <c r="U220" s="37" t="n"/>
      <c r="V220" s="37" t="n"/>
      <c r="W220" s="278" t="n"/>
    </row>
    <row r="221">
      <c r="A221" s="37" t="n"/>
      <c r="B221" s="37" t="n"/>
      <c r="C221" s="37" t="n"/>
      <c r="D221" s="37" t="n"/>
      <c r="E221" s="37" t="n"/>
      <c r="F221" s="37" t="n"/>
      <c r="G221" s="274" t="n"/>
      <c r="H221" s="37" t="n"/>
      <c r="I221" s="37" t="n"/>
      <c r="J221" s="37" t="n"/>
      <c r="K221" s="274" t="n"/>
      <c r="L221" s="37" t="n"/>
      <c r="M221" s="37" t="n"/>
      <c r="N221" s="276" t="n"/>
      <c r="O221" s="276" t="n"/>
      <c r="P221" s="276" t="n"/>
      <c r="Q221" s="276" t="n"/>
      <c r="R221" s="276" t="n"/>
      <c r="S221" s="37" t="n"/>
      <c r="T221" s="37" t="n"/>
      <c r="U221" s="37" t="n"/>
      <c r="V221" s="37" t="n"/>
      <c r="W221" s="278" t="n"/>
    </row>
    <row r="222">
      <c r="A222" s="37" t="n"/>
      <c r="B222" s="37" t="n"/>
      <c r="C222" s="37" t="n"/>
      <c r="D222" s="37" t="n"/>
      <c r="E222" s="37" t="n"/>
      <c r="F222" s="37" t="n"/>
      <c r="G222" s="274" t="n"/>
      <c r="H222" s="37" t="n"/>
      <c r="I222" s="37" t="n"/>
      <c r="J222" s="37" t="n"/>
      <c r="K222" s="274" t="n"/>
      <c r="L222" s="37" t="n"/>
      <c r="M222" s="37" t="n"/>
      <c r="N222" s="276" t="n"/>
      <c r="O222" s="276" t="n"/>
      <c r="P222" s="276" t="n"/>
      <c r="Q222" s="276" t="n"/>
      <c r="R222" s="276" t="n"/>
      <c r="S222" s="37" t="n"/>
      <c r="T222" s="37" t="n"/>
      <c r="U222" s="37" t="n"/>
      <c r="V222" s="37" t="n"/>
      <c r="W222" s="278" t="n"/>
    </row>
    <row r="223">
      <c r="A223" s="37" t="n"/>
      <c r="B223" s="37" t="n"/>
      <c r="C223" s="37" t="n"/>
      <c r="D223" s="37" t="n"/>
      <c r="E223" s="37" t="n"/>
      <c r="F223" s="37" t="n"/>
      <c r="G223" s="274" t="n"/>
      <c r="H223" s="37" t="n"/>
      <c r="I223" s="37" t="n"/>
      <c r="J223" s="37" t="n"/>
      <c r="K223" s="274" t="n"/>
      <c r="L223" s="37" t="n"/>
      <c r="M223" s="37" t="n"/>
      <c r="N223" s="276" t="n"/>
      <c r="O223" s="276" t="n"/>
      <c r="P223" s="276" t="n"/>
      <c r="Q223" s="276" t="n"/>
      <c r="R223" s="276" t="n"/>
      <c r="S223" s="37" t="n"/>
      <c r="T223" s="37" t="n"/>
      <c r="U223" s="37" t="n"/>
      <c r="V223" s="37" t="n"/>
      <c r="W223" s="278" t="n"/>
    </row>
    <row r="224">
      <c r="A224" s="37" t="n"/>
      <c r="B224" s="37" t="n"/>
      <c r="C224" s="37" t="n"/>
      <c r="D224" s="37" t="n"/>
      <c r="E224" s="37" t="n"/>
      <c r="F224" s="37" t="n"/>
      <c r="G224" s="274" t="n"/>
      <c r="H224" s="37" t="n"/>
      <c r="I224" s="37" t="n"/>
      <c r="J224" s="37" t="n"/>
      <c r="K224" s="274" t="n"/>
      <c r="L224" s="37" t="n"/>
      <c r="M224" s="37" t="n"/>
      <c r="N224" s="276" t="n"/>
      <c r="O224" s="276" t="n"/>
      <c r="P224" s="276" t="n"/>
      <c r="Q224" s="276" t="n"/>
      <c r="R224" s="276" t="n"/>
      <c r="S224" s="37" t="n"/>
      <c r="T224" s="37" t="n"/>
      <c r="U224" s="37" t="n"/>
      <c r="V224" s="37" t="n"/>
      <c r="W224" s="278" t="n"/>
    </row>
    <row r="225">
      <c r="A225" s="37" t="n"/>
      <c r="B225" s="37" t="n"/>
      <c r="C225" s="37" t="n"/>
      <c r="D225" s="37" t="n"/>
      <c r="E225" s="37" t="n"/>
      <c r="F225" s="37" t="n"/>
      <c r="G225" s="274" t="n"/>
      <c r="H225" s="37" t="n"/>
      <c r="I225" s="37" t="n"/>
      <c r="J225" s="37" t="n"/>
      <c r="K225" s="274" t="n"/>
      <c r="L225" s="37" t="n"/>
      <c r="M225" s="37" t="n"/>
      <c r="N225" s="276" t="n"/>
      <c r="O225" s="276" t="n"/>
      <c r="P225" s="276" t="n"/>
      <c r="Q225" s="276" t="n"/>
      <c r="R225" s="276" t="n"/>
      <c r="S225" s="37" t="n"/>
      <c r="T225" s="37" t="n"/>
      <c r="U225" s="37" t="n"/>
      <c r="V225" s="37" t="n"/>
      <c r="W225" s="278" t="n"/>
    </row>
    <row r="226">
      <c r="A226" s="37" t="n"/>
      <c r="B226" s="37" t="n"/>
      <c r="C226" s="37" t="n"/>
      <c r="D226" s="37" t="n"/>
      <c r="E226" s="37" t="n"/>
      <c r="F226" s="37" t="n"/>
      <c r="G226" s="274" t="n"/>
      <c r="H226" s="37" t="n"/>
      <c r="I226" s="37" t="n"/>
      <c r="J226" s="37" t="n"/>
      <c r="K226" s="274" t="n"/>
      <c r="L226" s="37" t="n"/>
      <c r="M226" s="37" t="n"/>
      <c r="N226" s="276" t="n"/>
      <c r="O226" s="276" t="n"/>
      <c r="P226" s="276" t="n"/>
      <c r="Q226" s="276" t="n"/>
      <c r="R226" s="276" t="n"/>
      <c r="S226" s="37" t="n"/>
      <c r="T226" s="37" t="n"/>
      <c r="U226" s="37" t="n"/>
      <c r="V226" s="37" t="n"/>
      <c r="W226" s="278" t="n"/>
    </row>
    <row r="227">
      <c r="A227" s="37" t="n"/>
      <c r="B227" s="37" t="n"/>
      <c r="C227" s="37" t="n"/>
      <c r="D227" s="37" t="n"/>
      <c r="E227" s="37" t="n"/>
      <c r="F227" s="37" t="n"/>
      <c r="G227" s="274" t="n"/>
      <c r="H227" s="37" t="n"/>
      <c r="I227" s="37" t="n"/>
      <c r="J227" s="37" t="n"/>
      <c r="K227" s="274" t="n"/>
      <c r="L227" s="37" t="n"/>
      <c r="M227" s="37" t="n"/>
      <c r="N227" s="276" t="n"/>
      <c r="O227" s="276" t="n"/>
      <c r="P227" s="276" t="n"/>
      <c r="Q227" s="276" t="n"/>
      <c r="R227" s="276" t="n"/>
      <c r="S227" s="37" t="n"/>
      <c r="T227" s="37" t="n"/>
      <c r="U227" s="37" t="n"/>
      <c r="V227" s="37" t="n"/>
      <c r="W227" s="278" t="n"/>
    </row>
    <row r="228">
      <c r="A228" s="37" t="n"/>
      <c r="B228" s="37" t="n"/>
      <c r="C228" s="37" t="n"/>
      <c r="D228" s="37" t="n"/>
      <c r="E228" s="37" t="n"/>
      <c r="F228" s="37" t="n"/>
      <c r="G228" s="274" t="n"/>
      <c r="H228" s="37" t="n"/>
      <c r="I228" s="37" t="n"/>
      <c r="J228" s="37" t="n"/>
      <c r="K228" s="274" t="n"/>
      <c r="L228" s="37" t="n"/>
      <c r="M228" s="37" t="n"/>
      <c r="N228" s="276" t="n"/>
      <c r="O228" s="276" t="n"/>
      <c r="P228" s="276" t="n"/>
      <c r="Q228" s="276" t="n"/>
      <c r="R228" s="276" t="n"/>
      <c r="S228" s="37" t="n"/>
      <c r="T228" s="37" t="n"/>
      <c r="U228" s="37" t="n"/>
      <c r="V228" s="37" t="n"/>
      <c r="W228" s="278" t="n"/>
    </row>
    <row r="229">
      <c r="A229" s="37" t="n"/>
      <c r="B229" s="37" t="n"/>
      <c r="C229" s="37" t="n"/>
      <c r="D229" s="37" t="n"/>
      <c r="E229" s="37" t="n"/>
      <c r="F229" s="37" t="n"/>
      <c r="G229" s="274" t="n"/>
      <c r="H229" s="37" t="n"/>
      <c r="I229" s="37" t="n"/>
      <c r="J229" s="37" t="n"/>
      <c r="K229" s="274" t="n"/>
      <c r="L229" s="37" t="n"/>
      <c r="M229" s="37" t="n"/>
      <c r="N229" s="276" t="n"/>
      <c r="O229" s="276" t="n"/>
      <c r="P229" s="276" t="n"/>
      <c r="Q229" s="276" t="n"/>
      <c r="R229" s="276" t="n"/>
      <c r="S229" s="37" t="n"/>
      <c r="T229" s="37" t="n"/>
      <c r="U229" s="37" t="n"/>
      <c r="V229" s="37" t="n"/>
      <c r="W229" s="278" t="n"/>
    </row>
    <row r="230">
      <c r="A230" s="37" t="n"/>
      <c r="B230" s="37" t="n"/>
      <c r="C230" s="37" t="n"/>
      <c r="D230" s="37" t="n"/>
      <c r="E230" s="37" t="n"/>
      <c r="F230" s="37" t="n"/>
      <c r="G230" s="274" t="n"/>
      <c r="H230" s="37" t="n"/>
      <c r="I230" s="37" t="n"/>
      <c r="J230" s="37" t="n"/>
      <c r="K230" s="274" t="n"/>
      <c r="L230" s="37" t="n"/>
      <c r="M230" s="37" t="n"/>
      <c r="N230" s="276" t="n"/>
      <c r="O230" s="276" t="n"/>
      <c r="P230" s="276" t="n"/>
      <c r="Q230" s="276" t="n"/>
      <c r="R230" s="276" t="n"/>
      <c r="S230" s="37" t="n"/>
      <c r="T230" s="37" t="n"/>
      <c r="U230" s="37" t="n"/>
      <c r="V230" s="37" t="n"/>
      <c r="W230" s="278" t="n"/>
    </row>
    <row r="231">
      <c r="A231" s="37" t="n"/>
      <c r="B231" s="37" t="n"/>
      <c r="C231" s="37" t="n"/>
      <c r="D231" s="37" t="n"/>
      <c r="E231" s="37" t="n"/>
      <c r="F231" s="37" t="n"/>
      <c r="G231" s="274" t="n"/>
      <c r="H231" s="37" t="n"/>
      <c r="I231" s="37" t="n"/>
      <c r="J231" s="37" t="n"/>
      <c r="K231" s="274" t="n"/>
      <c r="L231" s="37" t="n"/>
      <c r="M231" s="37" t="n"/>
      <c r="N231" s="276" t="n"/>
      <c r="O231" s="276" t="n"/>
      <c r="P231" s="276" t="n"/>
      <c r="Q231" s="276" t="n"/>
      <c r="R231" s="276" t="n"/>
      <c r="S231" s="37" t="n"/>
      <c r="T231" s="37" t="n"/>
      <c r="U231" s="37" t="n"/>
      <c r="V231" s="37" t="n"/>
      <c r="W231" s="278" t="n"/>
    </row>
    <row r="232">
      <c r="A232" s="37" t="n"/>
      <c r="B232" s="37" t="n"/>
      <c r="C232" s="37" t="n"/>
      <c r="D232" s="37" t="n"/>
      <c r="E232" s="37" t="n"/>
      <c r="F232" s="37" t="n"/>
      <c r="G232" s="274" t="n"/>
      <c r="H232" s="37" t="n"/>
      <c r="I232" s="37" t="n"/>
      <c r="J232" s="37" t="n"/>
      <c r="K232" s="274" t="n"/>
      <c r="L232" s="37" t="n"/>
      <c r="M232" s="37" t="n"/>
      <c r="N232" s="276" t="n"/>
      <c r="O232" s="276" t="n"/>
      <c r="P232" s="276" t="n"/>
      <c r="Q232" s="276" t="n"/>
      <c r="R232" s="276" t="n"/>
      <c r="S232" s="37" t="n"/>
      <c r="T232" s="37" t="n"/>
      <c r="U232" s="37" t="n"/>
      <c r="V232" s="37" t="n"/>
      <c r="W232" s="278" t="n"/>
    </row>
    <row r="233">
      <c r="A233" s="37" t="n"/>
      <c r="B233" s="37" t="n"/>
      <c r="C233" s="37" t="n"/>
      <c r="D233" s="37" t="n"/>
      <c r="E233" s="37" t="n"/>
      <c r="F233" s="37" t="n"/>
      <c r="G233" s="274" t="n"/>
      <c r="H233" s="37" t="n"/>
      <c r="I233" s="37" t="n"/>
      <c r="J233" s="37" t="n"/>
      <c r="K233" s="274" t="n"/>
      <c r="L233" s="37" t="n"/>
      <c r="M233" s="37" t="n"/>
      <c r="N233" s="276" t="n"/>
      <c r="O233" s="276" t="n"/>
      <c r="P233" s="276" t="n"/>
      <c r="Q233" s="276" t="n"/>
      <c r="R233" s="276" t="n"/>
      <c r="S233" s="37" t="n"/>
      <c r="T233" s="37" t="n"/>
      <c r="U233" s="37" t="n"/>
      <c r="V233" s="37" t="n"/>
      <c r="W233" s="278" t="n"/>
    </row>
    <row r="234">
      <c r="A234" s="37" t="n"/>
      <c r="B234" s="37" t="n"/>
      <c r="C234" s="37" t="n"/>
      <c r="D234" s="37" t="n"/>
      <c r="E234" s="37" t="n"/>
      <c r="F234" s="37" t="n"/>
      <c r="G234" s="274" t="n"/>
      <c r="H234" s="37" t="n"/>
      <c r="I234" s="37" t="n"/>
      <c r="J234" s="37" t="n"/>
      <c r="K234" s="274" t="n"/>
      <c r="L234" s="37" t="n"/>
      <c r="M234" s="37" t="n"/>
      <c r="N234" s="276" t="n"/>
      <c r="O234" s="276" t="n"/>
      <c r="P234" s="276" t="n"/>
      <c r="Q234" s="276" t="n"/>
      <c r="R234" s="276" t="n"/>
      <c r="S234" s="37" t="n"/>
      <c r="T234" s="37" t="n"/>
      <c r="U234" s="37" t="n"/>
      <c r="V234" s="37" t="n"/>
      <c r="W234" s="278" t="n"/>
    </row>
    <row r="235">
      <c r="A235" s="37" t="n"/>
      <c r="B235" s="37" t="n"/>
      <c r="C235" s="37" t="n"/>
      <c r="D235" s="37" t="n"/>
      <c r="E235" s="37" t="n"/>
      <c r="F235" s="37" t="n"/>
      <c r="G235" s="274" t="n"/>
      <c r="H235" s="37" t="n"/>
      <c r="I235" s="37" t="n"/>
      <c r="J235" s="37" t="n"/>
      <c r="K235" s="274" t="n"/>
      <c r="L235" s="37" t="n"/>
      <c r="M235" s="37" t="n"/>
      <c r="N235" s="276" t="n"/>
      <c r="O235" s="276" t="n"/>
      <c r="P235" s="276" t="n"/>
      <c r="Q235" s="276" t="n"/>
      <c r="R235" s="276" t="n"/>
      <c r="S235" s="37" t="n"/>
      <c r="T235" s="37" t="n"/>
      <c r="U235" s="37" t="n"/>
      <c r="V235" s="37" t="n"/>
      <c r="W235" s="278" t="n"/>
    </row>
    <row r="236">
      <c r="A236" s="37" t="n"/>
      <c r="B236" s="37" t="n"/>
      <c r="C236" s="37" t="n"/>
      <c r="D236" s="37" t="n"/>
      <c r="E236" s="37" t="n"/>
      <c r="F236" s="37" t="n"/>
      <c r="G236" s="274" t="n"/>
      <c r="H236" s="37" t="n"/>
      <c r="I236" s="37" t="n"/>
      <c r="J236" s="37" t="n"/>
      <c r="K236" s="274" t="n"/>
      <c r="L236" s="37" t="n"/>
      <c r="M236" s="37" t="n"/>
      <c r="N236" s="276" t="n"/>
      <c r="O236" s="276" t="n"/>
      <c r="P236" s="276" t="n"/>
      <c r="Q236" s="276" t="n"/>
      <c r="R236" s="276" t="n"/>
      <c r="S236" s="37" t="n"/>
      <c r="T236" s="37" t="n"/>
      <c r="U236" s="37" t="n"/>
      <c r="V236" s="37" t="n"/>
      <c r="W236" s="278" t="n"/>
    </row>
    <row r="237">
      <c r="A237" s="37" t="n"/>
      <c r="B237" s="37" t="n"/>
      <c r="C237" s="37" t="n"/>
      <c r="D237" s="37" t="n"/>
      <c r="E237" s="37" t="n"/>
      <c r="F237" s="37" t="n"/>
      <c r="G237" s="274" t="n"/>
      <c r="H237" s="37" t="n"/>
      <c r="I237" s="37" t="n"/>
      <c r="J237" s="37" t="n"/>
      <c r="K237" s="274" t="n"/>
      <c r="L237" s="37" t="n"/>
      <c r="M237" s="37" t="n"/>
      <c r="N237" s="276" t="n"/>
      <c r="O237" s="276" t="n"/>
      <c r="P237" s="276" t="n"/>
      <c r="Q237" s="276" t="n"/>
      <c r="R237" s="276" t="n"/>
      <c r="S237" s="37" t="n"/>
      <c r="T237" s="37" t="n"/>
      <c r="U237" s="37" t="n"/>
      <c r="V237" s="37" t="n"/>
      <c r="W237" s="278" t="n"/>
    </row>
    <row r="238">
      <c r="A238" s="37" t="n"/>
      <c r="B238" s="37" t="n"/>
      <c r="C238" s="37" t="n"/>
      <c r="D238" s="37" t="n"/>
      <c r="E238" s="37" t="n"/>
      <c r="F238" s="37" t="n"/>
      <c r="G238" s="274" t="n"/>
      <c r="H238" s="37" t="n"/>
      <c r="I238" s="37" t="n"/>
      <c r="J238" s="37" t="n"/>
      <c r="K238" s="274" t="n"/>
      <c r="L238" s="37" t="n"/>
      <c r="M238" s="37" t="n"/>
      <c r="N238" s="276" t="n"/>
      <c r="O238" s="276" t="n"/>
      <c r="P238" s="276" t="n"/>
      <c r="Q238" s="276" t="n"/>
      <c r="R238" s="276" t="n"/>
      <c r="S238" s="37" t="n"/>
      <c r="T238" s="37" t="n"/>
      <c r="U238" s="37" t="n"/>
      <c r="V238" s="37" t="n"/>
      <c r="W238" s="278" t="n"/>
    </row>
    <row r="239">
      <c r="A239" s="37" t="n"/>
      <c r="B239" s="37" t="n"/>
      <c r="C239" s="37" t="n"/>
      <c r="D239" s="37" t="n"/>
      <c r="E239" s="37" t="n"/>
      <c r="F239" s="37" t="n"/>
      <c r="G239" s="274" t="n"/>
      <c r="H239" s="37" t="n"/>
      <c r="I239" s="37" t="n"/>
      <c r="J239" s="37" t="n"/>
      <c r="K239" s="274" t="n"/>
      <c r="L239" s="37" t="n"/>
      <c r="M239" s="37" t="n"/>
      <c r="N239" s="276" t="n"/>
      <c r="O239" s="276" t="n"/>
      <c r="P239" s="276" t="n"/>
      <c r="Q239" s="276" t="n"/>
      <c r="R239" s="276" t="n"/>
      <c r="S239" s="37" t="n"/>
      <c r="T239" s="37" t="n"/>
      <c r="U239" s="37" t="n"/>
      <c r="V239" s="37" t="n"/>
      <c r="W239" s="278" t="n"/>
    </row>
    <row r="240">
      <c r="A240" s="37" t="n"/>
      <c r="B240" s="37" t="n"/>
      <c r="C240" s="37" t="n"/>
      <c r="D240" s="37" t="n"/>
      <c r="E240" s="37" t="n"/>
      <c r="F240" s="37" t="n"/>
      <c r="G240" s="274" t="n"/>
      <c r="H240" s="37" t="n"/>
      <c r="I240" s="37" t="n"/>
      <c r="J240" s="37" t="n"/>
      <c r="K240" s="274" t="n"/>
      <c r="L240" s="37" t="n"/>
      <c r="M240" s="37" t="n"/>
      <c r="N240" s="276" t="n"/>
      <c r="O240" s="276" t="n"/>
      <c r="P240" s="276" t="n"/>
      <c r="Q240" s="276" t="n"/>
      <c r="R240" s="276" t="n"/>
      <c r="S240" s="37" t="n"/>
      <c r="T240" s="37" t="n"/>
      <c r="U240" s="37" t="n"/>
      <c r="V240" s="37" t="n"/>
      <c r="W240" s="278" t="n"/>
    </row>
    <row r="241">
      <c r="A241" s="37" t="n"/>
      <c r="B241" s="37" t="n"/>
      <c r="C241" s="37" t="n"/>
      <c r="D241" s="37" t="n"/>
      <c r="E241" s="37" t="n"/>
      <c r="F241" s="37" t="n"/>
      <c r="G241" s="274" t="n"/>
      <c r="H241" s="37" t="n"/>
      <c r="I241" s="37" t="n"/>
      <c r="J241" s="37" t="n"/>
      <c r="K241" s="274" t="n"/>
      <c r="L241" s="37" t="n"/>
      <c r="M241" s="37" t="n"/>
      <c r="N241" s="276" t="n"/>
      <c r="O241" s="276" t="n"/>
      <c r="P241" s="276" t="n"/>
      <c r="Q241" s="276" t="n"/>
      <c r="R241" s="276" t="n"/>
      <c r="S241" s="37" t="n"/>
      <c r="T241" s="37" t="n"/>
      <c r="U241" s="37" t="n"/>
      <c r="V241" s="37" t="n"/>
      <c r="W241" s="278" t="n"/>
    </row>
    <row r="242">
      <c r="A242" s="37" t="n"/>
      <c r="B242" s="37" t="n"/>
      <c r="C242" s="37" t="n"/>
      <c r="D242" s="37" t="n"/>
      <c r="E242" s="37" t="n"/>
      <c r="F242" s="37" t="n"/>
      <c r="G242" s="274" t="n"/>
      <c r="H242" s="37" t="n"/>
      <c r="I242" s="37" t="n"/>
      <c r="J242" s="37" t="n"/>
      <c r="K242" s="274" t="n"/>
      <c r="L242" s="37" t="n"/>
      <c r="M242" s="37" t="n"/>
      <c r="N242" s="276" t="n"/>
      <c r="O242" s="276" t="n"/>
      <c r="P242" s="276" t="n"/>
      <c r="Q242" s="276" t="n"/>
      <c r="R242" s="276" t="n"/>
      <c r="S242" s="37" t="n"/>
      <c r="T242" s="37" t="n"/>
      <c r="U242" s="37" t="n"/>
      <c r="V242" s="37" t="n"/>
      <c r="W242" s="278" t="n"/>
    </row>
    <row r="243">
      <c r="A243" s="37" t="n"/>
      <c r="B243" s="37" t="n"/>
      <c r="C243" s="37" t="n"/>
      <c r="D243" s="37" t="n"/>
      <c r="E243" s="37" t="n"/>
      <c r="F243" s="37" t="n"/>
      <c r="G243" s="274" t="n"/>
      <c r="H243" s="37" t="n"/>
      <c r="I243" s="37" t="n"/>
      <c r="J243" s="37" t="n"/>
      <c r="K243" s="274" t="n"/>
      <c r="L243" s="37" t="n"/>
      <c r="M243" s="37" t="n"/>
      <c r="N243" s="276" t="n"/>
      <c r="O243" s="276" t="n"/>
      <c r="P243" s="276" t="n"/>
      <c r="Q243" s="276" t="n"/>
      <c r="R243" s="276" t="n"/>
      <c r="S243" s="37" t="n"/>
      <c r="T243" s="37" t="n"/>
      <c r="U243" s="37" t="n"/>
      <c r="V243" s="37" t="n"/>
      <c r="W243" s="278" t="n"/>
    </row>
    <row r="244">
      <c r="A244" s="37" t="n"/>
      <c r="B244" s="37" t="n"/>
      <c r="C244" s="37" t="n"/>
      <c r="D244" s="37" t="n"/>
      <c r="E244" s="37" t="n"/>
      <c r="F244" s="37" t="n"/>
      <c r="G244" s="274" t="n"/>
      <c r="H244" s="37" t="n"/>
      <c r="I244" s="37" t="n"/>
      <c r="J244" s="37" t="n"/>
      <c r="K244" s="274" t="n"/>
      <c r="L244" s="37" t="n"/>
      <c r="M244" s="37" t="n"/>
      <c r="N244" s="276" t="n"/>
      <c r="O244" s="276" t="n"/>
      <c r="P244" s="276" t="n"/>
      <c r="Q244" s="276" t="n"/>
      <c r="R244" s="276" t="n"/>
      <c r="S244" s="37" t="n"/>
      <c r="T244" s="37" t="n"/>
      <c r="U244" s="37" t="n"/>
      <c r="V244" s="37" t="n"/>
      <c r="W244" s="278" t="n"/>
    </row>
    <row r="245">
      <c r="A245" s="37" t="n"/>
      <c r="B245" s="37" t="n"/>
      <c r="C245" s="37" t="n"/>
      <c r="D245" s="37" t="n"/>
      <c r="E245" s="37" t="n"/>
      <c r="F245" s="37" t="n"/>
      <c r="G245" s="274" t="n"/>
      <c r="H245" s="37" t="n"/>
      <c r="I245" s="37" t="n"/>
      <c r="J245" s="37" t="n"/>
      <c r="K245" s="274" t="n"/>
      <c r="L245" s="37" t="n"/>
      <c r="M245" s="37" t="n"/>
      <c r="N245" s="276" t="n"/>
      <c r="O245" s="276" t="n"/>
      <c r="P245" s="276" t="n"/>
      <c r="Q245" s="276" t="n"/>
      <c r="R245" s="276" t="n"/>
      <c r="S245" s="37" t="n"/>
      <c r="T245" s="37" t="n"/>
      <c r="U245" s="37" t="n"/>
      <c r="V245" s="37" t="n"/>
      <c r="W245" s="278" t="n"/>
    </row>
    <row r="246">
      <c r="A246" s="37" t="n"/>
      <c r="B246" s="37" t="n"/>
      <c r="C246" s="37" t="n"/>
      <c r="D246" s="37" t="n"/>
      <c r="E246" s="37" t="n"/>
      <c r="F246" s="37" t="n"/>
      <c r="G246" s="274" t="n"/>
      <c r="H246" s="37" t="n"/>
      <c r="I246" s="37" t="n"/>
      <c r="J246" s="37" t="n"/>
      <c r="K246" s="274" t="n"/>
      <c r="L246" s="37" t="n"/>
      <c r="M246" s="37" t="n"/>
      <c r="N246" s="276" t="n"/>
      <c r="O246" s="276" t="n"/>
      <c r="P246" s="276" t="n"/>
      <c r="Q246" s="276" t="n"/>
      <c r="R246" s="276" t="n"/>
      <c r="S246" s="37" t="n"/>
      <c r="T246" s="37" t="n"/>
      <c r="U246" s="37" t="n"/>
      <c r="V246" s="37" t="n"/>
      <c r="W246" s="278" t="n"/>
    </row>
    <row r="247">
      <c r="A247" s="37" t="n"/>
      <c r="B247" s="37" t="n"/>
      <c r="C247" s="37" t="n"/>
      <c r="D247" s="37" t="n"/>
      <c r="E247" s="37" t="n"/>
      <c r="F247" s="37" t="n"/>
      <c r="G247" s="274" t="n"/>
      <c r="H247" s="37" t="n"/>
      <c r="I247" s="37" t="n"/>
      <c r="J247" s="37" t="n"/>
      <c r="K247" s="274" t="n"/>
      <c r="L247" s="37" t="n"/>
      <c r="M247" s="37" t="n"/>
      <c r="N247" s="276" t="n"/>
      <c r="O247" s="276" t="n"/>
      <c r="P247" s="276" t="n"/>
      <c r="Q247" s="276" t="n"/>
      <c r="R247" s="276" t="n"/>
      <c r="S247" s="37" t="n"/>
      <c r="T247" s="37" t="n"/>
      <c r="U247" s="37" t="n"/>
      <c r="V247" s="37" t="n"/>
      <c r="W247" s="278" t="n"/>
    </row>
    <row r="248">
      <c r="A248" s="37" t="n"/>
      <c r="B248" s="37" t="n"/>
      <c r="C248" s="37" t="n"/>
      <c r="D248" s="37" t="n"/>
      <c r="E248" s="37" t="n"/>
      <c r="F248" s="37" t="n"/>
      <c r="G248" s="274" t="n"/>
      <c r="H248" s="37" t="n"/>
      <c r="I248" s="37" t="n"/>
      <c r="J248" s="37" t="n"/>
      <c r="K248" s="274" t="n"/>
      <c r="L248" s="37" t="n"/>
      <c r="M248" s="37" t="n"/>
      <c r="N248" s="276" t="n"/>
      <c r="O248" s="276" t="n"/>
      <c r="P248" s="276" t="n"/>
      <c r="Q248" s="276" t="n"/>
      <c r="R248" s="276" t="n"/>
      <c r="S248" s="37" t="n"/>
      <c r="T248" s="37" t="n"/>
      <c r="U248" s="37" t="n"/>
      <c r="V248" s="37" t="n"/>
      <c r="W248" s="278" t="n"/>
    </row>
    <row r="249">
      <c r="A249" s="37" t="n"/>
      <c r="B249" s="37" t="n"/>
      <c r="C249" s="37" t="n"/>
      <c r="D249" s="37" t="n"/>
      <c r="E249" s="37" t="n"/>
      <c r="F249" s="37" t="n"/>
      <c r="G249" s="274" t="n"/>
      <c r="H249" s="37" t="n"/>
      <c r="I249" s="37" t="n"/>
      <c r="J249" s="37" t="n"/>
      <c r="K249" s="274" t="n"/>
      <c r="L249" s="37" t="n"/>
      <c r="M249" s="37" t="n"/>
      <c r="N249" s="276" t="n"/>
      <c r="O249" s="276" t="n"/>
      <c r="P249" s="276" t="n"/>
      <c r="Q249" s="276" t="n"/>
      <c r="R249" s="276" t="n"/>
      <c r="S249" s="37" t="n"/>
      <c r="T249" s="37" t="n"/>
      <c r="U249" s="37" t="n"/>
      <c r="V249" s="37" t="n"/>
      <c r="W249" s="278" t="n"/>
    </row>
    <row r="250">
      <c r="A250" s="37" t="n"/>
      <c r="B250" s="37" t="n"/>
      <c r="C250" s="37" t="n"/>
      <c r="D250" s="37" t="n"/>
      <c r="E250" s="37" t="n"/>
      <c r="F250" s="37" t="n"/>
      <c r="G250" s="274" t="n"/>
      <c r="H250" s="37" t="n"/>
      <c r="I250" s="37" t="n"/>
      <c r="J250" s="37" t="n"/>
      <c r="K250" s="274" t="n"/>
      <c r="L250" s="37" t="n"/>
      <c r="M250" s="37" t="n"/>
      <c r="N250" s="276" t="n"/>
      <c r="O250" s="276" t="n"/>
      <c r="P250" s="276" t="n"/>
      <c r="Q250" s="276" t="n"/>
      <c r="R250" s="276" t="n"/>
      <c r="S250" s="37" t="n"/>
      <c r="T250" s="37" t="n"/>
      <c r="U250" s="37" t="n"/>
      <c r="V250" s="37" t="n"/>
      <c r="W250" s="278" t="n"/>
    </row>
    <row r="251">
      <c r="A251" s="37" t="n"/>
      <c r="B251" s="37" t="n"/>
      <c r="C251" s="37" t="n"/>
      <c r="D251" s="37" t="n"/>
      <c r="E251" s="37" t="n"/>
      <c r="F251" s="37" t="n"/>
      <c r="G251" s="274" t="n"/>
      <c r="H251" s="37" t="n"/>
      <c r="I251" s="37" t="n"/>
      <c r="J251" s="37" t="n"/>
      <c r="K251" s="274" t="n"/>
      <c r="L251" s="37" t="n"/>
      <c r="M251" s="37" t="n"/>
      <c r="N251" s="276" t="n"/>
      <c r="O251" s="276" t="n"/>
      <c r="P251" s="276" t="n"/>
      <c r="Q251" s="276" t="n"/>
      <c r="R251" s="276" t="n"/>
      <c r="S251" s="37" t="n"/>
      <c r="T251" s="37" t="n"/>
      <c r="U251" s="37" t="n"/>
      <c r="V251" s="37" t="n"/>
      <c r="W251" s="278" t="n"/>
    </row>
    <row r="252">
      <c r="A252" s="37" t="n"/>
      <c r="B252" s="37" t="n"/>
      <c r="C252" s="37" t="n"/>
      <c r="D252" s="37" t="n"/>
      <c r="E252" s="37" t="n"/>
      <c r="F252" s="37" t="n"/>
      <c r="G252" s="274" t="n"/>
      <c r="H252" s="37" t="n"/>
      <c r="I252" s="37" t="n"/>
      <c r="J252" s="37" t="n"/>
      <c r="K252" s="274" t="n"/>
      <c r="L252" s="37" t="n"/>
      <c r="M252" s="37" t="n"/>
      <c r="N252" s="276" t="n"/>
      <c r="O252" s="276" t="n"/>
      <c r="P252" s="276" t="n"/>
      <c r="Q252" s="276" t="n"/>
      <c r="R252" s="276" t="n"/>
      <c r="S252" s="37" t="n"/>
      <c r="T252" s="37" t="n"/>
      <c r="U252" s="37" t="n"/>
      <c r="V252" s="37" t="n"/>
      <c r="W252" s="278" t="n"/>
    </row>
    <row r="253">
      <c r="A253" s="37" t="n"/>
      <c r="B253" s="37" t="n"/>
      <c r="C253" s="37" t="n"/>
      <c r="D253" s="37" t="n"/>
      <c r="E253" s="37" t="n"/>
      <c r="F253" s="37" t="n"/>
      <c r="G253" s="274" t="n"/>
      <c r="H253" s="37" t="n"/>
      <c r="I253" s="37" t="n"/>
      <c r="J253" s="37" t="n"/>
      <c r="K253" s="274" t="n"/>
      <c r="L253" s="37" t="n"/>
      <c r="M253" s="37" t="n"/>
      <c r="N253" s="276" t="n"/>
      <c r="O253" s="276" t="n"/>
      <c r="P253" s="276" t="n"/>
      <c r="Q253" s="276" t="n"/>
      <c r="R253" s="276" t="n"/>
      <c r="S253" s="37" t="n"/>
      <c r="T253" s="37" t="n"/>
      <c r="U253" s="37" t="n"/>
      <c r="V253" s="37" t="n"/>
      <c r="W253" s="278" t="n"/>
    </row>
    <row r="254">
      <c r="A254" s="37" t="n"/>
      <c r="B254" s="37" t="n"/>
      <c r="C254" s="37" t="n"/>
      <c r="D254" s="37" t="n"/>
      <c r="E254" s="37" t="n"/>
      <c r="F254" s="37" t="n"/>
      <c r="G254" s="274" t="n"/>
      <c r="H254" s="37" t="n"/>
      <c r="I254" s="37" t="n"/>
      <c r="J254" s="37" t="n"/>
      <c r="K254" s="274" t="n"/>
      <c r="L254" s="37" t="n"/>
      <c r="M254" s="37" t="n"/>
      <c r="N254" s="276" t="n"/>
      <c r="O254" s="276" t="n"/>
      <c r="P254" s="276" t="n"/>
      <c r="Q254" s="276" t="n"/>
      <c r="R254" s="276" t="n"/>
      <c r="S254" s="37" t="n"/>
      <c r="T254" s="37" t="n"/>
      <c r="U254" s="37" t="n"/>
      <c r="V254" s="37" t="n"/>
      <c r="W254" s="278" t="n"/>
    </row>
    <row r="255">
      <c r="A255" s="37" t="n"/>
      <c r="B255" s="37" t="n"/>
      <c r="C255" s="37" t="n"/>
      <c r="D255" s="37" t="n"/>
      <c r="E255" s="37" t="n"/>
      <c r="F255" s="37" t="n"/>
      <c r="G255" s="274" t="n"/>
      <c r="H255" s="37" t="n"/>
      <c r="I255" s="37" t="n"/>
      <c r="J255" s="37" t="n"/>
      <c r="K255" s="274" t="n"/>
      <c r="L255" s="37" t="n"/>
      <c r="M255" s="37" t="n"/>
      <c r="N255" s="276" t="n"/>
      <c r="O255" s="276" t="n"/>
      <c r="P255" s="276" t="n"/>
      <c r="Q255" s="276" t="n"/>
      <c r="R255" s="276" t="n"/>
      <c r="S255" s="37" t="n"/>
      <c r="T255" s="37" t="n"/>
      <c r="U255" s="37" t="n"/>
      <c r="V255" s="37" t="n"/>
      <c r="W255" s="278" t="n"/>
    </row>
    <row r="256">
      <c r="A256" s="37" t="n"/>
      <c r="B256" s="37" t="n"/>
      <c r="C256" s="37" t="n"/>
      <c r="D256" s="37" t="n"/>
      <c r="E256" s="37" t="n"/>
      <c r="F256" s="37" t="n"/>
      <c r="G256" s="274" t="n"/>
      <c r="H256" s="37" t="n"/>
      <c r="I256" s="37" t="n"/>
      <c r="J256" s="37" t="n"/>
      <c r="K256" s="274" t="n"/>
      <c r="L256" s="37" t="n"/>
      <c r="M256" s="37" t="n"/>
      <c r="N256" s="276" t="n"/>
      <c r="O256" s="276" t="n"/>
      <c r="P256" s="276" t="n"/>
      <c r="Q256" s="276" t="n"/>
      <c r="R256" s="276" t="n"/>
      <c r="S256" s="37" t="n"/>
      <c r="T256" s="37" t="n"/>
      <c r="U256" s="37" t="n"/>
      <c r="V256" s="37" t="n"/>
      <c r="W256" s="278" t="n"/>
    </row>
    <row r="257">
      <c r="A257" s="37" t="n"/>
      <c r="B257" s="37" t="n"/>
      <c r="C257" s="37" t="n"/>
      <c r="D257" s="37" t="n"/>
      <c r="E257" s="37" t="n"/>
      <c r="F257" s="37" t="n"/>
      <c r="G257" s="274" t="n"/>
      <c r="H257" s="37" t="n"/>
      <c r="I257" s="37" t="n"/>
      <c r="J257" s="37" t="n"/>
      <c r="K257" s="274" t="n"/>
      <c r="L257" s="37" t="n"/>
      <c r="M257" s="37" t="n"/>
      <c r="N257" s="276" t="n"/>
      <c r="O257" s="276" t="n"/>
      <c r="P257" s="276" t="n"/>
      <c r="Q257" s="276" t="n"/>
      <c r="R257" s="276" t="n"/>
      <c r="S257" s="37" t="n"/>
      <c r="T257" s="37" t="n"/>
      <c r="U257" s="37" t="n"/>
      <c r="V257" s="37" t="n"/>
      <c r="W257" s="278" t="n"/>
    </row>
    <row r="258">
      <c r="A258" s="37" t="n"/>
      <c r="B258" s="37" t="n"/>
      <c r="C258" s="37" t="n"/>
      <c r="D258" s="37" t="n"/>
      <c r="E258" s="37" t="n"/>
      <c r="F258" s="37" t="n"/>
      <c r="G258" s="274" t="n"/>
      <c r="H258" s="37" t="n"/>
      <c r="I258" s="37" t="n"/>
      <c r="J258" s="37" t="n"/>
      <c r="K258" s="274" t="n"/>
      <c r="L258" s="37" t="n"/>
      <c r="M258" s="37" t="n"/>
      <c r="N258" s="276" t="n"/>
      <c r="O258" s="276" t="n"/>
      <c r="P258" s="276" t="n"/>
      <c r="Q258" s="276" t="n"/>
      <c r="R258" s="276" t="n"/>
      <c r="S258" s="37" t="n"/>
      <c r="T258" s="37" t="n"/>
      <c r="U258" s="37" t="n"/>
      <c r="V258" s="37" t="n"/>
      <c r="W258" s="278" t="n"/>
    </row>
    <row r="259">
      <c r="A259" s="37" t="n"/>
      <c r="B259" s="37" t="n"/>
      <c r="C259" s="37" t="n"/>
      <c r="D259" s="37" t="n"/>
      <c r="E259" s="37" t="n"/>
      <c r="F259" s="37" t="n"/>
      <c r="G259" s="274" t="n"/>
      <c r="H259" s="37" t="n"/>
      <c r="I259" s="37" t="n"/>
      <c r="J259" s="37" t="n"/>
      <c r="K259" s="274" t="n"/>
      <c r="L259" s="37" t="n"/>
      <c r="M259" s="37" t="n"/>
      <c r="N259" s="276" t="n"/>
      <c r="O259" s="276" t="n"/>
      <c r="P259" s="276" t="n"/>
      <c r="Q259" s="276" t="n"/>
      <c r="R259" s="276" t="n"/>
      <c r="S259" s="37" t="n"/>
      <c r="T259" s="37" t="n"/>
      <c r="U259" s="37" t="n"/>
      <c r="V259" s="37" t="n"/>
      <c r="W259" s="278" t="n"/>
    </row>
    <row r="260">
      <c r="A260" s="37" t="n"/>
      <c r="B260" s="37" t="n"/>
      <c r="C260" s="37" t="n"/>
      <c r="D260" s="37" t="n"/>
      <c r="E260" s="37" t="n"/>
      <c r="F260" s="37" t="n"/>
      <c r="G260" s="274" t="n"/>
      <c r="H260" s="37" t="n"/>
      <c r="I260" s="37" t="n"/>
      <c r="J260" s="37" t="n"/>
      <c r="K260" s="274" t="n"/>
      <c r="L260" s="37" t="n"/>
      <c r="M260" s="37" t="n"/>
      <c r="N260" s="276" t="n"/>
      <c r="O260" s="276" t="n"/>
      <c r="P260" s="276" t="n"/>
      <c r="Q260" s="276" t="n"/>
      <c r="R260" s="276" t="n"/>
      <c r="S260" s="37" t="n"/>
      <c r="T260" s="37" t="n"/>
      <c r="U260" s="37" t="n"/>
      <c r="V260" s="37" t="n"/>
      <c r="W260" s="278" t="n"/>
    </row>
    <row r="261">
      <c r="A261" s="37" t="n"/>
      <c r="B261" s="37" t="n"/>
      <c r="C261" s="37" t="n"/>
      <c r="D261" s="37" t="n"/>
      <c r="E261" s="37" t="n"/>
      <c r="F261" s="37" t="n"/>
      <c r="G261" s="274" t="n"/>
      <c r="H261" s="37" t="n"/>
      <c r="I261" s="37" t="n"/>
      <c r="J261" s="37" t="n"/>
      <c r="K261" s="274" t="n"/>
      <c r="L261" s="37" t="n"/>
      <c r="M261" s="37" t="n"/>
      <c r="N261" s="276" t="n"/>
      <c r="O261" s="276" t="n"/>
      <c r="P261" s="276" t="n"/>
      <c r="Q261" s="276" t="n"/>
      <c r="R261" s="276" t="n"/>
      <c r="S261" s="37" t="n"/>
      <c r="T261" s="37" t="n"/>
      <c r="U261" s="37" t="n"/>
      <c r="V261" s="37" t="n"/>
      <c r="W261" s="278" t="n"/>
    </row>
    <row r="262">
      <c r="A262" s="37" t="n"/>
      <c r="B262" s="37" t="n"/>
      <c r="C262" s="37" t="n"/>
      <c r="D262" s="37" t="n"/>
      <c r="E262" s="37" t="n"/>
      <c r="F262" s="37" t="n"/>
      <c r="G262" s="274" t="n"/>
      <c r="H262" s="37" t="n"/>
      <c r="I262" s="37" t="n"/>
      <c r="J262" s="37" t="n"/>
      <c r="K262" s="274" t="n"/>
      <c r="L262" s="37" t="n"/>
      <c r="M262" s="37" t="n"/>
      <c r="N262" s="276" t="n"/>
      <c r="O262" s="276" t="n"/>
      <c r="P262" s="276" t="n"/>
      <c r="Q262" s="276" t="n"/>
      <c r="R262" s="276" t="n"/>
      <c r="S262" s="37" t="n"/>
      <c r="T262" s="37" t="n"/>
      <c r="U262" s="37" t="n"/>
      <c r="V262" s="37" t="n"/>
      <c r="W262" s="278" t="n"/>
    </row>
    <row r="263">
      <c r="A263" s="37" t="n"/>
      <c r="B263" s="37" t="n"/>
      <c r="C263" s="37" t="n"/>
      <c r="D263" s="37" t="n"/>
      <c r="E263" s="37" t="n"/>
      <c r="F263" s="37" t="n"/>
      <c r="G263" s="274" t="n"/>
      <c r="H263" s="37" t="n"/>
      <c r="I263" s="37" t="n"/>
      <c r="J263" s="37" t="n"/>
      <c r="K263" s="274" t="n"/>
      <c r="L263" s="37" t="n"/>
      <c r="M263" s="37" t="n"/>
      <c r="N263" s="276" t="n"/>
      <c r="O263" s="276" t="n"/>
      <c r="P263" s="276" t="n"/>
      <c r="Q263" s="276" t="n"/>
      <c r="R263" s="276" t="n"/>
      <c r="S263" s="37" t="n"/>
      <c r="T263" s="37" t="n"/>
      <c r="U263" s="37" t="n"/>
      <c r="V263" s="37" t="n"/>
      <c r="W263" s="278" t="n"/>
    </row>
    <row r="264">
      <c r="A264" s="37" t="n"/>
      <c r="B264" s="37" t="n"/>
      <c r="C264" s="37" t="n"/>
      <c r="D264" s="37" t="n"/>
      <c r="E264" s="37" t="n"/>
      <c r="F264" s="37" t="n"/>
      <c r="G264" s="274" t="n"/>
      <c r="H264" s="37" t="n"/>
      <c r="I264" s="37" t="n"/>
      <c r="J264" s="37" t="n"/>
      <c r="K264" s="274" t="n"/>
      <c r="L264" s="37" t="n"/>
      <c r="M264" s="37" t="n"/>
      <c r="N264" s="276" t="n"/>
      <c r="O264" s="276" t="n"/>
      <c r="P264" s="276" t="n"/>
      <c r="Q264" s="276" t="n"/>
      <c r="R264" s="276" t="n"/>
      <c r="S264" s="37" t="n"/>
      <c r="T264" s="37" t="n"/>
      <c r="U264" s="37" t="n"/>
      <c r="V264" s="37" t="n"/>
      <c r="W264" s="278" t="n"/>
    </row>
    <row r="265">
      <c r="A265" s="37" t="n"/>
      <c r="B265" s="37" t="n"/>
      <c r="C265" s="37" t="n"/>
      <c r="D265" s="37" t="n"/>
      <c r="E265" s="37" t="n"/>
      <c r="F265" s="37" t="n"/>
      <c r="G265" s="274" t="n"/>
      <c r="H265" s="37" t="n"/>
      <c r="I265" s="37" t="n"/>
      <c r="J265" s="37" t="n"/>
      <c r="K265" s="274" t="n"/>
      <c r="L265" s="37" t="n"/>
      <c r="M265" s="37" t="n"/>
      <c r="N265" s="276" t="n"/>
      <c r="O265" s="276" t="n"/>
      <c r="P265" s="276" t="n"/>
      <c r="Q265" s="276" t="n"/>
      <c r="R265" s="276" t="n"/>
      <c r="S265" s="37" t="n"/>
      <c r="T265" s="37" t="n"/>
      <c r="U265" s="37" t="n"/>
      <c r="V265" s="37" t="n"/>
      <c r="W265" s="278" t="n"/>
    </row>
    <row r="266">
      <c r="A266" s="37" t="n"/>
      <c r="B266" s="37" t="n"/>
      <c r="C266" s="37" t="n"/>
      <c r="D266" s="37" t="n"/>
      <c r="E266" s="37" t="n"/>
      <c r="F266" s="37" t="n"/>
      <c r="G266" s="274" t="n"/>
      <c r="H266" s="37" t="n"/>
      <c r="I266" s="37" t="n"/>
      <c r="J266" s="37" t="n"/>
      <c r="K266" s="274" t="n"/>
      <c r="L266" s="37" t="n"/>
      <c r="M266" s="37" t="n"/>
      <c r="N266" s="276" t="n"/>
      <c r="O266" s="276" t="n"/>
      <c r="P266" s="276" t="n"/>
      <c r="Q266" s="276" t="n"/>
      <c r="R266" s="276" t="n"/>
      <c r="S266" s="37" t="n"/>
      <c r="T266" s="37" t="n"/>
      <c r="U266" s="37" t="n"/>
      <c r="V266" s="37" t="n"/>
      <c r="W266" s="278" t="n"/>
    </row>
    <row r="267">
      <c r="A267" s="37" t="n"/>
      <c r="B267" s="37" t="n"/>
      <c r="C267" s="37" t="n"/>
      <c r="D267" s="37" t="n"/>
      <c r="E267" s="37" t="n"/>
      <c r="F267" s="37" t="n"/>
      <c r="G267" s="274" t="n"/>
      <c r="H267" s="37" t="n"/>
      <c r="I267" s="37" t="n"/>
      <c r="J267" s="37" t="n"/>
      <c r="K267" s="274" t="n"/>
      <c r="L267" s="37" t="n"/>
      <c r="M267" s="37" t="n"/>
      <c r="N267" s="276" t="n"/>
      <c r="O267" s="276" t="n"/>
      <c r="P267" s="276" t="n"/>
      <c r="Q267" s="276" t="n"/>
      <c r="R267" s="276" t="n"/>
      <c r="S267" s="37" t="n"/>
      <c r="T267" s="37" t="n"/>
      <c r="U267" s="37" t="n"/>
      <c r="V267" s="37" t="n"/>
      <c r="W267" s="278" t="n"/>
    </row>
    <row r="268">
      <c r="A268" s="37" t="n"/>
      <c r="B268" s="37" t="n"/>
      <c r="C268" s="37" t="n"/>
      <c r="D268" s="37" t="n"/>
      <c r="E268" s="37" t="n"/>
      <c r="F268" s="37" t="n"/>
      <c r="G268" s="274" t="n"/>
      <c r="H268" s="37" t="n"/>
      <c r="I268" s="37" t="n"/>
      <c r="J268" s="37" t="n"/>
      <c r="K268" s="274" t="n"/>
      <c r="L268" s="37" t="n"/>
      <c r="M268" s="37" t="n"/>
      <c r="N268" s="276" t="n"/>
      <c r="O268" s="276" t="n"/>
      <c r="P268" s="276" t="n"/>
      <c r="Q268" s="276" t="n"/>
      <c r="R268" s="276" t="n"/>
      <c r="S268" s="37" t="n"/>
      <c r="T268" s="37" t="n"/>
      <c r="U268" s="37" t="n"/>
      <c r="V268" s="37" t="n"/>
      <c r="W268" s="278" t="n"/>
    </row>
    <row r="269">
      <c r="A269" s="37" t="n"/>
      <c r="B269" s="37" t="n"/>
      <c r="C269" s="37" t="n"/>
      <c r="D269" s="37" t="n"/>
      <c r="E269" s="37" t="n"/>
      <c r="F269" s="37" t="n"/>
      <c r="G269" s="274" t="n"/>
      <c r="H269" s="37" t="n"/>
      <c r="I269" s="37" t="n"/>
      <c r="J269" s="37" t="n"/>
      <c r="K269" s="274" t="n"/>
      <c r="L269" s="37" t="n"/>
      <c r="M269" s="37" t="n"/>
      <c r="N269" s="276" t="n"/>
      <c r="O269" s="276" t="n"/>
      <c r="P269" s="276" t="n"/>
      <c r="Q269" s="276" t="n"/>
      <c r="R269" s="276" t="n"/>
      <c r="S269" s="37" t="n"/>
      <c r="T269" s="37" t="n"/>
      <c r="U269" s="37" t="n"/>
      <c r="V269" s="37" t="n"/>
      <c r="W269" s="278" t="n"/>
    </row>
    <row r="270">
      <c r="A270" s="37" t="n"/>
      <c r="B270" s="37" t="n"/>
      <c r="C270" s="37" t="n"/>
      <c r="D270" s="37" t="n"/>
      <c r="E270" s="37" t="n"/>
      <c r="F270" s="37" t="n"/>
      <c r="G270" s="274" t="n"/>
      <c r="H270" s="37" t="n"/>
      <c r="I270" s="37" t="n"/>
      <c r="J270" s="37" t="n"/>
      <c r="K270" s="274" t="n"/>
      <c r="L270" s="37" t="n"/>
      <c r="M270" s="37" t="n"/>
      <c r="N270" s="276" t="n"/>
      <c r="O270" s="276" t="n"/>
      <c r="P270" s="276" t="n"/>
      <c r="Q270" s="276" t="n"/>
      <c r="R270" s="276" t="n"/>
      <c r="S270" s="37" t="n"/>
      <c r="T270" s="37" t="n"/>
      <c r="U270" s="37" t="n"/>
      <c r="V270" s="37" t="n"/>
      <c r="W270" s="278" t="n"/>
    </row>
    <row r="271">
      <c r="A271" s="37" t="n"/>
      <c r="B271" s="37" t="n"/>
      <c r="C271" s="37" t="n"/>
      <c r="D271" s="37" t="n"/>
      <c r="E271" s="37" t="n"/>
      <c r="F271" s="37" t="n"/>
      <c r="G271" s="274" t="n"/>
      <c r="H271" s="37" t="n"/>
      <c r="I271" s="37" t="n"/>
      <c r="J271" s="37" t="n"/>
      <c r="K271" s="274" t="n"/>
      <c r="L271" s="37" t="n"/>
      <c r="M271" s="37" t="n"/>
      <c r="N271" s="276" t="n"/>
      <c r="O271" s="276" t="n"/>
      <c r="P271" s="276" t="n"/>
      <c r="Q271" s="276" t="n"/>
      <c r="R271" s="276" t="n"/>
      <c r="S271" s="37" t="n"/>
      <c r="T271" s="37" t="n"/>
      <c r="U271" s="37" t="n"/>
      <c r="V271" s="37" t="n"/>
      <c r="W271" s="278" t="n"/>
    </row>
    <row r="272">
      <c r="A272" s="37" t="n"/>
      <c r="B272" s="37" t="n"/>
      <c r="C272" s="37" t="n"/>
      <c r="D272" s="37" t="n"/>
      <c r="E272" s="37" t="n"/>
      <c r="F272" s="37" t="n"/>
      <c r="G272" s="274" t="n"/>
      <c r="H272" s="37" t="n"/>
      <c r="I272" s="37" t="n"/>
      <c r="J272" s="37" t="n"/>
      <c r="K272" s="274" t="n"/>
      <c r="L272" s="37" t="n"/>
      <c r="M272" s="37" t="n"/>
      <c r="N272" s="276" t="n"/>
      <c r="O272" s="276" t="n"/>
      <c r="P272" s="276" t="n"/>
      <c r="Q272" s="276" t="n"/>
      <c r="R272" s="276" t="n"/>
      <c r="S272" s="37" t="n"/>
      <c r="T272" s="37" t="n"/>
      <c r="U272" s="37" t="n"/>
      <c r="V272" s="37" t="n"/>
      <c r="W272" s="278" t="n"/>
    </row>
    <row r="273">
      <c r="A273" s="37" t="n"/>
      <c r="B273" s="37" t="n"/>
      <c r="C273" s="37" t="n"/>
      <c r="D273" s="37" t="n"/>
      <c r="E273" s="37" t="n"/>
      <c r="F273" s="37" t="n"/>
      <c r="G273" s="274" t="n"/>
      <c r="H273" s="37" t="n"/>
      <c r="I273" s="37" t="n"/>
      <c r="J273" s="37" t="n"/>
      <c r="K273" s="274" t="n"/>
      <c r="L273" s="37" t="n"/>
      <c r="M273" s="37" t="n"/>
      <c r="N273" s="276" t="n"/>
      <c r="O273" s="276" t="n"/>
      <c r="P273" s="276" t="n"/>
      <c r="Q273" s="276" t="n"/>
      <c r="R273" s="276" t="n"/>
      <c r="S273" s="37" t="n"/>
      <c r="T273" s="37" t="n"/>
      <c r="U273" s="37" t="n"/>
      <c r="V273" s="37" t="n"/>
      <c r="W273" s="278" t="n"/>
    </row>
    <row r="274">
      <c r="A274" s="37" t="n"/>
      <c r="B274" s="37" t="n"/>
      <c r="C274" s="37" t="n"/>
      <c r="D274" s="37" t="n"/>
      <c r="E274" s="37" t="n"/>
      <c r="F274" s="37" t="n"/>
      <c r="G274" s="274" t="n"/>
      <c r="H274" s="37" t="n"/>
      <c r="I274" s="37" t="n"/>
      <c r="J274" s="37" t="n"/>
      <c r="K274" s="274" t="n"/>
      <c r="L274" s="37" t="n"/>
      <c r="M274" s="37" t="n"/>
      <c r="N274" s="276" t="n"/>
      <c r="O274" s="276" t="n"/>
      <c r="P274" s="276" t="n"/>
      <c r="Q274" s="276" t="n"/>
      <c r="R274" s="276" t="n"/>
      <c r="S274" s="37" t="n"/>
      <c r="T274" s="37" t="n"/>
      <c r="U274" s="37" t="n"/>
      <c r="V274" s="37" t="n"/>
      <c r="W274" s="278" t="n"/>
    </row>
    <row r="275">
      <c r="A275" s="37" t="n"/>
      <c r="B275" s="37" t="n"/>
      <c r="C275" s="37" t="n"/>
      <c r="D275" s="37" t="n"/>
      <c r="E275" s="37" t="n"/>
      <c r="F275" s="37" t="n"/>
      <c r="G275" s="274" t="n"/>
      <c r="H275" s="37" t="n"/>
      <c r="I275" s="37" t="n"/>
      <c r="J275" s="37" t="n"/>
      <c r="K275" s="274" t="n"/>
      <c r="L275" s="37" t="n"/>
      <c r="M275" s="37" t="n"/>
      <c r="N275" s="276" t="n"/>
      <c r="O275" s="276" t="n"/>
      <c r="P275" s="276" t="n"/>
      <c r="Q275" s="276" t="n"/>
      <c r="R275" s="276" t="n"/>
      <c r="S275" s="37" t="n"/>
      <c r="T275" s="37" t="n"/>
      <c r="U275" s="37" t="n"/>
      <c r="V275" s="37" t="n"/>
      <c r="W275" s="278" t="n"/>
    </row>
    <row r="276">
      <c r="A276" s="37" t="n"/>
      <c r="B276" s="37" t="n"/>
      <c r="C276" s="37" t="n"/>
      <c r="D276" s="37" t="n"/>
      <c r="E276" s="37" t="n"/>
      <c r="F276" s="37" t="n"/>
      <c r="G276" s="274" t="n"/>
      <c r="H276" s="37" t="n"/>
      <c r="I276" s="37" t="n"/>
      <c r="J276" s="37" t="n"/>
      <c r="K276" s="274" t="n"/>
      <c r="L276" s="37" t="n"/>
      <c r="M276" s="37" t="n"/>
      <c r="N276" s="276" t="n"/>
      <c r="O276" s="276" t="n"/>
      <c r="P276" s="276" t="n"/>
      <c r="Q276" s="276" t="n"/>
      <c r="R276" s="276" t="n"/>
      <c r="S276" s="37" t="n"/>
      <c r="T276" s="37" t="n"/>
      <c r="U276" s="37" t="n"/>
      <c r="V276" s="37" t="n"/>
      <c r="W276" s="278" t="n"/>
    </row>
    <row r="277">
      <c r="A277" s="37" t="n"/>
      <c r="B277" s="37" t="n"/>
      <c r="C277" s="37" t="n"/>
      <c r="D277" s="37" t="n"/>
      <c r="E277" s="37" t="n"/>
      <c r="F277" s="37" t="n"/>
      <c r="G277" s="274" t="n"/>
      <c r="H277" s="37" t="n"/>
      <c r="I277" s="37" t="n"/>
      <c r="J277" s="37" t="n"/>
      <c r="K277" s="274" t="n"/>
      <c r="L277" s="37" t="n"/>
      <c r="M277" s="37" t="n"/>
      <c r="N277" s="276" t="n"/>
      <c r="O277" s="276" t="n"/>
      <c r="P277" s="276" t="n"/>
      <c r="Q277" s="276" t="n"/>
      <c r="R277" s="276" t="n"/>
      <c r="S277" s="37" t="n"/>
      <c r="T277" s="37" t="n"/>
      <c r="U277" s="37" t="n"/>
      <c r="V277" s="37" t="n"/>
      <c r="W277" s="278" t="n"/>
    </row>
    <row r="278">
      <c r="A278" s="37" t="n"/>
      <c r="B278" s="37" t="n"/>
      <c r="C278" s="37" t="n"/>
      <c r="D278" s="37" t="n"/>
      <c r="E278" s="37" t="n"/>
      <c r="F278" s="37" t="n"/>
      <c r="G278" s="274" t="n"/>
      <c r="H278" s="37" t="n"/>
      <c r="I278" s="37" t="n"/>
      <c r="J278" s="37" t="n"/>
      <c r="K278" s="274" t="n"/>
      <c r="L278" s="37" t="n"/>
      <c r="M278" s="37" t="n"/>
      <c r="N278" s="276" t="n"/>
      <c r="O278" s="276" t="n"/>
      <c r="P278" s="276" t="n"/>
      <c r="Q278" s="276" t="n"/>
      <c r="R278" s="276" t="n"/>
      <c r="S278" s="37" t="n"/>
      <c r="T278" s="37" t="n"/>
      <c r="U278" s="37" t="n"/>
      <c r="V278" s="37" t="n"/>
      <c r="W278" s="278" t="n"/>
    </row>
    <row r="279">
      <c r="A279" s="37" t="n"/>
      <c r="B279" s="37" t="n"/>
      <c r="C279" s="37" t="n"/>
      <c r="D279" s="37" t="n"/>
      <c r="E279" s="37" t="n"/>
      <c r="F279" s="37" t="n"/>
      <c r="G279" s="274" t="n"/>
      <c r="H279" s="37" t="n"/>
      <c r="I279" s="37" t="n"/>
      <c r="J279" s="37" t="n"/>
      <c r="K279" s="274" t="n"/>
      <c r="L279" s="37" t="n"/>
      <c r="M279" s="37" t="n"/>
      <c r="N279" s="276" t="n"/>
      <c r="O279" s="276" t="n"/>
      <c r="P279" s="276" t="n"/>
      <c r="Q279" s="276" t="n"/>
      <c r="R279" s="276" t="n"/>
      <c r="S279" s="37" t="n"/>
      <c r="T279" s="37" t="n"/>
      <c r="U279" s="37" t="n"/>
      <c r="V279" s="37" t="n"/>
      <c r="W279" s="278" t="n"/>
    </row>
    <row r="280">
      <c r="A280" s="37" t="n"/>
      <c r="B280" s="37" t="n"/>
      <c r="C280" s="37" t="n"/>
      <c r="D280" s="37" t="n"/>
      <c r="E280" s="37" t="n"/>
      <c r="F280" s="37" t="n"/>
      <c r="G280" s="274" t="n"/>
      <c r="H280" s="37" t="n"/>
      <c r="I280" s="37" t="n"/>
      <c r="J280" s="37" t="n"/>
      <c r="K280" s="274" t="n"/>
      <c r="L280" s="37" t="n"/>
      <c r="M280" s="37" t="n"/>
      <c r="N280" s="276" t="n"/>
      <c r="O280" s="276" t="n"/>
      <c r="P280" s="276" t="n"/>
      <c r="Q280" s="276" t="n"/>
      <c r="R280" s="276" t="n"/>
      <c r="S280" s="37" t="n"/>
      <c r="T280" s="37" t="n"/>
      <c r="U280" s="37" t="n"/>
      <c r="V280" s="37" t="n"/>
      <c r="W280" s="278" t="n"/>
    </row>
    <row r="281">
      <c r="A281" s="37" t="n"/>
      <c r="B281" s="37" t="n"/>
      <c r="C281" s="37" t="n"/>
      <c r="D281" s="37" t="n"/>
      <c r="E281" s="37" t="n"/>
      <c r="F281" s="37" t="n"/>
      <c r="G281" s="274" t="n"/>
      <c r="H281" s="37" t="n"/>
      <c r="I281" s="37" t="n"/>
      <c r="J281" s="37" t="n"/>
      <c r="K281" s="274" t="n"/>
      <c r="L281" s="37" t="n"/>
      <c r="M281" s="37" t="n"/>
      <c r="N281" s="276" t="n"/>
      <c r="O281" s="276" t="n"/>
      <c r="P281" s="276" t="n"/>
      <c r="Q281" s="276" t="n"/>
      <c r="R281" s="276" t="n"/>
      <c r="S281" s="37" t="n"/>
      <c r="T281" s="37" t="n"/>
      <c r="U281" s="37" t="n"/>
      <c r="V281" s="37" t="n"/>
      <c r="W281" s="278" t="n"/>
    </row>
    <row r="282">
      <c r="A282" s="37" t="n"/>
      <c r="B282" s="37" t="n"/>
      <c r="C282" s="37" t="n"/>
      <c r="D282" s="37" t="n"/>
      <c r="E282" s="37" t="n"/>
      <c r="F282" s="37" t="n"/>
      <c r="G282" s="274" t="n"/>
      <c r="H282" s="37" t="n"/>
      <c r="I282" s="37" t="n"/>
      <c r="J282" s="37" t="n"/>
      <c r="K282" s="274" t="n"/>
      <c r="L282" s="37" t="n"/>
      <c r="M282" s="37" t="n"/>
      <c r="N282" s="276" t="n"/>
      <c r="O282" s="276" t="n"/>
      <c r="P282" s="276" t="n"/>
      <c r="Q282" s="276" t="n"/>
      <c r="R282" s="276" t="n"/>
      <c r="S282" s="37" t="n"/>
      <c r="T282" s="37" t="n"/>
      <c r="U282" s="37" t="n"/>
      <c r="V282" s="37" t="n"/>
      <c r="W282" s="278" t="n"/>
    </row>
    <row r="283">
      <c r="A283" s="37" t="n"/>
      <c r="B283" s="37" t="n"/>
      <c r="C283" s="37" t="n"/>
      <c r="D283" s="37" t="n"/>
      <c r="E283" s="37" t="n"/>
      <c r="F283" s="37" t="n"/>
      <c r="G283" s="274" t="n"/>
      <c r="H283" s="37" t="n"/>
      <c r="I283" s="37" t="n"/>
      <c r="J283" s="37" t="n"/>
      <c r="K283" s="274" t="n"/>
      <c r="L283" s="37" t="n"/>
      <c r="M283" s="37" t="n"/>
      <c r="N283" s="276" t="n"/>
      <c r="O283" s="276" t="n"/>
      <c r="P283" s="276" t="n"/>
      <c r="Q283" s="276" t="n"/>
      <c r="R283" s="276" t="n"/>
      <c r="S283" s="37" t="n"/>
      <c r="T283" s="37" t="n"/>
      <c r="U283" s="37" t="n"/>
      <c r="V283" s="37" t="n"/>
      <c r="W283" s="278" t="n"/>
    </row>
    <row r="284">
      <c r="A284" s="37" t="n"/>
      <c r="B284" s="37" t="n"/>
      <c r="C284" s="37" t="n"/>
      <c r="D284" s="37" t="n"/>
      <c r="E284" s="37" t="n"/>
      <c r="F284" s="37" t="n"/>
      <c r="G284" s="274" t="n"/>
      <c r="H284" s="37" t="n"/>
      <c r="I284" s="37" t="n"/>
      <c r="J284" s="37" t="n"/>
      <c r="K284" s="274" t="n"/>
      <c r="L284" s="37" t="n"/>
      <c r="M284" s="37" t="n"/>
      <c r="N284" s="276" t="n"/>
      <c r="O284" s="276" t="n"/>
      <c r="P284" s="276" t="n"/>
      <c r="Q284" s="276" t="n"/>
      <c r="R284" s="276" t="n"/>
      <c r="S284" s="37" t="n"/>
      <c r="T284" s="37" t="n"/>
      <c r="U284" s="37" t="n"/>
      <c r="V284" s="37" t="n"/>
      <c r="W284" s="278" t="n"/>
    </row>
    <row r="285">
      <c r="A285" s="37" t="n"/>
      <c r="B285" s="37" t="n"/>
      <c r="C285" s="37" t="n"/>
      <c r="D285" s="37" t="n"/>
      <c r="E285" s="37" t="n"/>
      <c r="F285" s="37" t="n"/>
      <c r="G285" s="274" t="n"/>
      <c r="H285" s="37" t="n"/>
      <c r="I285" s="37" t="n"/>
      <c r="J285" s="37" t="n"/>
      <c r="K285" s="274" t="n"/>
      <c r="L285" s="37" t="n"/>
      <c r="M285" s="37" t="n"/>
      <c r="N285" s="276" t="n"/>
      <c r="O285" s="276" t="n"/>
      <c r="P285" s="276" t="n"/>
      <c r="Q285" s="276" t="n"/>
      <c r="R285" s="276" t="n"/>
      <c r="S285" s="37" t="n"/>
      <c r="T285" s="37" t="n"/>
      <c r="U285" s="37" t="n"/>
      <c r="V285" s="37" t="n"/>
      <c r="W285" s="278" t="n"/>
    </row>
    <row r="286">
      <c r="A286" s="37" t="n"/>
      <c r="B286" s="37" t="n"/>
      <c r="C286" s="37" t="n"/>
      <c r="D286" s="37" t="n"/>
      <c r="E286" s="37" t="n"/>
      <c r="F286" s="37" t="n"/>
      <c r="G286" s="274" t="n"/>
      <c r="H286" s="37" t="n"/>
      <c r="I286" s="37" t="n"/>
      <c r="J286" s="37" t="n"/>
      <c r="K286" s="274" t="n"/>
      <c r="L286" s="37" t="n"/>
      <c r="M286" s="37" t="n"/>
      <c r="N286" s="276" t="n"/>
      <c r="O286" s="276" t="n"/>
      <c r="P286" s="276" t="n"/>
      <c r="Q286" s="276" t="n"/>
      <c r="R286" s="276" t="n"/>
      <c r="S286" s="37" t="n"/>
      <c r="T286" s="37" t="n"/>
      <c r="U286" s="37" t="n"/>
      <c r="V286" s="37" t="n"/>
      <c r="W286" s="278" t="n"/>
    </row>
    <row r="287">
      <c r="A287" s="37" t="n"/>
      <c r="B287" s="37" t="n"/>
      <c r="C287" s="37" t="n"/>
      <c r="D287" s="37" t="n"/>
      <c r="E287" s="37" t="n"/>
      <c r="F287" s="37" t="n"/>
      <c r="G287" s="274" t="n"/>
      <c r="H287" s="37" t="n"/>
      <c r="I287" s="37" t="n"/>
      <c r="J287" s="37" t="n"/>
      <c r="K287" s="274" t="n"/>
      <c r="L287" s="37" t="n"/>
      <c r="M287" s="37" t="n"/>
      <c r="N287" s="276" t="n"/>
      <c r="O287" s="276" t="n"/>
      <c r="P287" s="276" t="n"/>
      <c r="Q287" s="276" t="n"/>
      <c r="R287" s="276" t="n"/>
      <c r="S287" s="37" t="n"/>
      <c r="T287" s="37" t="n"/>
      <c r="U287" s="37" t="n"/>
      <c r="V287" s="37" t="n"/>
      <c r="W287" s="278" t="n"/>
    </row>
    <row r="288">
      <c r="A288" s="37" t="n"/>
      <c r="B288" s="37" t="n"/>
      <c r="C288" s="37" t="n"/>
      <c r="D288" s="37" t="n"/>
      <c r="E288" s="37" t="n"/>
      <c r="F288" s="37" t="n"/>
      <c r="G288" s="274" t="n"/>
      <c r="H288" s="37" t="n"/>
      <c r="I288" s="37" t="n"/>
      <c r="J288" s="37" t="n"/>
      <c r="K288" s="274" t="n"/>
      <c r="L288" s="37" t="n"/>
      <c r="M288" s="37" t="n"/>
      <c r="N288" s="276" t="n"/>
      <c r="O288" s="276" t="n"/>
      <c r="P288" s="276" t="n"/>
      <c r="Q288" s="276" t="n"/>
      <c r="R288" s="276" t="n"/>
      <c r="S288" s="37" t="n"/>
      <c r="T288" s="37" t="n"/>
      <c r="U288" s="37" t="n"/>
      <c r="V288" s="37" t="n"/>
      <c r="W288" s="278" t="n"/>
    </row>
    <row r="289">
      <c r="A289" s="37" t="n"/>
      <c r="B289" s="37" t="n"/>
      <c r="C289" s="37" t="n"/>
      <c r="D289" s="37" t="n"/>
      <c r="E289" s="37" t="n"/>
      <c r="F289" s="37" t="n"/>
      <c r="G289" s="274" t="n"/>
      <c r="H289" s="37" t="n"/>
      <c r="I289" s="37" t="n"/>
      <c r="J289" s="37" t="n"/>
      <c r="K289" s="274" t="n"/>
      <c r="L289" s="37" t="n"/>
      <c r="M289" s="37" t="n"/>
      <c r="N289" s="276" t="n"/>
      <c r="O289" s="276" t="n"/>
      <c r="P289" s="276" t="n"/>
      <c r="Q289" s="276" t="n"/>
      <c r="R289" s="276" t="n"/>
      <c r="S289" s="37" t="n"/>
      <c r="T289" s="37" t="n"/>
      <c r="U289" s="37" t="n"/>
      <c r="V289" s="37" t="n"/>
      <c r="W289" s="278" t="n"/>
    </row>
    <row r="290">
      <c r="A290" s="37" t="n"/>
      <c r="B290" s="37" t="n"/>
      <c r="C290" s="37" t="n"/>
      <c r="D290" s="37" t="n"/>
      <c r="E290" s="37" t="n"/>
      <c r="F290" s="37" t="n"/>
      <c r="G290" s="274" t="n"/>
      <c r="H290" s="37" t="n"/>
      <c r="I290" s="37" t="n"/>
      <c r="J290" s="37" t="n"/>
      <c r="K290" s="274" t="n"/>
      <c r="L290" s="37" t="n"/>
      <c r="M290" s="37" t="n"/>
      <c r="N290" s="276" t="n"/>
      <c r="O290" s="276" t="n"/>
      <c r="P290" s="276" t="n"/>
      <c r="Q290" s="276" t="n"/>
      <c r="R290" s="276" t="n"/>
      <c r="S290" s="37" t="n"/>
      <c r="T290" s="37" t="n"/>
      <c r="U290" s="37" t="n"/>
      <c r="V290" s="37" t="n"/>
      <c r="W290" s="278" t="n"/>
    </row>
    <row r="291">
      <c r="A291" s="37" t="n"/>
      <c r="B291" s="37" t="n"/>
      <c r="C291" s="37" t="n"/>
      <c r="D291" s="37" t="n"/>
      <c r="E291" s="37" t="n"/>
      <c r="F291" s="37" t="n"/>
      <c r="G291" s="274" t="n"/>
      <c r="H291" s="37" t="n"/>
      <c r="I291" s="37" t="n"/>
      <c r="J291" s="37" t="n"/>
      <c r="K291" s="274" t="n"/>
      <c r="L291" s="37" t="n"/>
      <c r="M291" s="37" t="n"/>
      <c r="N291" s="276" t="n"/>
      <c r="O291" s="276" t="n"/>
      <c r="P291" s="276" t="n"/>
      <c r="Q291" s="276" t="n"/>
      <c r="R291" s="276" t="n"/>
      <c r="S291" s="37" t="n"/>
      <c r="T291" s="37" t="n"/>
      <c r="U291" s="37" t="n"/>
      <c r="V291" s="37" t="n"/>
      <c r="W291" s="278" t="n"/>
    </row>
    <row r="292">
      <c r="A292" s="37" t="n"/>
      <c r="B292" s="37" t="n"/>
      <c r="C292" s="37" t="n"/>
      <c r="D292" s="37" t="n"/>
      <c r="E292" s="37" t="n"/>
      <c r="F292" s="37" t="n"/>
      <c r="G292" s="274" t="n"/>
      <c r="H292" s="37" t="n"/>
      <c r="I292" s="37" t="n"/>
      <c r="J292" s="37" t="n"/>
      <c r="K292" s="274" t="n"/>
      <c r="L292" s="37" t="n"/>
      <c r="M292" s="37" t="n"/>
      <c r="N292" s="276" t="n"/>
      <c r="O292" s="276" t="n"/>
      <c r="P292" s="276" t="n"/>
      <c r="Q292" s="276" t="n"/>
      <c r="R292" s="276" t="n"/>
      <c r="S292" s="37" t="n"/>
      <c r="T292" s="37" t="n"/>
      <c r="U292" s="37" t="n"/>
      <c r="V292" s="37" t="n"/>
      <c r="W292" s="278" t="n"/>
    </row>
    <row r="293">
      <c r="A293" s="37" t="n"/>
      <c r="B293" s="37" t="n"/>
      <c r="C293" s="37" t="n"/>
      <c r="D293" s="37" t="n"/>
      <c r="E293" s="37" t="n"/>
      <c r="F293" s="37" t="n"/>
      <c r="G293" s="274" t="n"/>
      <c r="H293" s="37" t="n"/>
      <c r="I293" s="37" t="n"/>
      <c r="J293" s="37" t="n"/>
      <c r="K293" s="274" t="n"/>
      <c r="L293" s="37" t="n"/>
      <c r="M293" s="37" t="n"/>
      <c r="N293" s="276" t="n"/>
      <c r="O293" s="276" t="n"/>
      <c r="P293" s="276" t="n"/>
      <c r="Q293" s="276" t="n"/>
      <c r="R293" s="276" t="n"/>
      <c r="S293" s="37" t="n"/>
      <c r="T293" s="37" t="n"/>
      <c r="U293" s="37" t="n"/>
      <c r="V293" s="37" t="n"/>
      <c r="W293" s="278" t="n"/>
    </row>
    <row r="294">
      <c r="A294" s="37" t="n"/>
      <c r="B294" s="37" t="n"/>
      <c r="C294" s="37" t="n"/>
      <c r="D294" s="37" t="n"/>
      <c r="E294" s="37" t="n"/>
      <c r="F294" s="37" t="n"/>
      <c r="G294" s="274" t="n"/>
      <c r="H294" s="37" t="n"/>
      <c r="I294" s="37" t="n"/>
      <c r="J294" s="37" t="n"/>
      <c r="K294" s="274" t="n"/>
      <c r="L294" s="37" t="n"/>
      <c r="M294" s="37" t="n"/>
      <c r="N294" s="276" t="n"/>
      <c r="O294" s="276" t="n"/>
      <c r="P294" s="276" t="n"/>
      <c r="Q294" s="276" t="n"/>
      <c r="R294" s="276" t="n"/>
      <c r="S294" s="37" t="n"/>
      <c r="T294" s="37" t="n"/>
      <c r="U294" s="37" t="n"/>
      <c r="V294" s="37" t="n"/>
      <c r="W294" s="278" t="n"/>
    </row>
    <row r="295">
      <c r="A295" s="37" t="n"/>
      <c r="B295" s="37" t="n"/>
      <c r="C295" s="37" t="n"/>
      <c r="D295" s="37" t="n"/>
      <c r="E295" s="37" t="n"/>
      <c r="F295" s="37" t="n"/>
      <c r="G295" s="274" t="n"/>
      <c r="H295" s="37" t="n"/>
      <c r="I295" s="37" t="n"/>
      <c r="J295" s="37" t="n"/>
      <c r="K295" s="274" t="n"/>
      <c r="L295" s="37" t="n"/>
      <c r="M295" s="37" t="n"/>
      <c r="N295" s="276" t="n"/>
      <c r="O295" s="276" t="n"/>
      <c r="P295" s="276" t="n"/>
      <c r="Q295" s="276" t="n"/>
      <c r="R295" s="276" t="n"/>
      <c r="S295" s="37" t="n"/>
      <c r="T295" s="37" t="n"/>
      <c r="U295" s="37" t="n"/>
      <c r="V295" s="37" t="n"/>
      <c r="W295" s="278" t="n"/>
    </row>
    <row r="296">
      <c r="A296" s="37" t="n"/>
      <c r="B296" s="37" t="n"/>
      <c r="C296" s="37" t="n"/>
      <c r="D296" s="37" t="n"/>
      <c r="E296" s="37" t="n"/>
      <c r="F296" s="37" t="n"/>
      <c r="G296" s="274" t="n"/>
      <c r="H296" s="37" t="n"/>
      <c r="I296" s="37" t="n"/>
      <c r="J296" s="37" t="n"/>
      <c r="K296" s="274" t="n"/>
      <c r="L296" s="37" t="n"/>
      <c r="M296" s="37" t="n"/>
      <c r="N296" s="276" t="n"/>
      <c r="O296" s="276" t="n"/>
      <c r="P296" s="276" t="n"/>
      <c r="Q296" s="276" t="n"/>
      <c r="R296" s="276" t="n"/>
      <c r="S296" s="37" t="n"/>
      <c r="T296" s="37" t="n"/>
      <c r="U296" s="37" t="n"/>
      <c r="V296" s="37" t="n"/>
      <c r="W296" s="278" t="n"/>
    </row>
    <row r="297">
      <c r="A297" s="37" t="n"/>
      <c r="B297" s="37" t="n"/>
      <c r="C297" s="37" t="n"/>
      <c r="D297" s="37" t="n"/>
      <c r="E297" s="37" t="n"/>
      <c r="F297" s="37" t="n"/>
      <c r="G297" s="274" t="n"/>
      <c r="H297" s="37" t="n"/>
      <c r="I297" s="37" t="n"/>
      <c r="J297" s="37" t="n"/>
      <c r="K297" s="274" t="n"/>
      <c r="L297" s="37" t="n"/>
      <c r="M297" s="37" t="n"/>
      <c r="N297" s="276" t="n"/>
      <c r="O297" s="276" t="n"/>
      <c r="P297" s="276" t="n"/>
      <c r="Q297" s="276" t="n"/>
      <c r="R297" s="276" t="n"/>
      <c r="S297" s="37" t="n"/>
      <c r="T297" s="37" t="n"/>
      <c r="U297" s="37" t="n"/>
      <c r="V297" s="37" t="n"/>
      <c r="W297" s="278" t="n"/>
    </row>
    <row r="298">
      <c r="A298" s="37" t="n"/>
      <c r="B298" s="37" t="n"/>
      <c r="C298" s="37" t="n"/>
      <c r="D298" s="37" t="n"/>
      <c r="E298" s="37" t="n"/>
      <c r="F298" s="37" t="n"/>
      <c r="G298" s="274" t="n"/>
      <c r="H298" s="37" t="n"/>
      <c r="I298" s="37" t="n"/>
      <c r="J298" s="37" t="n"/>
      <c r="K298" s="274" t="n"/>
      <c r="L298" s="37" t="n"/>
      <c r="M298" s="37" t="n"/>
      <c r="N298" s="276" t="n"/>
      <c r="O298" s="276" t="n"/>
      <c r="P298" s="276" t="n"/>
      <c r="Q298" s="276" t="n"/>
      <c r="R298" s="276" t="n"/>
      <c r="S298" s="37" t="n"/>
      <c r="T298" s="37" t="n"/>
      <c r="U298" s="37" t="n"/>
      <c r="V298" s="37" t="n"/>
      <c r="W298" s="278" t="n"/>
    </row>
    <row r="299">
      <c r="A299" s="37" t="n"/>
      <c r="B299" s="37" t="n"/>
      <c r="C299" s="37" t="n"/>
      <c r="D299" s="37" t="n"/>
      <c r="E299" s="37" t="n"/>
      <c r="F299" s="37" t="n"/>
      <c r="G299" s="274" t="n"/>
      <c r="H299" s="37" t="n"/>
      <c r="I299" s="37" t="n"/>
      <c r="J299" s="37" t="n"/>
      <c r="K299" s="274" t="n"/>
      <c r="L299" s="37" t="n"/>
      <c r="M299" s="37" t="n"/>
      <c r="N299" s="276" t="n"/>
      <c r="O299" s="276" t="n"/>
      <c r="P299" s="276" t="n"/>
      <c r="Q299" s="276" t="n"/>
      <c r="R299" s="276" t="n"/>
      <c r="S299" s="37" t="n"/>
      <c r="T299" s="37" t="n"/>
      <c r="U299" s="37" t="n"/>
      <c r="V299" s="37" t="n"/>
      <c r="W299" s="278" t="n"/>
    </row>
    <row r="300">
      <c r="A300" s="37" t="n"/>
      <c r="B300" s="37" t="n"/>
      <c r="C300" s="37" t="n"/>
      <c r="D300" s="37" t="n"/>
      <c r="E300" s="37" t="n"/>
      <c r="F300" s="37" t="n"/>
      <c r="G300" s="274" t="n"/>
      <c r="H300" s="37" t="n"/>
      <c r="I300" s="37" t="n"/>
      <c r="J300" s="37" t="n"/>
      <c r="K300" s="274" t="n"/>
      <c r="L300" s="37" t="n"/>
      <c r="M300" s="37" t="n"/>
      <c r="N300" s="276" t="n"/>
      <c r="O300" s="276" t="n"/>
      <c r="P300" s="276" t="n"/>
      <c r="Q300" s="276" t="n"/>
      <c r="R300" s="276" t="n"/>
      <c r="S300" s="37" t="n"/>
      <c r="T300" s="37" t="n"/>
      <c r="U300" s="37" t="n"/>
      <c r="V300" s="37" t="n"/>
      <c r="W300" s="278" t="n"/>
    </row>
    <row r="301">
      <c r="A301" s="37" t="n"/>
      <c r="B301" s="37" t="n"/>
      <c r="C301" s="37" t="n"/>
      <c r="D301" s="37" t="n"/>
      <c r="E301" s="37" t="n"/>
      <c r="F301" s="37" t="n"/>
      <c r="G301" s="274" t="n"/>
      <c r="H301" s="37" t="n"/>
      <c r="I301" s="37" t="n"/>
      <c r="J301" s="37" t="n"/>
      <c r="K301" s="274" t="n"/>
      <c r="L301" s="37" t="n"/>
      <c r="M301" s="37" t="n"/>
      <c r="N301" s="276" t="n"/>
      <c r="O301" s="276" t="n"/>
      <c r="P301" s="276" t="n"/>
      <c r="Q301" s="276" t="n"/>
      <c r="R301" s="276" t="n"/>
      <c r="S301" s="37" t="n"/>
      <c r="T301" s="37" t="n"/>
      <c r="U301" s="37" t="n"/>
      <c r="V301" s="37" t="n"/>
      <c r="W301" s="278" t="n"/>
    </row>
    <row r="302">
      <c r="A302" s="37" t="n"/>
      <c r="B302" s="37" t="n"/>
      <c r="C302" s="37" t="n"/>
      <c r="D302" s="37" t="n"/>
      <c r="E302" s="37" t="n"/>
      <c r="F302" s="37" t="n"/>
      <c r="G302" s="274" t="n"/>
      <c r="H302" s="37" t="n"/>
      <c r="I302" s="37" t="n"/>
      <c r="J302" s="37" t="n"/>
      <c r="K302" s="274" t="n"/>
      <c r="L302" s="37" t="n"/>
      <c r="M302" s="37" t="n"/>
      <c r="N302" s="276" t="n"/>
      <c r="O302" s="276" t="n"/>
      <c r="P302" s="276" t="n"/>
      <c r="Q302" s="276" t="n"/>
      <c r="R302" s="276" t="n"/>
      <c r="S302" s="37" t="n"/>
      <c r="T302" s="37" t="n"/>
      <c r="U302" s="37" t="n"/>
      <c r="V302" s="37" t="n"/>
      <c r="W302" s="278" t="n"/>
    </row>
    <row r="303">
      <c r="A303" s="37" t="n"/>
      <c r="B303" s="37" t="n"/>
      <c r="C303" s="37" t="n"/>
      <c r="D303" s="37" t="n"/>
      <c r="E303" s="37" t="n"/>
      <c r="F303" s="37" t="n"/>
      <c r="G303" s="274" t="n"/>
      <c r="H303" s="37" t="n"/>
      <c r="I303" s="37" t="n"/>
      <c r="J303" s="37" t="n"/>
      <c r="K303" s="274" t="n"/>
      <c r="L303" s="37" t="n"/>
      <c r="M303" s="37" t="n"/>
      <c r="N303" s="276" t="n"/>
      <c r="O303" s="276" t="n"/>
      <c r="P303" s="276" t="n"/>
      <c r="Q303" s="276" t="n"/>
      <c r="R303" s="276" t="n"/>
      <c r="S303" s="37" t="n"/>
      <c r="T303" s="37" t="n"/>
      <c r="U303" s="37" t="n"/>
      <c r="V303" s="37" t="n"/>
      <c r="W303" s="278" t="n"/>
    </row>
    <row r="304">
      <c r="A304" s="37" t="n"/>
      <c r="B304" s="37" t="n"/>
      <c r="C304" s="37" t="n"/>
      <c r="D304" s="37" t="n"/>
      <c r="E304" s="37" t="n"/>
      <c r="F304" s="37" t="n"/>
      <c r="G304" s="274" t="n"/>
      <c r="H304" s="37" t="n"/>
      <c r="I304" s="37" t="n"/>
      <c r="J304" s="37" t="n"/>
      <c r="K304" s="274" t="n"/>
      <c r="L304" s="37" t="n"/>
      <c r="M304" s="37" t="n"/>
      <c r="N304" s="276" t="n"/>
      <c r="O304" s="276" t="n"/>
      <c r="P304" s="276" t="n"/>
      <c r="Q304" s="276" t="n"/>
      <c r="R304" s="276" t="n"/>
      <c r="S304" s="37" t="n"/>
      <c r="T304" s="37" t="n"/>
      <c r="U304" s="37" t="n"/>
      <c r="V304" s="37" t="n"/>
      <c r="W304" s="278" t="n"/>
    </row>
    <row r="305">
      <c r="A305" s="37" t="n"/>
      <c r="B305" s="37" t="n"/>
      <c r="C305" s="37" t="n"/>
      <c r="D305" s="37" t="n"/>
      <c r="E305" s="37" t="n"/>
      <c r="F305" s="37" t="n"/>
      <c r="G305" s="274" t="n"/>
      <c r="H305" s="37" t="n"/>
      <c r="I305" s="37" t="n"/>
      <c r="J305" s="37" t="n"/>
      <c r="K305" s="274" t="n"/>
      <c r="L305" s="37" t="n"/>
      <c r="M305" s="37" t="n"/>
      <c r="N305" s="276" t="n"/>
      <c r="O305" s="276" t="n"/>
      <c r="P305" s="276" t="n"/>
      <c r="Q305" s="276" t="n"/>
      <c r="R305" s="276" t="n"/>
      <c r="S305" s="37" t="n"/>
      <c r="T305" s="37" t="n"/>
      <c r="U305" s="37" t="n"/>
      <c r="V305" s="37" t="n"/>
      <c r="W305" s="278" t="n"/>
    </row>
    <row r="306">
      <c r="A306" s="37" t="n"/>
      <c r="B306" s="37" t="n"/>
      <c r="C306" s="37" t="n"/>
      <c r="D306" s="37" t="n"/>
      <c r="E306" s="37" t="n"/>
      <c r="F306" s="37" t="n"/>
      <c r="G306" s="274" t="n"/>
      <c r="H306" s="37" t="n"/>
      <c r="I306" s="37" t="n"/>
      <c r="J306" s="37" t="n"/>
      <c r="K306" s="274" t="n"/>
      <c r="L306" s="37" t="n"/>
      <c r="M306" s="37" t="n"/>
      <c r="N306" s="276" t="n"/>
      <c r="O306" s="276" t="n"/>
      <c r="P306" s="276" t="n"/>
      <c r="Q306" s="276" t="n"/>
      <c r="R306" s="276" t="n"/>
      <c r="S306" s="37" t="n"/>
      <c r="T306" s="37" t="n"/>
      <c r="U306" s="37" t="n"/>
      <c r="V306" s="37" t="n"/>
      <c r="W306" s="278" t="n"/>
    </row>
    <row r="307">
      <c r="A307" s="37" t="n"/>
      <c r="B307" s="37" t="n"/>
      <c r="C307" s="37" t="n"/>
      <c r="D307" s="37" t="n"/>
      <c r="E307" s="37" t="n"/>
      <c r="F307" s="37" t="n"/>
      <c r="G307" s="274" t="n"/>
      <c r="H307" s="37" t="n"/>
      <c r="I307" s="37" t="n"/>
      <c r="J307" s="37" t="n"/>
      <c r="K307" s="274" t="n"/>
      <c r="L307" s="37" t="n"/>
      <c r="M307" s="37" t="n"/>
      <c r="N307" s="276" t="n"/>
      <c r="O307" s="276" t="n"/>
      <c r="P307" s="276" t="n"/>
      <c r="Q307" s="276" t="n"/>
      <c r="R307" s="276" t="n"/>
      <c r="S307" s="37" t="n"/>
      <c r="T307" s="37" t="n"/>
      <c r="U307" s="37" t="n"/>
      <c r="V307" s="37" t="n"/>
      <c r="W307" s="278" t="n"/>
    </row>
    <row r="308">
      <c r="A308" s="37" t="n"/>
      <c r="B308" s="37" t="n"/>
      <c r="C308" s="37" t="n"/>
      <c r="D308" s="37" t="n"/>
      <c r="E308" s="37" t="n"/>
      <c r="F308" s="37" t="n"/>
      <c r="G308" s="274" t="n"/>
      <c r="H308" s="37" t="n"/>
      <c r="I308" s="37" t="n"/>
      <c r="J308" s="37" t="n"/>
      <c r="K308" s="274" t="n"/>
      <c r="L308" s="37" t="n"/>
      <c r="M308" s="37" t="n"/>
      <c r="N308" s="276" t="n"/>
      <c r="O308" s="276" t="n"/>
      <c r="P308" s="276" t="n"/>
      <c r="Q308" s="276" t="n"/>
      <c r="R308" s="276" t="n"/>
      <c r="S308" s="37" t="n"/>
      <c r="T308" s="37" t="n"/>
      <c r="U308" s="37" t="n"/>
      <c r="V308" s="37" t="n"/>
      <c r="W308" s="278" t="n"/>
    </row>
    <row r="309">
      <c r="A309" s="37" t="n"/>
      <c r="B309" s="37" t="n"/>
      <c r="C309" s="37" t="n"/>
      <c r="D309" s="37" t="n"/>
      <c r="E309" s="37" t="n"/>
      <c r="F309" s="37" t="n"/>
      <c r="G309" s="274" t="n"/>
      <c r="H309" s="37" t="n"/>
      <c r="I309" s="37" t="n"/>
      <c r="J309" s="37" t="n"/>
      <c r="K309" s="274" t="n"/>
      <c r="L309" s="37" t="n"/>
      <c r="M309" s="37" t="n"/>
      <c r="N309" s="276" t="n"/>
      <c r="O309" s="276" t="n"/>
      <c r="P309" s="276" t="n"/>
      <c r="Q309" s="276" t="n"/>
      <c r="R309" s="276" t="n"/>
      <c r="S309" s="37" t="n"/>
      <c r="T309" s="37" t="n"/>
      <c r="U309" s="37" t="n"/>
      <c r="V309" s="37" t="n"/>
      <c r="W309" s="278" t="n"/>
    </row>
    <row r="310">
      <c r="A310" s="37" t="n"/>
      <c r="B310" s="37" t="n"/>
      <c r="C310" s="37" t="n"/>
      <c r="D310" s="37" t="n"/>
      <c r="E310" s="37" t="n"/>
      <c r="F310" s="37" t="n"/>
      <c r="G310" s="274" t="n"/>
      <c r="H310" s="37" t="n"/>
      <c r="I310" s="37" t="n"/>
      <c r="J310" s="37" t="n"/>
      <c r="K310" s="274" t="n"/>
      <c r="L310" s="37" t="n"/>
      <c r="M310" s="37" t="n"/>
      <c r="N310" s="276" t="n"/>
      <c r="O310" s="276" t="n"/>
      <c r="P310" s="276" t="n"/>
      <c r="Q310" s="276" t="n"/>
      <c r="R310" s="276" t="n"/>
      <c r="S310" s="37" t="n"/>
      <c r="T310" s="37" t="n"/>
      <c r="U310" s="37" t="n"/>
      <c r="V310" s="37" t="n"/>
      <c r="W310" s="278" t="n"/>
    </row>
    <row r="311">
      <c r="A311" s="37" t="n"/>
      <c r="B311" s="37" t="n"/>
      <c r="C311" s="37" t="n"/>
      <c r="D311" s="37" t="n"/>
      <c r="E311" s="37" t="n"/>
      <c r="F311" s="37" t="n"/>
      <c r="G311" s="274" t="n"/>
      <c r="H311" s="37" t="n"/>
      <c r="I311" s="37" t="n"/>
      <c r="J311" s="37" t="n"/>
      <c r="K311" s="274" t="n"/>
      <c r="L311" s="37" t="n"/>
      <c r="M311" s="37" t="n"/>
      <c r="N311" s="276" t="n"/>
      <c r="O311" s="276" t="n"/>
      <c r="P311" s="276" t="n"/>
      <c r="Q311" s="276" t="n"/>
      <c r="R311" s="276" t="n"/>
      <c r="S311" s="37" t="n"/>
      <c r="T311" s="37" t="n"/>
      <c r="U311" s="37" t="n"/>
      <c r="V311" s="37" t="n"/>
      <c r="W311" s="278" t="n"/>
    </row>
    <row r="312">
      <c r="A312" s="37" t="n"/>
      <c r="B312" s="37" t="n"/>
      <c r="C312" s="37" t="n"/>
      <c r="D312" s="37" t="n"/>
      <c r="E312" s="37" t="n"/>
      <c r="F312" s="37" t="n"/>
      <c r="G312" s="274" t="n"/>
      <c r="H312" s="37" t="n"/>
      <c r="I312" s="37" t="n"/>
      <c r="J312" s="37" t="n"/>
      <c r="K312" s="274" t="n"/>
      <c r="L312" s="37" t="n"/>
      <c r="M312" s="37" t="n"/>
      <c r="N312" s="276" t="n"/>
      <c r="O312" s="276" t="n"/>
      <c r="P312" s="276" t="n"/>
      <c r="Q312" s="276" t="n"/>
      <c r="R312" s="276" t="n"/>
      <c r="S312" s="37" t="n"/>
      <c r="T312" s="37" t="n"/>
      <c r="U312" s="37" t="n"/>
      <c r="V312" s="37" t="n"/>
      <c r="W312" s="278" t="n"/>
    </row>
    <row r="313">
      <c r="A313" s="37" t="n"/>
      <c r="B313" s="37" t="n"/>
      <c r="C313" s="37" t="n"/>
      <c r="D313" s="37" t="n"/>
      <c r="E313" s="37" t="n"/>
      <c r="F313" s="37" t="n"/>
      <c r="G313" s="274" t="n"/>
      <c r="H313" s="37" t="n"/>
      <c r="I313" s="37" t="n"/>
      <c r="J313" s="37" t="n"/>
      <c r="K313" s="274" t="n"/>
      <c r="L313" s="37" t="n"/>
      <c r="M313" s="37" t="n"/>
      <c r="N313" s="276" t="n"/>
      <c r="O313" s="276" t="n"/>
      <c r="P313" s="276" t="n"/>
      <c r="Q313" s="276" t="n"/>
      <c r="R313" s="276" t="n"/>
      <c r="S313" s="37" t="n"/>
      <c r="T313" s="37" t="n"/>
      <c r="U313" s="37" t="n"/>
      <c r="V313" s="37" t="n"/>
      <c r="W313" s="278" t="n"/>
    </row>
    <row r="314">
      <c r="A314" s="37" t="n"/>
      <c r="B314" s="37" t="n"/>
      <c r="C314" s="37" t="n"/>
      <c r="D314" s="37" t="n"/>
      <c r="E314" s="37" t="n"/>
      <c r="F314" s="37" t="n"/>
      <c r="G314" s="274" t="n"/>
      <c r="H314" s="37" t="n"/>
      <c r="I314" s="37" t="n"/>
      <c r="J314" s="37" t="n"/>
      <c r="K314" s="274" t="n"/>
      <c r="L314" s="37" t="n"/>
      <c r="M314" s="37" t="n"/>
      <c r="N314" s="276" t="n"/>
      <c r="O314" s="276" t="n"/>
      <c r="P314" s="276" t="n"/>
      <c r="Q314" s="276" t="n"/>
      <c r="R314" s="276" t="n"/>
      <c r="S314" s="37" t="n"/>
      <c r="T314" s="37" t="n"/>
      <c r="U314" s="37" t="n"/>
      <c r="V314" s="37" t="n"/>
      <c r="W314" s="278" t="n"/>
    </row>
    <row r="315">
      <c r="A315" s="37" t="n"/>
      <c r="B315" s="37" t="n"/>
      <c r="C315" s="37" t="n"/>
      <c r="D315" s="37" t="n"/>
      <c r="E315" s="37" t="n"/>
      <c r="F315" s="37" t="n"/>
      <c r="G315" s="274" t="n"/>
      <c r="H315" s="37" t="n"/>
      <c r="I315" s="37" t="n"/>
      <c r="J315" s="37" t="n"/>
      <c r="K315" s="274" t="n"/>
      <c r="L315" s="37" t="n"/>
      <c r="M315" s="37" t="n"/>
      <c r="N315" s="276" t="n"/>
      <c r="O315" s="276" t="n"/>
      <c r="P315" s="276" t="n"/>
      <c r="Q315" s="276" t="n"/>
      <c r="R315" s="276" t="n"/>
      <c r="S315" s="37" t="n"/>
      <c r="T315" s="37" t="n"/>
      <c r="U315" s="37" t="n"/>
      <c r="V315" s="37" t="n"/>
      <c r="W315" s="278" t="n"/>
    </row>
    <row r="316">
      <c r="A316" s="37" t="n"/>
      <c r="B316" s="37" t="n"/>
      <c r="C316" s="37" t="n"/>
      <c r="D316" s="37" t="n"/>
      <c r="E316" s="37" t="n"/>
      <c r="F316" s="37" t="n"/>
      <c r="G316" s="274" t="n"/>
      <c r="H316" s="37" t="n"/>
      <c r="I316" s="37" t="n"/>
      <c r="J316" s="37" t="n"/>
      <c r="K316" s="274" t="n"/>
      <c r="L316" s="37" t="n"/>
      <c r="M316" s="37" t="n"/>
      <c r="N316" s="276" t="n"/>
      <c r="O316" s="276" t="n"/>
      <c r="P316" s="276" t="n"/>
      <c r="Q316" s="276" t="n"/>
      <c r="R316" s="276" t="n"/>
      <c r="S316" s="37" t="n"/>
      <c r="T316" s="37" t="n"/>
      <c r="U316" s="37" t="n"/>
      <c r="V316" s="37" t="n"/>
      <c r="W316" s="278" t="n"/>
    </row>
    <row r="317">
      <c r="A317" s="37" t="n"/>
      <c r="B317" s="37" t="n"/>
      <c r="C317" s="37" t="n"/>
      <c r="D317" s="37" t="n"/>
      <c r="E317" s="37" t="n"/>
      <c r="F317" s="37" t="n"/>
      <c r="G317" s="274" t="n"/>
      <c r="H317" s="37" t="n"/>
      <c r="I317" s="37" t="n"/>
      <c r="J317" s="37" t="n"/>
      <c r="K317" s="274" t="n"/>
      <c r="L317" s="37" t="n"/>
      <c r="M317" s="37" t="n"/>
      <c r="N317" s="276" t="n"/>
      <c r="O317" s="276" t="n"/>
      <c r="P317" s="276" t="n"/>
      <c r="Q317" s="276" t="n"/>
      <c r="R317" s="276" t="n"/>
      <c r="S317" s="37" t="n"/>
      <c r="T317" s="37" t="n"/>
      <c r="U317" s="37" t="n"/>
      <c r="V317" s="37" t="n"/>
      <c r="W317" s="278" t="n"/>
    </row>
    <row r="318">
      <c r="A318" s="37" t="n"/>
      <c r="B318" s="37" t="n"/>
      <c r="C318" s="37" t="n"/>
      <c r="D318" s="37" t="n"/>
      <c r="E318" s="37" t="n"/>
      <c r="F318" s="37" t="n"/>
      <c r="G318" s="274" t="n"/>
      <c r="H318" s="37" t="n"/>
      <c r="I318" s="37" t="n"/>
      <c r="J318" s="37" t="n"/>
      <c r="K318" s="274" t="n"/>
      <c r="L318" s="37" t="n"/>
      <c r="M318" s="37" t="n"/>
      <c r="N318" s="276" t="n"/>
      <c r="O318" s="276" t="n"/>
      <c r="P318" s="276" t="n"/>
      <c r="Q318" s="276" t="n"/>
      <c r="R318" s="276" t="n"/>
      <c r="S318" s="37" t="n"/>
      <c r="T318" s="37" t="n"/>
      <c r="U318" s="37" t="n"/>
      <c r="V318" s="37" t="n"/>
      <c r="W318" s="278" t="n"/>
    </row>
    <row r="319">
      <c r="A319" s="37" t="n"/>
      <c r="B319" s="37" t="n"/>
      <c r="C319" s="37" t="n"/>
      <c r="D319" s="37" t="n"/>
      <c r="E319" s="37" t="n"/>
      <c r="F319" s="37" t="n"/>
      <c r="G319" s="274" t="n"/>
      <c r="H319" s="37" t="n"/>
      <c r="I319" s="37" t="n"/>
      <c r="J319" s="37" t="n"/>
      <c r="K319" s="274" t="n"/>
      <c r="L319" s="37" t="n"/>
      <c r="M319" s="37" t="n"/>
      <c r="N319" s="276" t="n"/>
      <c r="O319" s="276" t="n"/>
      <c r="P319" s="276" t="n"/>
      <c r="Q319" s="276" t="n"/>
      <c r="R319" s="276" t="n"/>
      <c r="S319" s="37" t="n"/>
      <c r="T319" s="37" t="n"/>
      <c r="U319" s="37" t="n"/>
      <c r="V319" s="37" t="n"/>
      <c r="W319" s="278" t="n"/>
    </row>
    <row r="320">
      <c r="A320" s="37" t="n"/>
      <c r="B320" s="37" t="n"/>
      <c r="C320" s="37" t="n"/>
      <c r="D320" s="37" t="n"/>
      <c r="E320" s="37" t="n"/>
      <c r="F320" s="37" t="n"/>
      <c r="G320" s="274" t="n"/>
      <c r="H320" s="37" t="n"/>
      <c r="I320" s="37" t="n"/>
      <c r="J320" s="37" t="n"/>
      <c r="K320" s="274" t="n"/>
      <c r="L320" s="37" t="n"/>
      <c r="M320" s="37" t="n"/>
      <c r="N320" s="276" t="n"/>
      <c r="O320" s="276" t="n"/>
      <c r="P320" s="276" t="n"/>
      <c r="Q320" s="276" t="n"/>
      <c r="R320" s="276" t="n"/>
      <c r="S320" s="37" t="n"/>
      <c r="T320" s="37" t="n"/>
      <c r="U320" s="37" t="n"/>
      <c r="V320" s="37" t="n"/>
      <c r="W320" s="278" t="n"/>
    </row>
    <row r="321">
      <c r="A321" s="37" t="n"/>
      <c r="B321" s="37" t="n"/>
      <c r="C321" s="37" t="n"/>
      <c r="D321" s="37" t="n"/>
      <c r="E321" s="37" t="n"/>
      <c r="F321" s="37" t="n"/>
      <c r="G321" s="274" t="n"/>
      <c r="H321" s="37" t="n"/>
      <c r="I321" s="37" t="n"/>
      <c r="J321" s="37" t="n"/>
      <c r="K321" s="274" t="n"/>
      <c r="L321" s="37" t="n"/>
      <c r="M321" s="37" t="n"/>
      <c r="N321" s="276" t="n"/>
      <c r="O321" s="276" t="n"/>
      <c r="P321" s="276" t="n"/>
      <c r="Q321" s="276" t="n"/>
      <c r="R321" s="276" t="n"/>
      <c r="S321" s="37" t="n"/>
      <c r="T321" s="37" t="n"/>
      <c r="U321" s="37" t="n"/>
      <c r="V321" s="37" t="n"/>
      <c r="W321" s="278" t="n"/>
    </row>
    <row r="322">
      <c r="A322" s="37" t="n"/>
      <c r="B322" s="37" t="n"/>
      <c r="C322" s="37" t="n"/>
      <c r="D322" s="37" t="n"/>
      <c r="E322" s="37" t="n"/>
      <c r="F322" s="37" t="n"/>
      <c r="G322" s="274" t="n"/>
      <c r="H322" s="37" t="n"/>
      <c r="I322" s="37" t="n"/>
      <c r="J322" s="37" t="n"/>
      <c r="K322" s="274" t="n"/>
      <c r="L322" s="37" t="n"/>
      <c r="M322" s="37" t="n"/>
      <c r="N322" s="276" t="n"/>
      <c r="O322" s="276" t="n"/>
      <c r="P322" s="276" t="n"/>
      <c r="Q322" s="276" t="n"/>
      <c r="R322" s="276" t="n"/>
      <c r="S322" s="37" t="n"/>
      <c r="T322" s="37" t="n"/>
      <c r="U322" s="37" t="n"/>
      <c r="V322" s="37" t="n"/>
      <c r="W322" s="278" t="n"/>
    </row>
    <row r="323">
      <c r="A323" s="37" t="n"/>
      <c r="B323" s="37" t="n"/>
      <c r="C323" s="37" t="n"/>
      <c r="D323" s="37" t="n"/>
      <c r="E323" s="37" t="n"/>
      <c r="F323" s="37" t="n"/>
      <c r="G323" s="274" t="n"/>
      <c r="H323" s="37" t="n"/>
      <c r="I323" s="37" t="n"/>
      <c r="J323" s="37" t="n"/>
      <c r="K323" s="274" t="n"/>
      <c r="L323" s="37" t="n"/>
      <c r="M323" s="37" t="n"/>
      <c r="N323" s="276" t="n"/>
      <c r="O323" s="276" t="n"/>
      <c r="P323" s="276" t="n"/>
      <c r="Q323" s="276" t="n"/>
      <c r="R323" s="276" t="n"/>
      <c r="S323" s="37" t="n"/>
      <c r="T323" s="37" t="n"/>
      <c r="U323" s="37" t="n"/>
      <c r="V323" s="37" t="n"/>
      <c r="W323" s="278" t="n"/>
    </row>
    <row r="324">
      <c r="A324" s="37" t="n"/>
      <c r="B324" s="37" t="n"/>
      <c r="C324" s="37" t="n"/>
      <c r="D324" s="37" t="n"/>
      <c r="E324" s="37" t="n"/>
      <c r="F324" s="37" t="n"/>
      <c r="G324" s="274" t="n"/>
      <c r="H324" s="37" t="n"/>
      <c r="I324" s="37" t="n"/>
      <c r="J324" s="37" t="n"/>
      <c r="K324" s="274" t="n"/>
      <c r="L324" s="37" t="n"/>
      <c r="M324" s="37" t="n"/>
      <c r="N324" s="276" t="n"/>
      <c r="O324" s="276" t="n"/>
      <c r="P324" s="276" t="n"/>
      <c r="Q324" s="276" t="n"/>
      <c r="R324" s="276" t="n"/>
      <c r="S324" s="37" t="n"/>
      <c r="T324" s="37" t="n"/>
      <c r="U324" s="37" t="n"/>
      <c r="V324" s="37" t="n"/>
      <c r="W324" s="278" t="n"/>
    </row>
    <row r="325">
      <c r="A325" s="37" t="n"/>
      <c r="B325" s="37" t="n"/>
      <c r="C325" s="37" t="n"/>
      <c r="D325" s="37" t="n"/>
      <c r="E325" s="37" t="n"/>
      <c r="F325" s="37" t="n"/>
      <c r="G325" s="274" t="n"/>
      <c r="H325" s="37" t="n"/>
      <c r="I325" s="37" t="n"/>
      <c r="J325" s="37" t="n"/>
      <c r="K325" s="274" t="n"/>
      <c r="L325" s="37" t="n"/>
      <c r="M325" s="37" t="n"/>
      <c r="N325" s="276" t="n"/>
      <c r="O325" s="276" t="n"/>
      <c r="P325" s="276" t="n"/>
      <c r="Q325" s="276" t="n"/>
      <c r="R325" s="276" t="n"/>
      <c r="S325" s="37" t="n"/>
      <c r="T325" s="37" t="n"/>
      <c r="U325" s="37" t="n"/>
      <c r="V325" s="37" t="n"/>
      <c r="W325" s="278" t="n"/>
    </row>
    <row r="326">
      <c r="A326" s="37" t="n"/>
      <c r="B326" s="37" t="n"/>
      <c r="C326" s="37" t="n"/>
      <c r="D326" s="37" t="n"/>
      <c r="E326" s="37" t="n"/>
      <c r="F326" s="37" t="n"/>
      <c r="G326" s="274" t="n"/>
      <c r="H326" s="37" t="n"/>
      <c r="I326" s="37" t="n"/>
      <c r="J326" s="37" t="n"/>
      <c r="K326" s="274" t="n"/>
      <c r="L326" s="37" t="n"/>
      <c r="M326" s="37" t="n"/>
      <c r="N326" s="276" t="n"/>
      <c r="O326" s="276" t="n"/>
      <c r="P326" s="276" t="n"/>
      <c r="Q326" s="276" t="n"/>
      <c r="R326" s="276" t="n"/>
      <c r="S326" s="37" t="n"/>
      <c r="T326" s="37" t="n"/>
      <c r="U326" s="37" t="n"/>
      <c r="V326" s="37" t="n"/>
      <c r="W326" s="278" t="n"/>
    </row>
    <row r="327">
      <c r="A327" s="37" t="n"/>
      <c r="B327" s="37" t="n"/>
      <c r="C327" s="37" t="n"/>
      <c r="D327" s="37" t="n"/>
      <c r="E327" s="37" t="n"/>
      <c r="F327" s="37" t="n"/>
      <c r="G327" s="274" t="n"/>
      <c r="H327" s="37" t="n"/>
      <c r="I327" s="37" t="n"/>
      <c r="J327" s="37" t="n"/>
      <c r="K327" s="274" t="n"/>
      <c r="L327" s="37" t="n"/>
      <c r="M327" s="37" t="n"/>
      <c r="N327" s="276" t="n"/>
      <c r="O327" s="276" t="n"/>
      <c r="P327" s="276" t="n"/>
      <c r="Q327" s="276" t="n"/>
      <c r="R327" s="276" t="n"/>
      <c r="S327" s="37" t="n"/>
      <c r="T327" s="37" t="n"/>
      <c r="U327" s="37" t="n"/>
      <c r="V327" s="37" t="n"/>
      <c r="W327" s="278" t="n"/>
    </row>
    <row r="328">
      <c r="A328" s="37" t="n"/>
      <c r="B328" s="37" t="n"/>
      <c r="C328" s="37" t="n"/>
      <c r="D328" s="37" t="n"/>
      <c r="E328" s="37" t="n"/>
      <c r="F328" s="37" t="n"/>
      <c r="G328" s="274" t="n"/>
      <c r="H328" s="37" t="n"/>
      <c r="I328" s="37" t="n"/>
      <c r="J328" s="37" t="n"/>
      <c r="K328" s="274" t="n"/>
      <c r="L328" s="37" t="n"/>
      <c r="M328" s="37" t="n"/>
      <c r="N328" s="276" t="n"/>
      <c r="O328" s="276" t="n"/>
      <c r="P328" s="276" t="n"/>
      <c r="Q328" s="276" t="n"/>
      <c r="R328" s="276" t="n"/>
      <c r="S328" s="37" t="n"/>
      <c r="T328" s="37" t="n"/>
      <c r="U328" s="37" t="n"/>
      <c r="V328" s="37" t="n"/>
      <c r="W328" s="278" t="n"/>
    </row>
    <row r="329">
      <c r="A329" s="37" t="n"/>
      <c r="B329" s="37" t="n"/>
      <c r="C329" s="37" t="n"/>
      <c r="D329" s="37" t="n"/>
      <c r="E329" s="37" t="n"/>
      <c r="F329" s="37" t="n"/>
      <c r="G329" s="274" t="n"/>
      <c r="H329" s="37" t="n"/>
      <c r="I329" s="37" t="n"/>
      <c r="J329" s="37" t="n"/>
      <c r="K329" s="274" t="n"/>
      <c r="L329" s="37" t="n"/>
      <c r="M329" s="37" t="n"/>
      <c r="N329" s="276" t="n"/>
      <c r="O329" s="276" t="n"/>
      <c r="P329" s="276" t="n"/>
      <c r="Q329" s="276" t="n"/>
      <c r="R329" s="276" t="n"/>
      <c r="S329" s="37" t="n"/>
      <c r="T329" s="37" t="n"/>
      <c r="U329" s="37" t="n"/>
      <c r="V329" s="37" t="n"/>
      <c r="W329" s="278" t="n"/>
    </row>
    <row r="330">
      <c r="A330" s="37" t="n"/>
      <c r="B330" s="37" t="n"/>
      <c r="C330" s="37" t="n"/>
      <c r="D330" s="37" t="n"/>
      <c r="E330" s="37" t="n"/>
      <c r="F330" s="37" t="n"/>
      <c r="G330" s="274" t="n"/>
      <c r="H330" s="37" t="n"/>
      <c r="I330" s="37" t="n"/>
      <c r="J330" s="37" t="n"/>
      <c r="K330" s="274" t="n"/>
      <c r="L330" s="37" t="n"/>
      <c r="M330" s="37" t="n"/>
      <c r="N330" s="276" t="n"/>
      <c r="O330" s="276" t="n"/>
      <c r="P330" s="276" t="n"/>
      <c r="Q330" s="276" t="n"/>
      <c r="R330" s="276" t="n"/>
      <c r="S330" s="37" t="n"/>
      <c r="T330" s="37" t="n"/>
      <c r="U330" s="37" t="n"/>
      <c r="V330" s="37" t="n"/>
      <c r="W330" s="278" t="n"/>
    </row>
    <row r="331">
      <c r="A331" s="37" t="n"/>
      <c r="B331" s="37" t="n"/>
      <c r="C331" s="37" t="n"/>
      <c r="D331" s="37" t="n"/>
      <c r="E331" s="37" t="n"/>
      <c r="F331" s="37" t="n"/>
      <c r="G331" s="274" t="n"/>
      <c r="H331" s="37" t="n"/>
      <c r="I331" s="37" t="n"/>
      <c r="J331" s="37" t="n"/>
      <c r="K331" s="274" t="n"/>
      <c r="L331" s="37" t="n"/>
      <c r="M331" s="37" t="n"/>
      <c r="N331" s="276" t="n"/>
      <c r="O331" s="276" t="n"/>
      <c r="P331" s="276" t="n"/>
      <c r="Q331" s="276" t="n"/>
      <c r="R331" s="276" t="n"/>
      <c r="S331" s="37" t="n"/>
      <c r="T331" s="37" t="n"/>
      <c r="U331" s="37" t="n"/>
      <c r="V331" s="37" t="n"/>
      <c r="W331" s="278" t="n"/>
    </row>
    <row r="332">
      <c r="A332" s="37" t="n"/>
      <c r="B332" s="37" t="n"/>
      <c r="C332" s="37" t="n"/>
      <c r="D332" s="37" t="n"/>
      <c r="E332" s="37" t="n"/>
      <c r="F332" s="37" t="n"/>
      <c r="G332" s="274" t="n"/>
      <c r="H332" s="37" t="n"/>
      <c r="I332" s="37" t="n"/>
      <c r="J332" s="37" t="n"/>
      <c r="K332" s="274" t="n"/>
      <c r="L332" s="37" t="n"/>
      <c r="M332" s="37" t="n"/>
      <c r="N332" s="276" t="n"/>
      <c r="O332" s="276" t="n"/>
      <c r="P332" s="276" t="n"/>
      <c r="Q332" s="276" t="n"/>
      <c r="R332" s="276" t="n"/>
      <c r="S332" s="37" t="n"/>
      <c r="T332" s="37" t="n"/>
      <c r="U332" s="37" t="n"/>
      <c r="V332" s="37" t="n"/>
      <c r="W332" s="278" t="n"/>
    </row>
    <row r="333">
      <c r="A333" s="37" t="n"/>
      <c r="B333" s="37" t="n"/>
      <c r="C333" s="37" t="n"/>
      <c r="D333" s="37" t="n"/>
      <c r="E333" s="37" t="n"/>
      <c r="F333" s="37" t="n"/>
      <c r="G333" s="274" t="n"/>
      <c r="H333" s="37" t="n"/>
      <c r="I333" s="37" t="n"/>
      <c r="J333" s="37" t="n"/>
      <c r="K333" s="274" t="n"/>
      <c r="L333" s="37" t="n"/>
      <c r="M333" s="37" t="n"/>
      <c r="N333" s="276" t="n"/>
      <c r="O333" s="276" t="n"/>
      <c r="P333" s="276" t="n"/>
      <c r="Q333" s="276" t="n"/>
      <c r="R333" s="276" t="n"/>
      <c r="S333" s="37" t="n"/>
      <c r="T333" s="37" t="n"/>
      <c r="U333" s="37" t="n"/>
      <c r="V333" s="37" t="n"/>
      <c r="W333" s="278" t="n"/>
    </row>
    <row r="334">
      <c r="A334" s="37" t="n"/>
      <c r="B334" s="37" t="n"/>
      <c r="C334" s="37" t="n"/>
      <c r="D334" s="37" t="n"/>
      <c r="E334" s="37" t="n"/>
      <c r="F334" s="37" t="n"/>
      <c r="G334" s="274" t="n"/>
      <c r="H334" s="37" t="n"/>
      <c r="I334" s="37" t="n"/>
      <c r="J334" s="37" t="n"/>
      <c r="K334" s="274" t="n"/>
      <c r="L334" s="37" t="n"/>
      <c r="M334" s="37" t="n"/>
      <c r="N334" s="276" t="n"/>
      <c r="O334" s="276" t="n"/>
      <c r="P334" s="276" t="n"/>
      <c r="Q334" s="276" t="n"/>
      <c r="R334" s="276" t="n"/>
      <c r="S334" s="37" t="n"/>
      <c r="T334" s="37" t="n"/>
      <c r="U334" s="37" t="n"/>
      <c r="V334" s="37" t="n"/>
      <c r="W334" s="278" t="n"/>
    </row>
    <row r="335">
      <c r="A335" s="37" t="n"/>
      <c r="B335" s="37" t="n"/>
      <c r="C335" s="37" t="n"/>
      <c r="D335" s="37" t="n"/>
      <c r="E335" s="37" t="n"/>
      <c r="F335" s="37" t="n"/>
      <c r="G335" s="274" t="n"/>
      <c r="H335" s="37" t="n"/>
      <c r="I335" s="37" t="n"/>
      <c r="J335" s="37" t="n"/>
      <c r="K335" s="274" t="n"/>
      <c r="L335" s="37" t="n"/>
      <c r="M335" s="37" t="n"/>
      <c r="N335" s="276" t="n"/>
      <c r="O335" s="276" t="n"/>
      <c r="P335" s="276" t="n"/>
      <c r="Q335" s="276" t="n"/>
      <c r="R335" s="276" t="n"/>
      <c r="S335" s="37" t="n"/>
      <c r="T335" s="37" t="n"/>
      <c r="U335" s="37" t="n"/>
      <c r="V335" s="37" t="n"/>
      <c r="W335" s="278" t="n"/>
    </row>
    <row r="336">
      <c r="A336" s="37" t="n"/>
      <c r="B336" s="37" t="n"/>
      <c r="C336" s="37" t="n"/>
      <c r="D336" s="37" t="n"/>
      <c r="E336" s="37" t="n"/>
      <c r="F336" s="37" t="n"/>
      <c r="G336" s="274" t="n"/>
      <c r="H336" s="37" t="n"/>
      <c r="I336" s="37" t="n"/>
      <c r="J336" s="37" t="n"/>
      <c r="K336" s="274" t="n"/>
      <c r="L336" s="37" t="n"/>
      <c r="M336" s="37" t="n"/>
      <c r="N336" s="276" t="n"/>
      <c r="O336" s="276" t="n"/>
      <c r="P336" s="276" t="n"/>
      <c r="Q336" s="276" t="n"/>
      <c r="R336" s="276" t="n"/>
      <c r="S336" s="37" t="n"/>
      <c r="T336" s="37" t="n"/>
      <c r="U336" s="37" t="n"/>
      <c r="V336" s="37" t="n"/>
      <c r="W336" s="278" t="n"/>
    </row>
    <row r="337">
      <c r="A337" s="37" t="n"/>
      <c r="B337" s="37" t="n"/>
      <c r="C337" s="37" t="n"/>
      <c r="D337" s="37" t="n"/>
      <c r="E337" s="37" t="n"/>
      <c r="F337" s="37" t="n"/>
      <c r="G337" s="274" t="n"/>
      <c r="H337" s="37" t="n"/>
      <c r="I337" s="37" t="n"/>
      <c r="J337" s="37" t="n"/>
      <c r="K337" s="274" t="n"/>
      <c r="L337" s="37" t="n"/>
      <c r="M337" s="37" t="n"/>
      <c r="N337" s="276" t="n"/>
      <c r="O337" s="276" t="n"/>
      <c r="P337" s="276" t="n"/>
      <c r="Q337" s="276" t="n"/>
      <c r="R337" s="276" t="n"/>
      <c r="S337" s="37" t="n"/>
      <c r="T337" s="37" t="n"/>
      <c r="U337" s="37" t="n"/>
      <c r="V337" s="37" t="n"/>
      <c r="W337" s="278" t="n"/>
    </row>
    <row r="338">
      <c r="A338" s="37" t="n"/>
      <c r="B338" s="37" t="n"/>
      <c r="C338" s="37" t="n"/>
      <c r="D338" s="37" t="n"/>
      <c r="E338" s="37" t="n"/>
      <c r="F338" s="37" t="n"/>
      <c r="G338" s="274" t="n"/>
      <c r="H338" s="37" t="n"/>
      <c r="I338" s="37" t="n"/>
      <c r="J338" s="37" t="n"/>
      <c r="K338" s="274" t="n"/>
      <c r="L338" s="37" t="n"/>
      <c r="M338" s="37" t="n"/>
      <c r="N338" s="276" t="n"/>
      <c r="O338" s="276" t="n"/>
      <c r="P338" s="276" t="n"/>
      <c r="Q338" s="276" t="n"/>
      <c r="R338" s="276" t="n"/>
      <c r="S338" s="37" t="n"/>
      <c r="T338" s="37" t="n"/>
      <c r="U338" s="37" t="n"/>
      <c r="V338" s="37" t="n"/>
      <c r="W338" s="278" t="n"/>
    </row>
    <row r="339">
      <c r="A339" s="37" t="n"/>
      <c r="B339" s="37" t="n"/>
      <c r="C339" s="37" t="n"/>
      <c r="D339" s="37" t="n"/>
      <c r="E339" s="37" t="n"/>
      <c r="F339" s="37" t="n"/>
      <c r="G339" s="274" t="n"/>
      <c r="H339" s="37" t="n"/>
      <c r="I339" s="37" t="n"/>
      <c r="J339" s="37" t="n"/>
      <c r="K339" s="274" t="n"/>
      <c r="L339" s="37" t="n"/>
      <c r="M339" s="37" t="n"/>
      <c r="N339" s="276" t="n"/>
      <c r="O339" s="276" t="n"/>
      <c r="P339" s="276" t="n"/>
      <c r="Q339" s="276" t="n"/>
      <c r="R339" s="276" t="n"/>
      <c r="S339" s="37" t="n"/>
      <c r="T339" s="37" t="n"/>
      <c r="U339" s="37" t="n"/>
      <c r="V339" s="37" t="n"/>
      <c r="W339" s="278" t="n"/>
    </row>
    <row r="340">
      <c r="A340" s="37" t="n"/>
      <c r="B340" s="37" t="n"/>
      <c r="C340" s="37" t="n"/>
      <c r="D340" s="37" t="n"/>
      <c r="E340" s="37" t="n"/>
      <c r="F340" s="37" t="n"/>
      <c r="G340" s="274" t="n"/>
      <c r="H340" s="37" t="n"/>
      <c r="I340" s="37" t="n"/>
      <c r="J340" s="37" t="n"/>
      <c r="K340" s="274" t="n"/>
      <c r="L340" s="37" t="n"/>
      <c r="M340" s="37" t="n"/>
      <c r="N340" s="276" t="n"/>
      <c r="O340" s="276" t="n"/>
      <c r="P340" s="276" t="n"/>
      <c r="Q340" s="276" t="n"/>
      <c r="R340" s="276" t="n"/>
      <c r="S340" s="37" t="n"/>
      <c r="T340" s="37" t="n"/>
      <c r="U340" s="37" t="n"/>
      <c r="V340" s="37" t="n"/>
      <c r="W340" s="278" t="n"/>
    </row>
    <row r="341">
      <c r="A341" s="37" t="n"/>
      <c r="B341" s="37" t="n"/>
      <c r="C341" s="37" t="n"/>
      <c r="D341" s="37" t="n"/>
      <c r="E341" s="37" t="n"/>
      <c r="F341" s="37" t="n"/>
      <c r="G341" s="274" t="n"/>
      <c r="H341" s="37" t="n"/>
      <c r="I341" s="37" t="n"/>
      <c r="J341" s="37" t="n"/>
      <c r="K341" s="274" t="n"/>
      <c r="L341" s="37" t="n"/>
      <c r="M341" s="37" t="n"/>
      <c r="N341" s="276" t="n"/>
      <c r="O341" s="276" t="n"/>
      <c r="P341" s="276" t="n"/>
      <c r="Q341" s="276" t="n"/>
      <c r="R341" s="276" t="n"/>
      <c r="S341" s="37" t="n"/>
      <c r="T341" s="37" t="n"/>
      <c r="U341" s="37" t="n"/>
      <c r="V341" s="37" t="n"/>
      <c r="W341" s="278" t="n"/>
    </row>
    <row r="342">
      <c r="A342" s="37" t="n"/>
      <c r="B342" s="37" t="n"/>
      <c r="C342" s="37" t="n"/>
      <c r="D342" s="37" t="n"/>
      <c r="E342" s="37" t="n"/>
      <c r="F342" s="37" t="n"/>
      <c r="G342" s="274" t="n"/>
      <c r="H342" s="37" t="n"/>
      <c r="I342" s="37" t="n"/>
      <c r="J342" s="37" t="n"/>
      <c r="K342" s="274" t="n"/>
      <c r="L342" s="37" t="n"/>
      <c r="M342" s="37" t="n"/>
      <c r="N342" s="276" t="n"/>
      <c r="O342" s="276" t="n"/>
      <c r="P342" s="276" t="n"/>
      <c r="Q342" s="276" t="n"/>
      <c r="R342" s="276" t="n"/>
      <c r="S342" s="37" t="n"/>
      <c r="T342" s="37" t="n"/>
      <c r="U342" s="37" t="n"/>
      <c r="V342" s="37" t="n"/>
      <c r="W342" s="278" t="n"/>
    </row>
    <row r="343">
      <c r="A343" s="37" t="n"/>
      <c r="B343" s="37" t="n"/>
      <c r="C343" s="37" t="n"/>
      <c r="D343" s="37" t="n"/>
      <c r="E343" s="37" t="n"/>
      <c r="F343" s="37" t="n"/>
      <c r="G343" s="274" t="n"/>
      <c r="H343" s="37" t="n"/>
      <c r="I343" s="37" t="n"/>
      <c r="J343" s="37" t="n"/>
      <c r="K343" s="274" t="n"/>
      <c r="L343" s="37" t="n"/>
      <c r="M343" s="37" t="n"/>
      <c r="N343" s="276" t="n"/>
      <c r="O343" s="276" t="n"/>
      <c r="P343" s="276" t="n"/>
      <c r="Q343" s="276" t="n"/>
      <c r="R343" s="276" t="n"/>
      <c r="S343" s="37" t="n"/>
      <c r="T343" s="37" t="n"/>
      <c r="U343" s="37" t="n"/>
      <c r="V343" s="37" t="n"/>
      <c r="W343" s="278" t="n"/>
    </row>
    <row r="344">
      <c r="A344" s="37" t="n"/>
      <c r="B344" s="37" t="n"/>
      <c r="C344" s="37" t="n"/>
      <c r="D344" s="37" t="n"/>
      <c r="E344" s="37" t="n"/>
      <c r="F344" s="37" t="n"/>
      <c r="G344" s="274" t="n"/>
      <c r="H344" s="37" t="n"/>
      <c r="I344" s="37" t="n"/>
      <c r="J344" s="37" t="n"/>
      <c r="K344" s="274" t="n"/>
      <c r="L344" s="37" t="n"/>
      <c r="M344" s="37" t="n"/>
      <c r="N344" s="276" t="n"/>
      <c r="O344" s="276" t="n"/>
      <c r="P344" s="276" t="n"/>
      <c r="Q344" s="276" t="n"/>
      <c r="R344" s="276" t="n"/>
      <c r="S344" s="37" t="n"/>
      <c r="T344" s="37" t="n"/>
      <c r="U344" s="37" t="n"/>
      <c r="V344" s="37" t="n"/>
      <c r="W344" s="278" t="n"/>
    </row>
    <row r="345">
      <c r="A345" s="37" t="n"/>
      <c r="B345" s="37" t="n"/>
      <c r="C345" s="37" t="n"/>
      <c r="D345" s="37" t="n"/>
      <c r="E345" s="37" t="n"/>
      <c r="F345" s="37" t="n"/>
      <c r="G345" s="274" t="n"/>
      <c r="H345" s="37" t="n"/>
      <c r="I345" s="37" t="n"/>
      <c r="J345" s="37" t="n"/>
      <c r="K345" s="274" t="n"/>
      <c r="L345" s="37" t="n"/>
      <c r="M345" s="37" t="n"/>
      <c r="N345" s="276" t="n"/>
      <c r="O345" s="276" t="n"/>
      <c r="P345" s="276" t="n"/>
      <c r="Q345" s="276" t="n"/>
      <c r="R345" s="276" t="n"/>
      <c r="S345" s="37" t="n"/>
      <c r="T345" s="37" t="n"/>
      <c r="U345" s="37" t="n"/>
      <c r="V345" s="37" t="n"/>
      <c r="W345" s="278" t="n"/>
    </row>
    <row r="346">
      <c r="A346" s="37" t="n"/>
      <c r="B346" s="37" t="n"/>
      <c r="C346" s="37" t="n"/>
      <c r="D346" s="37" t="n"/>
      <c r="E346" s="37" t="n"/>
      <c r="F346" s="37" t="n"/>
      <c r="G346" s="274" t="n"/>
      <c r="H346" s="37" t="n"/>
      <c r="I346" s="37" t="n"/>
      <c r="J346" s="37" t="n"/>
      <c r="K346" s="274" t="n"/>
      <c r="L346" s="37" t="n"/>
      <c r="M346" s="37" t="n"/>
      <c r="N346" s="276" t="n"/>
      <c r="O346" s="276" t="n"/>
      <c r="P346" s="276" t="n"/>
      <c r="Q346" s="276" t="n"/>
      <c r="R346" s="276" t="n"/>
      <c r="S346" s="37" t="n"/>
      <c r="T346" s="37" t="n"/>
      <c r="U346" s="37" t="n"/>
      <c r="V346" s="37" t="n"/>
      <c r="W346" s="278" t="n"/>
    </row>
    <row r="347">
      <c r="A347" s="37" t="n"/>
      <c r="B347" s="37" t="n"/>
      <c r="C347" s="37" t="n"/>
      <c r="D347" s="37" t="n"/>
      <c r="E347" s="37" t="n"/>
      <c r="F347" s="37" t="n"/>
      <c r="G347" s="274" t="n"/>
      <c r="H347" s="37" t="n"/>
      <c r="I347" s="37" t="n"/>
      <c r="J347" s="37" t="n"/>
      <c r="K347" s="274" t="n"/>
      <c r="L347" s="37" t="n"/>
      <c r="M347" s="37" t="n"/>
      <c r="N347" s="276" t="n"/>
      <c r="O347" s="276" t="n"/>
      <c r="P347" s="276" t="n"/>
      <c r="Q347" s="276" t="n"/>
      <c r="R347" s="276" t="n"/>
      <c r="S347" s="37" t="n"/>
      <c r="T347" s="37" t="n"/>
      <c r="U347" s="37" t="n"/>
      <c r="V347" s="37" t="n"/>
      <c r="W347" s="278" t="n"/>
    </row>
    <row r="348">
      <c r="A348" s="37" t="n"/>
      <c r="B348" s="37" t="n"/>
      <c r="C348" s="37" t="n"/>
      <c r="D348" s="37" t="n"/>
      <c r="E348" s="37" t="n"/>
      <c r="F348" s="37" t="n"/>
      <c r="G348" s="274" t="n"/>
      <c r="H348" s="37" t="n"/>
      <c r="I348" s="37" t="n"/>
      <c r="J348" s="37" t="n"/>
      <c r="K348" s="274" t="n"/>
      <c r="L348" s="37" t="n"/>
      <c r="M348" s="37" t="n"/>
      <c r="N348" s="276" t="n"/>
      <c r="O348" s="276" t="n"/>
      <c r="P348" s="276" t="n"/>
      <c r="Q348" s="276" t="n"/>
      <c r="R348" s="276" t="n"/>
      <c r="S348" s="37" t="n"/>
      <c r="T348" s="37" t="n"/>
      <c r="U348" s="37" t="n"/>
      <c r="V348" s="37" t="n"/>
      <c r="W348" s="278" t="n"/>
    </row>
    <row r="349">
      <c r="A349" s="37" t="n"/>
      <c r="B349" s="37" t="n"/>
      <c r="C349" s="37" t="n"/>
      <c r="D349" s="37" t="n"/>
      <c r="E349" s="37" t="n"/>
      <c r="F349" s="37" t="n"/>
      <c r="G349" s="274" t="n"/>
      <c r="H349" s="37" t="n"/>
      <c r="I349" s="37" t="n"/>
      <c r="J349" s="37" t="n"/>
      <c r="K349" s="274" t="n"/>
      <c r="L349" s="37" t="n"/>
      <c r="M349" s="37" t="n"/>
      <c r="N349" s="276" t="n"/>
      <c r="O349" s="276" t="n"/>
      <c r="P349" s="276" t="n"/>
      <c r="Q349" s="276" t="n"/>
      <c r="R349" s="276" t="n"/>
      <c r="S349" s="37" t="n"/>
      <c r="T349" s="37" t="n"/>
      <c r="U349" s="37" t="n"/>
      <c r="V349" s="37" t="n"/>
      <c r="W349" s="278" t="n"/>
    </row>
    <row r="350">
      <c r="A350" s="37" t="n"/>
      <c r="B350" s="37" t="n"/>
      <c r="C350" s="37" t="n"/>
      <c r="D350" s="37" t="n"/>
      <c r="E350" s="37" t="n"/>
      <c r="F350" s="37" t="n"/>
      <c r="G350" s="274" t="n"/>
      <c r="H350" s="37" t="n"/>
      <c r="I350" s="37" t="n"/>
      <c r="J350" s="37" t="n"/>
      <c r="K350" s="274" t="n"/>
      <c r="L350" s="37" t="n"/>
      <c r="M350" s="37" t="n"/>
      <c r="N350" s="276" t="n"/>
      <c r="O350" s="276" t="n"/>
      <c r="P350" s="276" t="n"/>
      <c r="Q350" s="276" t="n"/>
      <c r="R350" s="276" t="n"/>
      <c r="S350" s="37" t="n"/>
      <c r="T350" s="37" t="n"/>
      <c r="U350" s="37" t="n"/>
      <c r="V350" s="37" t="n"/>
      <c r="W350" s="278" t="n"/>
    </row>
    <row r="351">
      <c r="A351" s="37" t="n"/>
      <c r="B351" s="37" t="n"/>
      <c r="C351" s="37" t="n"/>
      <c r="D351" s="37" t="n"/>
      <c r="E351" s="37" t="n"/>
      <c r="F351" s="37" t="n"/>
      <c r="G351" s="274" t="n"/>
      <c r="H351" s="37" t="n"/>
      <c r="I351" s="37" t="n"/>
      <c r="J351" s="37" t="n"/>
      <c r="K351" s="274" t="n"/>
      <c r="L351" s="37" t="n"/>
      <c r="M351" s="37" t="n"/>
      <c r="N351" s="276" t="n"/>
      <c r="O351" s="276" t="n"/>
      <c r="P351" s="276" t="n"/>
      <c r="Q351" s="276" t="n"/>
      <c r="R351" s="276" t="n"/>
      <c r="S351" s="37" t="n"/>
      <c r="T351" s="37" t="n"/>
      <c r="U351" s="37" t="n"/>
      <c r="V351" s="37" t="n"/>
      <c r="W351" s="278" t="n"/>
    </row>
    <row r="352">
      <c r="A352" s="37" t="n"/>
      <c r="B352" s="37" t="n"/>
      <c r="C352" s="37" t="n"/>
      <c r="D352" s="37" t="n"/>
      <c r="E352" s="37" t="n"/>
      <c r="F352" s="37" t="n"/>
      <c r="G352" s="274" t="n"/>
      <c r="H352" s="37" t="n"/>
      <c r="I352" s="37" t="n"/>
      <c r="J352" s="37" t="n"/>
      <c r="K352" s="274" t="n"/>
      <c r="L352" s="37" t="n"/>
      <c r="M352" s="37" t="n"/>
      <c r="N352" s="276" t="n"/>
      <c r="O352" s="276" t="n"/>
      <c r="P352" s="276" t="n"/>
      <c r="Q352" s="276" t="n"/>
      <c r="R352" s="276" t="n"/>
      <c r="S352" s="37" t="n"/>
      <c r="T352" s="37" t="n"/>
      <c r="U352" s="37" t="n"/>
      <c r="V352" s="37" t="n"/>
      <c r="W352" s="278" t="n"/>
    </row>
    <row r="353">
      <c r="A353" s="37" t="n"/>
      <c r="B353" s="37" t="n"/>
      <c r="C353" s="37" t="n"/>
      <c r="D353" s="37" t="n"/>
      <c r="E353" s="37" t="n"/>
      <c r="F353" s="37" t="n"/>
      <c r="G353" s="274" t="n"/>
      <c r="H353" s="37" t="n"/>
      <c r="I353" s="37" t="n"/>
      <c r="J353" s="37" t="n"/>
      <c r="K353" s="274" t="n"/>
      <c r="L353" s="37" t="n"/>
      <c r="M353" s="37" t="n"/>
      <c r="N353" s="276" t="n"/>
      <c r="O353" s="276" t="n"/>
      <c r="P353" s="276" t="n"/>
      <c r="Q353" s="276" t="n"/>
      <c r="R353" s="276" t="n"/>
      <c r="S353" s="37" t="n"/>
      <c r="T353" s="37" t="n"/>
      <c r="U353" s="37" t="n"/>
      <c r="V353" s="37" t="n"/>
      <c r="W353" s="278" t="n"/>
    </row>
    <row r="354">
      <c r="A354" s="37" t="n"/>
      <c r="B354" s="37" t="n"/>
      <c r="C354" s="37" t="n"/>
      <c r="D354" s="37" t="n"/>
      <c r="E354" s="37" t="n"/>
      <c r="F354" s="37" t="n"/>
      <c r="G354" s="274" t="n"/>
      <c r="H354" s="37" t="n"/>
      <c r="I354" s="37" t="n"/>
      <c r="J354" s="37" t="n"/>
      <c r="K354" s="274" t="n"/>
      <c r="L354" s="37" t="n"/>
      <c r="M354" s="37" t="n"/>
      <c r="N354" s="276" t="n"/>
      <c r="O354" s="276" t="n"/>
      <c r="P354" s="276" t="n"/>
      <c r="Q354" s="276" t="n"/>
      <c r="R354" s="276" t="n"/>
      <c r="S354" s="37" t="n"/>
      <c r="T354" s="37" t="n"/>
      <c r="U354" s="37" t="n"/>
      <c r="V354" s="37" t="n"/>
      <c r="W354" s="278" t="n"/>
    </row>
    <row r="355">
      <c r="A355" s="37" t="n"/>
      <c r="B355" s="37" t="n"/>
      <c r="C355" s="37" t="n"/>
      <c r="D355" s="37" t="n"/>
      <c r="E355" s="37" t="n"/>
      <c r="F355" s="37" t="n"/>
      <c r="G355" s="274" t="n"/>
      <c r="H355" s="37" t="n"/>
      <c r="I355" s="37" t="n"/>
      <c r="J355" s="37" t="n"/>
      <c r="K355" s="274" t="n"/>
      <c r="L355" s="37" t="n"/>
      <c r="M355" s="37" t="n"/>
      <c r="N355" s="276" t="n"/>
      <c r="O355" s="276" t="n"/>
      <c r="P355" s="276" t="n"/>
      <c r="Q355" s="276" t="n"/>
      <c r="R355" s="276" t="n"/>
      <c r="S355" s="37" t="n"/>
      <c r="T355" s="37" t="n"/>
      <c r="U355" s="37" t="n"/>
      <c r="V355" s="37" t="n"/>
      <c r="W355" s="278" t="n"/>
    </row>
    <row r="356">
      <c r="A356" s="37" t="n"/>
      <c r="B356" s="37" t="n"/>
      <c r="C356" s="37" t="n"/>
      <c r="D356" s="37" t="n"/>
      <c r="E356" s="37" t="n"/>
      <c r="F356" s="37" t="n"/>
      <c r="G356" s="274" t="n"/>
      <c r="H356" s="37" t="n"/>
      <c r="I356" s="37" t="n"/>
      <c r="J356" s="37" t="n"/>
      <c r="K356" s="274" t="n"/>
      <c r="L356" s="37" t="n"/>
      <c r="M356" s="37" t="n"/>
      <c r="N356" s="276" t="n"/>
      <c r="O356" s="276" t="n"/>
      <c r="P356" s="276" t="n"/>
      <c r="Q356" s="276" t="n"/>
      <c r="R356" s="276" t="n"/>
      <c r="S356" s="37" t="n"/>
      <c r="T356" s="37" t="n"/>
      <c r="U356" s="37" t="n"/>
      <c r="V356" s="37" t="n"/>
      <c r="W356" s="278" t="n"/>
    </row>
    <row r="357">
      <c r="A357" s="37" t="n"/>
      <c r="B357" s="37" t="n"/>
      <c r="C357" s="37" t="n"/>
      <c r="D357" s="37" t="n"/>
      <c r="E357" s="37" t="n"/>
      <c r="F357" s="37" t="n"/>
      <c r="G357" s="274" t="n"/>
      <c r="H357" s="37" t="n"/>
      <c r="I357" s="37" t="n"/>
      <c r="J357" s="37" t="n"/>
      <c r="K357" s="274" t="n"/>
      <c r="L357" s="37" t="n"/>
      <c r="M357" s="37" t="n"/>
      <c r="N357" s="276" t="n"/>
      <c r="O357" s="276" t="n"/>
      <c r="P357" s="276" t="n"/>
      <c r="Q357" s="276" t="n"/>
      <c r="R357" s="276" t="n"/>
      <c r="S357" s="37" t="n"/>
      <c r="T357" s="37" t="n"/>
      <c r="U357" s="37" t="n"/>
      <c r="V357" s="37" t="n"/>
      <c r="W357" s="278" t="n"/>
    </row>
    <row r="358">
      <c r="A358" s="37" t="n"/>
      <c r="B358" s="37" t="n"/>
      <c r="C358" s="37" t="n"/>
      <c r="D358" s="37" t="n"/>
      <c r="E358" s="37" t="n"/>
      <c r="F358" s="37" t="n"/>
      <c r="G358" s="274" t="n"/>
      <c r="H358" s="37" t="n"/>
      <c r="I358" s="37" t="n"/>
      <c r="J358" s="37" t="n"/>
      <c r="K358" s="274" t="n"/>
      <c r="L358" s="37" t="n"/>
      <c r="M358" s="37" t="n"/>
      <c r="N358" s="276" t="n"/>
      <c r="O358" s="276" t="n"/>
      <c r="P358" s="276" t="n"/>
      <c r="Q358" s="276" t="n"/>
      <c r="R358" s="276" t="n"/>
      <c r="S358" s="37" t="n"/>
      <c r="T358" s="37" t="n"/>
      <c r="U358" s="37" t="n"/>
      <c r="V358" s="37" t="n"/>
      <c r="W358" s="278" t="n"/>
    </row>
    <row r="359">
      <c r="A359" s="37" t="n"/>
      <c r="B359" s="37" t="n"/>
      <c r="C359" s="37" t="n"/>
      <c r="D359" s="37" t="n"/>
      <c r="E359" s="37" t="n"/>
      <c r="F359" s="37" t="n"/>
      <c r="G359" s="274" t="n"/>
      <c r="H359" s="37" t="n"/>
      <c r="I359" s="37" t="n"/>
      <c r="J359" s="37" t="n"/>
      <c r="K359" s="274" t="n"/>
      <c r="L359" s="37" t="n"/>
      <c r="M359" s="37" t="n"/>
      <c r="N359" s="276" t="n"/>
      <c r="O359" s="276" t="n"/>
      <c r="P359" s="276" t="n"/>
      <c r="Q359" s="276" t="n"/>
      <c r="R359" s="276" t="n"/>
      <c r="S359" s="37" t="n"/>
      <c r="T359" s="37" t="n"/>
      <c r="U359" s="37" t="n"/>
      <c r="V359" s="37" t="n"/>
      <c r="W359" s="278" t="n"/>
    </row>
    <row r="360">
      <c r="A360" s="37" t="n"/>
      <c r="B360" s="37" t="n"/>
      <c r="C360" s="37" t="n"/>
      <c r="D360" s="37" t="n"/>
      <c r="E360" s="37" t="n"/>
      <c r="F360" s="37" t="n"/>
      <c r="G360" s="274" t="n"/>
      <c r="H360" s="37" t="n"/>
      <c r="I360" s="37" t="n"/>
      <c r="J360" s="37" t="n"/>
      <c r="K360" s="274" t="n"/>
      <c r="L360" s="37" t="n"/>
      <c r="M360" s="37" t="n"/>
      <c r="N360" s="276" t="n"/>
      <c r="O360" s="276" t="n"/>
      <c r="P360" s="276" t="n"/>
      <c r="Q360" s="276" t="n"/>
      <c r="R360" s="276" t="n"/>
      <c r="S360" s="37" t="n"/>
      <c r="T360" s="37" t="n"/>
      <c r="U360" s="37" t="n"/>
      <c r="V360" s="37" t="n"/>
      <c r="W360" s="278" t="n"/>
    </row>
    <row r="361">
      <c r="A361" s="37" t="n"/>
      <c r="B361" s="37" t="n"/>
      <c r="C361" s="37" t="n"/>
      <c r="D361" s="37" t="n"/>
      <c r="E361" s="37" t="n"/>
      <c r="F361" s="37" t="n"/>
      <c r="G361" s="274" t="n"/>
      <c r="H361" s="37" t="n"/>
      <c r="I361" s="37" t="n"/>
      <c r="J361" s="37" t="n"/>
      <c r="K361" s="274" t="n"/>
      <c r="L361" s="37" t="n"/>
      <c r="M361" s="37" t="n"/>
      <c r="N361" s="276" t="n"/>
      <c r="O361" s="276" t="n"/>
      <c r="P361" s="276" t="n"/>
      <c r="Q361" s="276" t="n"/>
      <c r="R361" s="276" t="n"/>
      <c r="S361" s="37" t="n"/>
      <c r="T361" s="37" t="n"/>
      <c r="U361" s="37" t="n"/>
      <c r="V361" s="37" t="n"/>
      <c r="W361" s="278" t="n"/>
    </row>
    <row r="362">
      <c r="A362" s="37" t="n"/>
      <c r="B362" s="37" t="n"/>
      <c r="C362" s="37" t="n"/>
      <c r="D362" s="37" t="n"/>
      <c r="E362" s="37" t="n"/>
      <c r="F362" s="37" t="n"/>
      <c r="G362" s="274" t="n"/>
      <c r="H362" s="37" t="n"/>
      <c r="I362" s="37" t="n"/>
      <c r="J362" s="37" t="n"/>
      <c r="K362" s="274" t="n"/>
      <c r="L362" s="37" t="n"/>
      <c r="M362" s="37" t="n"/>
      <c r="N362" s="276" t="n"/>
      <c r="O362" s="276" t="n"/>
      <c r="P362" s="276" t="n"/>
      <c r="Q362" s="276" t="n"/>
      <c r="R362" s="276" t="n"/>
      <c r="S362" s="37" t="n"/>
      <c r="T362" s="37" t="n"/>
      <c r="U362" s="37" t="n"/>
      <c r="V362" s="37" t="n"/>
      <c r="W362" s="278" t="n"/>
    </row>
    <row r="363">
      <c r="A363" s="37" t="n"/>
      <c r="B363" s="37" t="n"/>
      <c r="C363" s="37" t="n"/>
      <c r="D363" s="37" t="n"/>
      <c r="E363" s="37" t="n"/>
      <c r="F363" s="37" t="n"/>
      <c r="G363" s="274" t="n"/>
      <c r="H363" s="37" t="n"/>
      <c r="I363" s="37" t="n"/>
      <c r="J363" s="37" t="n"/>
      <c r="K363" s="274" t="n"/>
      <c r="L363" s="37" t="n"/>
      <c r="M363" s="37" t="n"/>
      <c r="N363" s="276" t="n"/>
      <c r="O363" s="276" t="n"/>
      <c r="P363" s="276" t="n"/>
      <c r="Q363" s="276" t="n"/>
      <c r="R363" s="276" t="n"/>
      <c r="S363" s="37" t="n"/>
      <c r="T363" s="37" t="n"/>
      <c r="U363" s="37" t="n"/>
      <c r="V363" s="37" t="n"/>
      <c r="W363" s="278" t="n"/>
    </row>
    <row r="364">
      <c r="A364" s="37" t="n"/>
      <c r="B364" s="37" t="n"/>
      <c r="C364" s="37" t="n"/>
      <c r="D364" s="37" t="n"/>
      <c r="E364" s="37" t="n"/>
      <c r="F364" s="37" t="n"/>
      <c r="G364" s="274" t="n"/>
      <c r="H364" s="37" t="n"/>
      <c r="I364" s="37" t="n"/>
      <c r="J364" s="37" t="n"/>
      <c r="K364" s="274" t="n"/>
      <c r="L364" s="37" t="n"/>
      <c r="M364" s="37" t="n"/>
      <c r="N364" s="276" t="n"/>
      <c r="O364" s="276" t="n"/>
      <c r="P364" s="276" t="n"/>
      <c r="Q364" s="276" t="n"/>
      <c r="R364" s="276" t="n"/>
      <c r="S364" s="37" t="n"/>
      <c r="T364" s="37" t="n"/>
      <c r="U364" s="37" t="n"/>
      <c r="V364" s="37" t="n"/>
      <c r="W364" s="278" t="n"/>
    </row>
    <row r="365">
      <c r="A365" s="37" t="n"/>
      <c r="B365" s="37" t="n"/>
      <c r="C365" s="37" t="n"/>
      <c r="D365" s="37" t="n"/>
      <c r="E365" s="37" t="n"/>
      <c r="F365" s="37" t="n"/>
      <c r="G365" s="274" t="n"/>
      <c r="H365" s="37" t="n"/>
      <c r="I365" s="37" t="n"/>
      <c r="J365" s="37" t="n"/>
      <c r="K365" s="274" t="n"/>
      <c r="L365" s="37" t="n"/>
      <c r="M365" s="37" t="n"/>
      <c r="N365" s="276" t="n"/>
      <c r="O365" s="276" t="n"/>
      <c r="P365" s="276" t="n"/>
      <c r="Q365" s="276" t="n"/>
      <c r="R365" s="276" t="n"/>
      <c r="S365" s="37" t="n"/>
      <c r="T365" s="37" t="n"/>
      <c r="U365" s="37" t="n"/>
      <c r="V365" s="37" t="n"/>
      <c r="W365" s="278" t="n"/>
    </row>
    <row r="366">
      <c r="A366" s="37" t="n"/>
      <c r="B366" s="37" t="n"/>
      <c r="C366" s="37" t="n"/>
      <c r="D366" s="37" t="n"/>
      <c r="E366" s="37" t="n"/>
      <c r="F366" s="37" t="n"/>
      <c r="G366" s="274" t="n"/>
      <c r="H366" s="37" t="n"/>
      <c r="I366" s="37" t="n"/>
      <c r="J366" s="37" t="n"/>
      <c r="K366" s="274" t="n"/>
      <c r="L366" s="37" t="n"/>
      <c r="M366" s="37" t="n"/>
      <c r="N366" s="276" t="n"/>
      <c r="O366" s="276" t="n"/>
      <c r="P366" s="276" t="n"/>
      <c r="Q366" s="276" t="n"/>
      <c r="R366" s="276" t="n"/>
      <c r="S366" s="37" t="n"/>
      <c r="T366" s="37" t="n"/>
      <c r="U366" s="37" t="n"/>
      <c r="V366" s="37" t="n"/>
      <c r="W366" s="278" t="n"/>
    </row>
    <row r="367">
      <c r="A367" s="37" t="n"/>
      <c r="B367" s="37" t="n"/>
      <c r="C367" s="37" t="n"/>
      <c r="D367" s="37" t="n"/>
      <c r="E367" s="37" t="n"/>
      <c r="F367" s="37" t="n"/>
      <c r="G367" s="274" t="n"/>
      <c r="H367" s="37" t="n"/>
      <c r="I367" s="37" t="n"/>
      <c r="J367" s="37" t="n"/>
      <c r="K367" s="274" t="n"/>
      <c r="L367" s="37" t="n"/>
      <c r="M367" s="37" t="n"/>
      <c r="N367" s="276" t="n"/>
      <c r="O367" s="276" t="n"/>
      <c r="P367" s="276" t="n"/>
      <c r="Q367" s="276" t="n"/>
      <c r="R367" s="276" t="n"/>
      <c r="S367" s="37" t="n"/>
      <c r="T367" s="37" t="n"/>
      <c r="U367" s="37" t="n"/>
      <c r="V367" s="37" t="n"/>
      <c r="W367" s="278" t="n"/>
    </row>
    <row r="368">
      <c r="A368" s="37" t="n"/>
      <c r="B368" s="37" t="n"/>
      <c r="C368" s="37" t="n"/>
      <c r="D368" s="37" t="n"/>
      <c r="E368" s="37" t="n"/>
      <c r="F368" s="37" t="n"/>
      <c r="G368" s="274" t="n"/>
      <c r="H368" s="37" t="n"/>
      <c r="I368" s="37" t="n"/>
      <c r="J368" s="37" t="n"/>
      <c r="K368" s="274" t="n"/>
      <c r="L368" s="37" t="n"/>
      <c r="M368" s="37" t="n"/>
      <c r="N368" s="276" t="n"/>
      <c r="O368" s="276" t="n"/>
      <c r="P368" s="276" t="n"/>
      <c r="Q368" s="276" t="n"/>
      <c r="R368" s="276" t="n"/>
      <c r="S368" s="37" t="n"/>
      <c r="T368" s="37" t="n"/>
      <c r="U368" s="37" t="n"/>
      <c r="V368" s="37" t="n"/>
      <c r="W368" s="278" t="n"/>
    </row>
    <row r="369">
      <c r="A369" s="37" t="n"/>
      <c r="B369" s="37" t="n"/>
      <c r="C369" s="37" t="n"/>
      <c r="D369" s="37" t="n"/>
      <c r="E369" s="37" t="n"/>
      <c r="F369" s="37" t="n"/>
      <c r="G369" s="274" t="n"/>
      <c r="H369" s="37" t="n"/>
      <c r="I369" s="37" t="n"/>
      <c r="J369" s="37" t="n"/>
      <c r="K369" s="274" t="n"/>
      <c r="L369" s="37" t="n"/>
      <c r="M369" s="37" t="n"/>
      <c r="N369" s="276" t="n"/>
      <c r="O369" s="276" t="n"/>
      <c r="P369" s="276" t="n"/>
      <c r="Q369" s="276" t="n"/>
      <c r="R369" s="276" t="n"/>
      <c r="S369" s="37" t="n"/>
      <c r="T369" s="37" t="n"/>
      <c r="U369" s="37" t="n"/>
      <c r="V369" s="37" t="n"/>
      <c r="W369" s="278" t="n"/>
    </row>
    <row r="370">
      <c r="A370" s="37" t="n"/>
      <c r="B370" s="37" t="n"/>
      <c r="C370" s="37" t="n"/>
      <c r="D370" s="37" t="n"/>
      <c r="E370" s="37" t="n"/>
      <c r="F370" s="37" t="n"/>
      <c r="G370" s="274" t="n"/>
      <c r="H370" s="37" t="n"/>
      <c r="I370" s="37" t="n"/>
      <c r="J370" s="37" t="n"/>
      <c r="K370" s="274" t="n"/>
      <c r="L370" s="37" t="n"/>
      <c r="M370" s="37" t="n"/>
      <c r="N370" s="276" t="n"/>
      <c r="O370" s="276" t="n"/>
      <c r="P370" s="276" t="n"/>
      <c r="Q370" s="276" t="n"/>
      <c r="R370" s="276" t="n"/>
      <c r="S370" s="37" t="n"/>
      <c r="T370" s="37" t="n"/>
      <c r="U370" s="37" t="n"/>
      <c r="V370" s="37" t="n"/>
      <c r="W370" s="278" t="n"/>
    </row>
    <row r="371">
      <c r="A371" s="37" t="n"/>
      <c r="B371" s="37" t="n"/>
      <c r="C371" s="37" t="n"/>
      <c r="D371" s="37" t="n"/>
      <c r="E371" s="37" t="n"/>
      <c r="F371" s="37" t="n"/>
      <c r="G371" s="274" t="n"/>
      <c r="H371" s="37" t="n"/>
      <c r="I371" s="37" t="n"/>
      <c r="J371" s="37" t="n"/>
      <c r="K371" s="274" t="n"/>
      <c r="L371" s="37" t="n"/>
      <c r="M371" s="37" t="n"/>
      <c r="N371" s="276" t="n"/>
      <c r="O371" s="276" t="n"/>
      <c r="P371" s="276" t="n"/>
      <c r="Q371" s="276" t="n"/>
      <c r="R371" s="276" t="n"/>
      <c r="S371" s="37" t="n"/>
      <c r="T371" s="37" t="n"/>
      <c r="U371" s="37" t="n"/>
      <c r="V371" s="37" t="n"/>
      <c r="W371" s="278" t="n"/>
    </row>
    <row r="372">
      <c r="A372" s="37" t="n"/>
      <c r="B372" s="37" t="n"/>
      <c r="C372" s="37" t="n"/>
      <c r="D372" s="37" t="n"/>
      <c r="E372" s="37" t="n"/>
      <c r="F372" s="37" t="n"/>
      <c r="G372" s="274" t="n"/>
      <c r="H372" s="37" t="n"/>
      <c r="I372" s="37" t="n"/>
      <c r="J372" s="37" t="n"/>
      <c r="K372" s="274" t="n"/>
      <c r="L372" s="37" t="n"/>
      <c r="M372" s="37" t="n"/>
      <c r="N372" s="276" t="n"/>
      <c r="O372" s="276" t="n"/>
      <c r="P372" s="276" t="n"/>
      <c r="Q372" s="276" t="n"/>
      <c r="R372" s="276" t="n"/>
      <c r="S372" s="37" t="n"/>
      <c r="T372" s="37" t="n"/>
      <c r="U372" s="37" t="n"/>
      <c r="V372" s="37" t="n"/>
      <c r="W372" s="278" t="n"/>
    </row>
    <row r="373">
      <c r="A373" s="37" t="n"/>
      <c r="B373" s="37" t="n"/>
      <c r="C373" s="37" t="n"/>
      <c r="D373" s="37" t="n"/>
      <c r="E373" s="37" t="n"/>
      <c r="F373" s="37" t="n"/>
      <c r="G373" s="274" t="n"/>
      <c r="H373" s="37" t="n"/>
      <c r="I373" s="37" t="n"/>
      <c r="J373" s="37" t="n"/>
      <c r="K373" s="274" t="n"/>
      <c r="L373" s="37" t="n"/>
      <c r="M373" s="37" t="n"/>
      <c r="N373" s="276" t="n"/>
      <c r="O373" s="276" t="n"/>
      <c r="P373" s="276" t="n"/>
      <c r="Q373" s="276" t="n"/>
      <c r="R373" s="276" t="n"/>
      <c r="S373" s="37" t="n"/>
      <c r="T373" s="37" t="n"/>
      <c r="U373" s="37" t="n"/>
      <c r="V373" s="37" t="n"/>
      <c r="W373" s="278" t="n"/>
    </row>
    <row r="374">
      <c r="A374" s="37" t="n"/>
      <c r="B374" s="37" t="n"/>
      <c r="C374" s="37" t="n"/>
      <c r="D374" s="37" t="n"/>
      <c r="E374" s="37" t="n"/>
      <c r="F374" s="37" t="n"/>
      <c r="G374" s="274" t="n"/>
      <c r="H374" s="37" t="n"/>
      <c r="I374" s="37" t="n"/>
      <c r="J374" s="37" t="n"/>
      <c r="K374" s="274" t="n"/>
      <c r="L374" s="37" t="n"/>
      <c r="M374" s="37" t="n"/>
      <c r="N374" s="276" t="n"/>
      <c r="O374" s="276" t="n"/>
      <c r="P374" s="276" t="n"/>
      <c r="Q374" s="276" t="n"/>
      <c r="R374" s="276" t="n"/>
      <c r="S374" s="37" t="n"/>
      <c r="T374" s="37" t="n"/>
      <c r="U374" s="37" t="n"/>
      <c r="V374" s="37" t="n"/>
      <c r="W374" s="278" t="n"/>
    </row>
    <row r="375">
      <c r="A375" s="37" t="n"/>
      <c r="B375" s="37" t="n"/>
      <c r="C375" s="37" t="n"/>
      <c r="D375" s="37" t="n"/>
      <c r="E375" s="37" t="n"/>
      <c r="F375" s="37" t="n"/>
      <c r="G375" s="274" t="n"/>
      <c r="H375" s="37" t="n"/>
      <c r="I375" s="37" t="n"/>
      <c r="J375" s="37" t="n"/>
      <c r="K375" s="274" t="n"/>
      <c r="L375" s="37" t="n"/>
      <c r="M375" s="37" t="n"/>
      <c r="N375" s="276" t="n"/>
      <c r="O375" s="276" t="n"/>
      <c r="P375" s="276" t="n"/>
      <c r="Q375" s="276" t="n"/>
      <c r="R375" s="276" t="n"/>
      <c r="S375" s="37" t="n"/>
      <c r="T375" s="37" t="n"/>
      <c r="U375" s="37" t="n"/>
      <c r="V375" s="37" t="n"/>
      <c r="W375" s="278" t="n"/>
    </row>
    <row r="376">
      <c r="A376" s="37" t="n"/>
      <c r="B376" s="37" t="n"/>
      <c r="C376" s="37" t="n"/>
      <c r="D376" s="37" t="n"/>
      <c r="E376" s="37" t="n"/>
      <c r="F376" s="37" t="n"/>
      <c r="G376" s="274" t="n"/>
      <c r="H376" s="37" t="n"/>
      <c r="I376" s="37" t="n"/>
      <c r="J376" s="37" t="n"/>
      <c r="K376" s="274" t="n"/>
      <c r="L376" s="37" t="n"/>
      <c r="M376" s="37" t="n"/>
      <c r="N376" s="276" t="n"/>
      <c r="O376" s="276" t="n"/>
      <c r="P376" s="276" t="n"/>
      <c r="Q376" s="276" t="n"/>
      <c r="R376" s="276" t="n"/>
      <c r="S376" s="37" t="n"/>
      <c r="T376" s="37" t="n"/>
      <c r="U376" s="37" t="n"/>
      <c r="V376" s="37" t="n"/>
      <c r="W376" s="278" t="n"/>
    </row>
    <row r="377">
      <c r="A377" s="37" t="n"/>
      <c r="B377" s="37" t="n"/>
      <c r="C377" s="37" t="n"/>
      <c r="D377" s="37" t="n"/>
      <c r="E377" s="37" t="n"/>
      <c r="F377" s="37" t="n"/>
      <c r="G377" s="274" t="n"/>
      <c r="H377" s="37" t="n"/>
      <c r="I377" s="37" t="n"/>
      <c r="J377" s="37" t="n"/>
      <c r="K377" s="274" t="n"/>
      <c r="L377" s="37" t="n"/>
      <c r="M377" s="37" t="n"/>
      <c r="N377" s="276" t="n"/>
      <c r="O377" s="276" t="n"/>
      <c r="P377" s="276" t="n"/>
      <c r="Q377" s="276" t="n"/>
      <c r="R377" s="276" t="n"/>
      <c r="S377" s="37" t="n"/>
      <c r="T377" s="37" t="n"/>
      <c r="U377" s="37" t="n"/>
      <c r="V377" s="37" t="n"/>
      <c r="W377" s="278" t="n"/>
    </row>
    <row r="378">
      <c r="A378" s="37" t="n"/>
      <c r="B378" s="37" t="n"/>
      <c r="C378" s="37" t="n"/>
      <c r="D378" s="37" t="n"/>
      <c r="E378" s="37" t="n"/>
      <c r="F378" s="37" t="n"/>
      <c r="G378" s="274" t="n"/>
      <c r="H378" s="37" t="n"/>
      <c r="I378" s="37" t="n"/>
      <c r="J378" s="37" t="n"/>
      <c r="K378" s="274" t="n"/>
      <c r="L378" s="37" t="n"/>
      <c r="M378" s="37" t="n"/>
      <c r="N378" s="276" t="n"/>
      <c r="O378" s="276" t="n"/>
      <c r="P378" s="276" t="n"/>
      <c r="Q378" s="276" t="n"/>
      <c r="R378" s="276" t="n"/>
      <c r="S378" s="37" t="n"/>
      <c r="T378" s="37" t="n"/>
      <c r="U378" s="37" t="n"/>
      <c r="V378" s="37" t="n"/>
      <c r="W378" s="278" t="n"/>
    </row>
    <row r="379">
      <c r="A379" s="37" t="n"/>
      <c r="B379" s="37" t="n"/>
      <c r="C379" s="37" t="n"/>
      <c r="D379" s="37" t="n"/>
      <c r="E379" s="37" t="n"/>
      <c r="F379" s="37" t="n"/>
      <c r="G379" s="274" t="n"/>
      <c r="H379" s="37" t="n"/>
      <c r="I379" s="37" t="n"/>
      <c r="J379" s="37" t="n"/>
      <c r="K379" s="274" t="n"/>
      <c r="L379" s="37" t="n"/>
      <c r="M379" s="37" t="n"/>
      <c r="N379" s="276" t="n"/>
      <c r="O379" s="276" t="n"/>
      <c r="P379" s="276" t="n"/>
      <c r="Q379" s="276" t="n"/>
      <c r="R379" s="276" t="n"/>
      <c r="S379" s="37" t="n"/>
      <c r="T379" s="37" t="n"/>
      <c r="U379" s="37" t="n"/>
      <c r="V379" s="37" t="n"/>
      <c r="W379" s="278" t="n"/>
    </row>
    <row r="380">
      <c r="A380" s="37" t="n"/>
      <c r="B380" s="37" t="n"/>
      <c r="C380" s="37" t="n"/>
      <c r="D380" s="37" t="n"/>
      <c r="E380" s="37" t="n"/>
      <c r="F380" s="37" t="n"/>
      <c r="G380" s="274" t="n"/>
      <c r="H380" s="37" t="n"/>
      <c r="I380" s="37" t="n"/>
      <c r="J380" s="37" t="n"/>
      <c r="K380" s="274" t="n"/>
      <c r="L380" s="37" t="n"/>
      <c r="M380" s="37" t="n"/>
      <c r="N380" s="276" t="n"/>
      <c r="O380" s="276" t="n"/>
      <c r="P380" s="276" t="n"/>
      <c r="Q380" s="276" t="n"/>
      <c r="R380" s="276" t="n"/>
      <c r="S380" s="37" t="n"/>
      <c r="T380" s="37" t="n"/>
      <c r="U380" s="37" t="n"/>
      <c r="V380" s="37" t="n"/>
      <c r="W380" s="278" t="n"/>
    </row>
    <row r="381">
      <c r="A381" s="37" t="n"/>
      <c r="B381" s="37" t="n"/>
      <c r="C381" s="37" t="n"/>
      <c r="D381" s="37" t="n"/>
      <c r="E381" s="37" t="n"/>
      <c r="F381" s="37" t="n"/>
      <c r="G381" s="274" t="n"/>
      <c r="H381" s="37" t="n"/>
      <c r="I381" s="37" t="n"/>
      <c r="J381" s="37" t="n"/>
      <c r="K381" s="274" t="n"/>
      <c r="L381" s="37" t="n"/>
      <c r="M381" s="37" t="n"/>
      <c r="N381" s="276" t="n"/>
      <c r="O381" s="276" t="n"/>
      <c r="P381" s="276" t="n"/>
      <c r="Q381" s="276" t="n"/>
      <c r="R381" s="276" t="n"/>
      <c r="S381" s="37" t="n"/>
      <c r="T381" s="37" t="n"/>
      <c r="U381" s="37" t="n"/>
      <c r="V381" s="37" t="n"/>
      <c r="W381" s="278" t="n"/>
    </row>
    <row r="382">
      <c r="A382" s="37" t="n"/>
      <c r="B382" s="37" t="n"/>
      <c r="C382" s="37" t="n"/>
      <c r="D382" s="37" t="n"/>
      <c r="E382" s="37" t="n"/>
      <c r="F382" s="37" t="n"/>
      <c r="G382" s="274" t="n"/>
      <c r="H382" s="37" t="n"/>
      <c r="I382" s="37" t="n"/>
      <c r="J382" s="37" t="n"/>
      <c r="K382" s="274" t="n"/>
      <c r="L382" s="37" t="n"/>
      <c r="M382" s="37" t="n"/>
      <c r="N382" s="276" t="n"/>
      <c r="O382" s="276" t="n"/>
      <c r="P382" s="276" t="n"/>
      <c r="Q382" s="276" t="n"/>
      <c r="R382" s="276" t="n"/>
      <c r="S382" s="37" t="n"/>
      <c r="T382" s="37" t="n"/>
      <c r="U382" s="37" t="n"/>
      <c r="V382" s="37" t="n"/>
      <c r="W382" s="278" t="n"/>
    </row>
    <row r="383">
      <c r="A383" s="37" t="n"/>
      <c r="B383" s="37" t="n"/>
      <c r="C383" s="37" t="n"/>
      <c r="D383" s="37" t="n"/>
      <c r="E383" s="37" t="n"/>
      <c r="F383" s="37" t="n"/>
      <c r="G383" s="274" t="n"/>
      <c r="H383" s="37" t="n"/>
      <c r="I383" s="37" t="n"/>
      <c r="J383" s="37" t="n"/>
      <c r="K383" s="274" t="n"/>
      <c r="L383" s="37" t="n"/>
      <c r="M383" s="37" t="n"/>
      <c r="N383" s="276" t="n"/>
      <c r="O383" s="276" t="n"/>
      <c r="P383" s="276" t="n"/>
      <c r="Q383" s="276" t="n"/>
      <c r="R383" s="276" t="n"/>
      <c r="S383" s="37" t="n"/>
      <c r="T383" s="37" t="n"/>
      <c r="U383" s="37" t="n"/>
      <c r="V383" s="37" t="n"/>
      <c r="W383" s="278" t="n"/>
    </row>
    <row r="384">
      <c r="A384" s="37" t="n"/>
      <c r="B384" s="37" t="n"/>
      <c r="C384" s="37" t="n"/>
      <c r="D384" s="37" t="n"/>
      <c r="E384" s="37" t="n"/>
      <c r="F384" s="37" t="n"/>
      <c r="G384" s="274" t="n"/>
      <c r="H384" s="37" t="n"/>
      <c r="I384" s="37" t="n"/>
      <c r="J384" s="37" t="n"/>
      <c r="K384" s="274" t="n"/>
      <c r="L384" s="37" t="n"/>
      <c r="M384" s="37" t="n"/>
      <c r="N384" s="276" t="n"/>
      <c r="O384" s="276" t="n"/>
      <c r="P384" s="276" t="n"/>
      <c r="Q384" s="276" t="n"/>
      <c r="R384" s="276" t="n"/>
      <c r="S384" s="37" t="n"/>
      <c r="T384" s="37" t="n"/>
      <c r="U384" s="37" t="n"/>
      <c r="V384" s="37" t="n"/>
      <c r="W384" s="278" t="n"/>
    </row>
    <row r="385">
      <c r="A385" s="37" t="n"/>
      <c r="B385" s="37" t="n"/>
      <c r="C385" s="37" t="n"/>
      <c r="D385" s="37" t="n"/>
      <c r="E385" s="37" t="n"/>
      <c r="F385" s="37" t="n"/>
      <c r="G385" s="274" t="n"/>
      <c r="H385" s="37" t="n"/>
      <c r="I385" s="37" t="n"/>
      <c r="J385" s="37" t="n"/>
      <c r="K385" s="274" t="n"/>
      <c r="L385" s="37" t="n"/>
      <c r="M385" s="37" t="n"/>
      <c r="N385" s="276" t="n"/>
      <c r="O385" s="276" t="n"/>
      <c r="P385" s="276" t="n"/>
      <c r="Q385" s="276" t="n"/>
      <c r="R385" s="276" t="n"/>
      <c r="S385" s="37" t="n"/>
      <c r="T385" s="37" t="n"/>
      <c r="U385" s="37" t="n"/>
      <c r="V385" s="37" t="n"/>
      <c r="W385" s="278" t="n"/>
    </row>
    <row r="386">
      <c r="A386" s="37" t="n"/>
      <c r="B386" s="37" t="n"/>
      <c r="C386" s="37" t="n"/>
      <c r="D386" s="37" t="n"/>
      <c r="E386" s="37" t="n"/>
      <c r="F386" s="37" t="n"/>
      <c r="G386" s="274" t="n"/>
      <c r="H386" s="37" t="n"/>
      <c r="I386" s="37" t="n"/>
      <c r="J386" s="37" t="n"/>
      <c r="K386" s="274" t="n"/>
      <c r="L386" s="37" t="n"/>
      <c r="M386" s="37" t="n"/>
      <c r="N386" s="276" t="n"/>
      <c r="O386" s="276" t="n"/>
      <c r="P386" s="276" t="n"/>
      <c r="Q386" s="276" t="n"/>
      <c r="R386" s="276" t="n"/>
      <c r="S386" s="37" t="n"/>
      <c r="T386" s="37" t="n"/>
      <c r="U386" s="37" t="n"/>
      <c r="V386" s="37" t="n"/>
      <c r="W386" s="278" t="n"/>
    </row>
    <row r="387">
      <c r="A387" s="37" t="n"/>
      <c r="B387" s="37" t="n"/>
      <c r="C387" s="37" t="n"/>
      <c r="D387" s="37" t="n"/>
      <c r="E387" s="37" t="n"/>
      <c r="F387" s="37" t="n"/>
      <c r="G387" s="274" t="n"/>
      <c r="H387" s="37" t="n"/>
      <c r="I387" s="37" t="n"/>
      <c r="J387" s="37" t="n"/>
      <c r="K387" s="274" t="n"/>
      <c r="L387" s="37" t="n"/>
      <c r="M387" s="37" t="n"/>
      <c r="N387" s="276" t="n"/>
      <c r="O387" s="276" t="n"/>
      <c r="P387" s="276" t="n"/>
      <c r="Q387" s="276" t="n"/>
      <c r="R387" s="276" t="n"/>
      <c r="S387" s="37" t="n"/>
      <c r="T387" s="37" t="n"/>
      <c r="U387" s="37" t="n"/>
      <c r="V387" s="37" t="n"/>
      <c r="W387" s="278" t="n"/>
    </row>
    <row r="388">
      <c r="A388" s="37" t="n"/>
      <c r="B388" s="37" t="n"/>
      <c r="C388" s="37" t="n"/>
      <c r="D388" s="37" t="n"/>
      <c r="E388" s="37" t="n"/>
      <c r="F388" s="37" t="n"/>
      <c r="G388" s="274" t="n"/>
      <c r="H388" s="37" t="n"/>
      <c r="I388" s="37" t="n"/>
      <c r="J388" s="37" t="n"/>
      <c r="K388" s="274" t="n"/>
      <c r="L388" s="37" t="n"/>
      <c r="M388" s="37" t="n"/>
      <c r="N388" s="276" t="n"/>
      <c r="O388" s="276" t="n"/>
      <c r="P388" s="276" t="n"/>
      <c r="Q388" s="276" t="n"/>
      <c r="R388" s="276" t="n"/>
      <c r="S388" s="37" t="n"/>
      <c r="T388" s="37" t="n"/>
      <c r="U388" s="37" t="n"/>
      <c r="V388" s="37" t="n"/>
      <c r="W388" s="278" t="n"/>
    </row>
    <row r="389">
      <c r="A389" s="37" t="n"/>
      <c r="B389" s="37" t="n"/>
      <c r="C389" s="37" t="n"/>
      <c r="D389" s="37" t="n"/>
      <c r="E389" s="37" t="n"/>
      <c r="F389" s="37" t="n"/>
      <c r="G389" s="274" t="n"/>
      <c r="H389" s="37" t="n"/>
      <c r="I389" s="37" t="n"/>
      <c r="J389" s="37" t="n"/>
      <c r="K389" s="274" t="n"/>
      <c r="L389" s="37" t="n"/>
      <c r="M389" s="37" t="n"/>
      <c r="N389" s="276" t="n"/>
      <c r="O389" s="276" t="n"/>
      <c r="P389" s="276" t="n"/>
      <c r="Q389" s="276" t="n"/>
      <c r="R389" s="276" t="n"/>
      <c r="S389" s="37" t="n"/>
      <c r="T389" s="37" t="n"/>
      <c r="U389" s="37" t="n"/>
      <c r="V389" s="37" t="n"/>
      <c r="W389" s="278" t="n"/>
    </row>
    <row r="390">
      <c r="A390" s="37" t="n"/>
      <c r="B390" s="37" t="n"/>
      <c r="C390" s="37" t="n"/>
      <c r="D390" s="37" t="n"/>
      <c r="E390" s="37" t="n"/>
      <c r="F390" s="37" t="n"/>
      <c r="G390" s="274" t="n"/>
      <c r="H390" s="37" t="n"/>
      <c r="I390" s="37" t="n"/>
      <c r="J390" s="37" t="n"/>
      <c r="K390" s="274" t="n"/>
      <c r="L390" s="37" t="n"/>
      <c r="M390" s="37" t="n"/>
      <c r="N390" s="276" t="n"/>
      <c r="O390" s="276" t="n"/>
      <c r="P390" s="276" t="n"/>
      <c r="Q390" s="276" t="n"/>
      <c r="R390" s="276" t="n"/>
      <c r="S390" s="37" t="n"/>
      <c r="T390" s="37" t="n"/>
      <c r="U390" s="37" t="n"/>
      <c r="V390" s="37" t="n"/>
      <c r="W390" s="278" t="n"/>
    </row>
    <row r="391">
      <c r="A391" s="37" t="n"/>
      <c r="B391" s="37" t="n"/>
      <c r="C391" s="37" t="n"/>
      <c r="D391" s="37" t="n"/>
      <c r="E391" s="37" t="n"/>
      <c r="F391" s="37" t="n"/>
      <c r="G391" s="274" t="n"/>
      <c r="H391" s="37" t="n"/>
      <c r="I391" s="37" t="n"/>
      <c r="J391" s="37" t="n"/>
      <c r="K391" s="274" t="n"/>
      <c r="L391" s="37" t="n"/>
      <c r="M391" s="37" t="n"/>
      <c r="N391" s="276" t="n"/>
      <c r="O391" s="276" t="n"/>
      <c r="P391" s="276" t="n"/>
      <c r="Q391" s="276" t="n"/>
      <c r="R391" s="276" t="n"/>
      <c r="S391" s="37" t="n"/>
      <c r="T391" s="37" t="n"/>
      <c r="U391" s="37" t="n"/>
      <c r="V391" s="37" t="n"/>
      <c r="W391" s="278" t="n"/>
    </row>
    <row r="392">
      <c r="A392" s="37" t="n"/>
      <c r="B392" s="37" t="n"/>
      <c r="C392" s="37" t="n"/>
      <c r="D392" s="37" t="n"/>
      <c r="E392" s="37" t="n"/>
      <c r="F392" s="37" t="n"/>
      <c r="G392" s="274" t="n"/>
      <c r="H392" s="37" t="n"/>
      <c r="I392" s="37" t="n"/>
      <c r="J392" s="37" t="n"/>
      <c r="K392" s="274" t="n"/>
      <c r="L392" s="37" t="n"/>
      <c r="M392" s="37" t="n"/>
      <c r="N392" s="276" t="n"/>
      <c r="O392" s="276" t="n"/>
      <c r="P392" s="276" t="n"/>
      <c r="Q392" s="276" t="n"/>
      <c r="R392" s="276" t="n"/>
      <c r="S392" s="37" t="n"/>
      <c r="T392" s="37" t="n"/>
      <c r="U392" s="37" t="n"/>
      <c r="V392" s="37" t="n"/>
      <c r="W392" s="278" t="n"/>
    </row>
    <row r="393">
      <c r="A393" s="37" t="n"/>
      <c r="B393" s="37" t="n"/>
      <c r="C393" s="37" t="n"/>
      <c r="D393" s="37" t="n"/>
      <c r="E393" s="37" t="n"/>
      <c r="F393" s="37" t="n"/>
      <c r="G393" s="274" t="n"/>
      <c r="H393" s="37" t="n"/>
      <c r="I393" s="37" t="n"/>
      <c r="J393" s="37" t="n"/>
      <c r="K393" s="274" t="n"/>
      <c r="L393" s="37" t="n"/>
      <c r="M393" s="37" t="n"/>
      <c r="N393" s="276" t="n"/>
      <c r="O393" s="276" t="n"/>
      <c r="P393" s="276" t="n"/>
      <c r="Q393" s="276" t="n"/>
      <c r="R393" s="276" t="n"/>
      <c r="S393" s="37" t="n"/>
      <c r="T393" s="37" t="n"/>
      <c r="U393" s="37" t="n"/>
      <c r="V393" s="37" t="n"/>
      <c r="W393" s="278" t="n"/>
    </row>
    <row r="394">
      <c r="A394" s="37" t="n"/>
      <c r="B394" s="37" t="n"/>
      <c r="C394" s="37" t="n"/>
      <c r="D394" s="37" t="n"/>
      <c r="E394" s="37" t="n"/>
      <c r="F394" s="37" t="n"/>
      <c r="G394" s="274" t="n"/>
      <c r="H394" s="37" t="n"/>
      <c r="I394" s="37" t="n"/>
      <c r="J394" s="37" t="n"/>
      <c r="K394" s="274" t="n"/>
      <c r="L394" s="37" t="n"/>
      <c r="M394" s="37" t="n"/>
      <c r="N394" s="276" t="n"/>
      <c r="O394" s="276" t="n"/>
      <c r="P394" s="276" t="n"/>
      <c r="Q394" s="276" t="n"/>
      <c r="R394" s="276" t="n"/>
      <c r="S394" s="37" t="n"/>
      <c r="T394" s="37" t="n"/>
      <c r="U394" s="37" t="n"/>
      <c r="V394" s="37" t="n"/>
      <c r="W394" s="278" t="n"/>
    </row>
    <row r="395">
      <c r="A395" s="37" t="n"/>
      <c r="B395" s="37" t="n"/>
      <c r="C395" s="37" t="n"/>
      <c r="D395" s="37" t="n"/>
      <c r="E395" s="37" t="n"/>
      <c r="F395" s="37" t="n"/>
      <c r="G395" s="274" t="n"/>
      <c r="H395" s="37" t="n"/>
      <c r="I395" s="37" t="n"/>
      <c r="J395" s="37" t="n"/>
      <c r="K395" s="274" t="n"/>
      <c r="L395" s="37" t="n"/>
      <c r="M395" s="37" t="n"/>
      <c r="N395" s="276" t="n"/>
      <c r="O395" s="276" t="n"/>
      <c r="P395" s="276" t="n"/>
      <c r="Q395" s="276" t="n"/>
      <c r="R395" s="276" t="n"/>
      <c r="S395" s="37" t="n"/>
      <c r="T395" s="37" t="n"/>
      <c r="U395" s="37" t="n"/>
      <c r="V395" s="37" t="n"/>
      <c r="W395" s="278" t="n"/>
    </row>
    <row r="396">
      <c r="A396" s="37" t="n"/>
      <c r="B396" s="37" t="n"/>
      <c r="C396" s="37" t="n"/>
      <c r="D396" s="37" t="n"/>
      <c r="E396" s="37" t="n"/>
      <c r="F396" s="37" t="n"/>
      <c r="G396" s="274" t="n"/>
      <c r="H396" s="37" t="n"/>
      <c r="I396" s="37" t="n"/>
      <c r="J396" s="37" t="n"/>
      <c r="K396" s="274" t="n"/>
      <c r="L396" s="37" t="n"/>
      <c r="M396" s="37" t="n"/>
      <c r="N396" s="276" t="n"/>
      <c r="O396" s="276" t="n"/>
      <c r="P396" s="276" t="n"/>
      <c r="Q396" s="276" t="n"/>
      <c r="R396" s="276" t="n"/>
      <c r="S396" s="37" t="n"/>
      <c r="T396" s="37" t="n"/>
      <c r="U396" s="37" t="n"/>
      <c r="V396" s="37" t="n"/>
      <c r="W396" s="278" t="n"/>
    </row>
    <row r="397">
      <c r="A397" s="37" t="n"/>
      <c r="B397" s="37" t="n"/>
      <c r="C397" s="37" t="n"/>
      <c r="D397" s="37" t="n"/>
      <c r="E397" s="37" t="n"/>
      <c r="F397" s="37" t="n"/>
      <c r="G397" s="274" t="n"/>
      <c r="H397" s="37" t="n"/>
      <c r="I397" s="37" t="n"/>
      <c r="J397" s="37" t="n"/>
      <c r="K397" s="274" t="n"/>
      <c r="L397" s="37" t="n"/>
      <c r="M397" s="37" t="n"/>
      <c r="N397" s="276" t="n"/>
      <c r="O397" s="276" t="n"/>
      <c r="P397" s="276" t="n"/>
      <c r="Q397" s="276" t="n"/>
      <c r="R397" s="276" t="n"/>
      <c r="S397" s="37" t="n"/>
      <c r="T397" s="37" t="n"/>
      <c r="U397" s="37" t="n"/>
      <c r="V397" s="37" t="n"/>
      <c r="W397" s="278" t="n"/>
    </row>
    <row r="398">
      <c r="A398" s="37" t="n"/>
      <c r="B398" s="37" t="n"/>
      <c r="C398" s="37" t="n"/>
      <c r="D398" s="37" t="n"/>
      <c r="E398" s="37" t="n"/>
      <c r="F398" s="37" t="n"/>
      <c r="G398" s="274" t="n"/>
      <c r="H398" s="37" t="n"/>
      <c r="I398" s="37" t="n"/>
      <c r="J398" s="37" t="n"/>
      <c r="K398" s="274" t="n"/>
      <c r="L398" s="37" t="n"/>
      <c r="M398" s="37" t="n"/>
      <c r="N398" s="276" t="n"/>
      <c r="O398" s="276" t="n"/>
      <c r="P398" s="276" t="n"/>
      <c r="Q398" s="276" t="n"/>
      <c r="R398" s="276" t="n"/>
      <c r="S398" s="37" t="n"/>
      <c r="T398" s="37" t="n"/>
      <c r="U398" s="37" t="n"/>
      <c r="V398" s="37" t="n"/>
      <c r="W398" s="278" t="n"/>
    </row>
    <row r="399">
      <c r="A399" s="37" t="n"/>
      <c r="B399" s="37" t="n"/>
      <c r="C399" s="37" t="n"/>
      <c r="D399" s="37" t="n"/>
      <c r="E399" s="37" t="n"/>
      <c r="F399" s="37" t="n"/>
      <c r="G399" s="274" t="n"/>
      <c r="H399" s="37" t="n"/>
      <c r="I399" s="37" t="n"/>
      <c r="J399" s="37" t="n"/>
      <c r="K399" s="274" t="n"/>
      <c r="L399" s="37" t="n"/>
      <c r="M399" s="37" t="n"/>
      <c r="N399" s="276" t="n"/>
      <c r="O399" s="276" t="n"/>
      <c r="P399" s="276" t="n"/>
      <c r="Q399" s="276" t="n"/>
      <c r="R399" s="276" t="n"/>
      <c r="S399" s="37" t="n"/>
      <c r="T399" s="37" t="n"/>
      <c r="U399" s="37" t="n"/>
      <c r="V399" s="37" t="n"/>
      <c r="W399" s="278" t="n"/>
    </row>
    <row r="400">
      <c r="A400" s="37" t="n"/>
      <c r="B400" s="37" t="n"/>
      <c r="C400" s="37" t="n"/>
      <c r="D400" s="37" t="n"/>
      <c r="E400" s="37" t="n"/>
      <c r="F400" s="37" t="n"/>
      <c r="G400" s="274" t="n"/>
      <c r="H400" s="37" t="n"/>
      <c r="I400" s="37" t="n"/>
      <c r="J400" s="37" t="n"/>
      <c r="K400" s="274" t="n"/>
      <c r="L400" s="37" t="n"/>
      <c r="M400" s="37" t="n"/>
      <c r="N400" s="276" t="n"/>
      <c r="O400" s="276" t="n"/>
      <c r="P400" s="276" t="n"/>
      <c r="Q400" s="276" t="n"/>
      <c r="R400" s="276" t="n"/>
      <c r="S400" s="37" t="n"/>
      <c r="T400" s="37" t="n"/>
      <c r="U400" s="37" t="n"/>
      <c r="V400" s="37" t="n"/>
      <c r="W400" s="278" t="n"/>
    </row>
    <row r="401">
      <c r="A401" s="37" t="n"/>
      <c r="B401" s="37" t="n"/>
      <c r="C401" s="37" t="n"/>
      <c r="D401" s="37" t="n"/>
      <c r="E401" s="37" t="n"/>
      <c r="F401" s="37" t="n"/>
      <c r="G401" s="274" t="n"/>
      <c r="H401" s="37" t="n"/>
      <c r="I401" s="37" t="n"/>
      <c r="J401" s="37" t="n"/>
      <c r="K401" s="274" t="n"/>
      <c r="L401" s="37" t="n"/>
      <c r="M401" s="37" t="n"/>
      <c r="N401" s="276" t="n"/>
      <c r="O401" s="276" t="n"/>
      <c r="P401" s="276" t="n"/>
      <c r="Q401" s="276" t="n"/>
      <c r="R401" s="276" t="n"/>
      <c r="S401" s="37" t="n"/>
      <c r="T401" s="37" t="n"/>
      <c r="U401" s="37" t="n"/>
      <c r="V401" s="37" t="n"/>
      <c r="W401" s="278" t="n"/>
    </row>
    <row r="402">
      <c r="A402" s="37" t="n"/>
      <c r="B402" s="37" t="n"/>
      <c r="C402" s="37" t="n"/>
      <c r="D402" s="37" t="n"/>
      <c r="E402" s="37" t="n"/>
      <c r="F402" s="37" t="n"/>
      <c r="G402" s="274" t="n"/>
      <c r="H402" s="37" t="n"/>
      <c r="I402" s="37" t="n"/>
      <c r="J402" s="37" t="n"/>
      <c r="K402" s="274" t="n"/>
      <c r="L402" s="37" t="n"/>
      <c r="M402" s="37" t="n"/>
      <c r="N402" s="276" t="n"/>
      <c r="O402" s="276" t="n"/>
      <c r="P402" s="276" t="n"/>
      <c r="Q402" s="276" t="n"/>
      <c r="R402" s="276" t="n"/>
      <c r="S402" s="37" t="n"/>
      <c r="T402" s="37" t="n"/>
      <c r="U402" s="37" t="n"/>
      <c r="V402" s="37" t="n"/>
      <c r="W402" s="278" t="n"/>
    </row>
    <row r="403">
      <c r="A403" s="37" t="n"/>
      <c r="B403" s="37" t="n"/>
      <c r="C403" s="37" t="n"/>
      <c r="D403" s="37" t="n"/>
      <c r="E403" s="37" t="n"/>
      <c r="F403" s="37" t="n"/>
      <c r="G403" s="274" t="n"/>
      <c r="H403" s="37" t="n"/>
      <c r="I403" s="37" t="n"/>
      <c r="J403" s="37" t="n"/>
      <c r="K403" s="274" t="n"/>
      <c r="L403" s="37" t="n"/>
      <c r="M403" s="37" t="n"/>
      <c r="N403" s="276" t="n"/>
      <c r="O403" s="276" t="n"/>
      <c r="P403" s="276" t="n"/>
      <c r="Q403" s="276" t="n"/>
      <c r="R403" s="276" t="n"/>
      <c r="S403" s="37" t="n"/>
      <c r="T403" s="37" t="n"/>
      <c r="U403" s="37" t="n"/>
      <c r="V403" s="37" t="n"/>
      <c r="W403" s="278" t="n"/>
    </row>
    <row r="404">
      <c r="A404" s="37" t="n"/>
      <c r="B404" s="37" t="n"/>
      <c r="C404" s="37" t="n"/>
      <c r="D404" s="37" t="n"/>
      <c r="E404" s="37" t="n"/>
      <c r="F404" s="37" t="n"/>
      <c r="G404" s="274" t="n"/>
      <c r="H404" s="37" t="n"/>
      <c r="I404" s="37" t="n"/>
      <c r="J404" s="37" t="n"/>
      <c r="K404" s="274" t="n"/>
      <c r="L404" s="37" t="n"/>
      <c r="M404" s="37" t="n"/>
      <c r="N404" s="276" t="n"/>
      <c r="O404" s="276" t="n"/>
      <c r="P404" s="276" t="n"/>
      <c r="Q404" s="276" t="n"/>
      <c r="R404" s="276" t="n"/>
      <c r="S404" s="37" t="n"/>
      <c r="T404" s="37" t="n"/>
      <c r="U404" s="37" t="n"/>
      <c r="V404" s="37" t="n"/>
      <c r="W404" s="278" t="n"/>
    </row>
    <row r="405">
      <c r="A405" s="37" t="n"/>
      <c r="B405" s="37" t="n"/>
      <c r="C405" s="37" t="n"/>
      <c r="D405" s="37" t="n"/>
      <c r="E405" s="37" t="n"/>
      <c r="F405" s="37" t="n"/>
      <c r="G405" s="274" t="n"/>
      <c r="H405" s="37" t="n"/>
      <c r="I405" s="37" t="n"/>
      <c r="J405" s="37" t="n"/>
      <c r="K405" s="274" t="n"/>
      <c r="L405" s="37" t="n"/>
      <c r="M405" s="37" t="n"/>
      <c r="N405" s="276" t="n"/>
      <c r="O405" s="276" t="n"/>
      <c r="P405" s="276" t="n"/>
      <c r="Q405" s="276" t="n"/>
      <c r="R405" s="276" t="n"/>
      <c r="S405" s="37" t="n"/>
      <c r="T405" s="37" t="n"/>
      <c r="U405" s="37" t="n"/>
      <c r="V405" s="37" t="n"/>
      <c r="W405" s="278" t="n"/>
    </row>
    <row r="406">
      <c r="A406" s="37" t="n"/>
      <c r="B406" s="37" t="n"/>
      <c r="C406" s="37" t="n"/>
      <c r="D406" s="37" t="n"/>
      <c r="E406" s="37" t="n"/>
      <c r="F406" s="37" t="n"/>
      <c r="G406" s="274" t="n"/>
      <c r="H406" s="37" t="n"/>
      <c r="I406" s="37" t="n"/>
      <c r="J406" s="37" t="n"/>
      <c r="K406" s="274" t="n"/>
      <c r="L406" s="37" t="n"/>
      <c r="M406" s="37" t="n"/>
      <c r="N406" s="276" t="n"/>
      <c r="O406" s="276" t="n"/>
      <c r="P406" s="276" t="n"/>
      <c r="Q406" s="276" t="n"/>
      <c r="R406" s="276" t="n"/>
      <c r="S406" s="37" t="n"/>
      <c r="T406" s="37" t="n"/>
      <c r="U406" s="37" t="n"/>
      <c r="V406" s="37" t="n"/>
      <c r="W406" s="278" t="n"/>
    </row>
    <row r="407">
      <c r="A407" s="37" t="n"/>
      <c r="B407" s="37" t="n"/>
      <c r="C407" s="37" t="n"/>
      <c r="D407" s="37" t="n"/>
      <c r="E407" s="37" t="n"/>
      <c r="F407" s="37" t="n"/>
      <c r="G407" s="274" t="n"/>
      <c r="H407" s="37" t="n"/>
      <c r="I407" s="37" t="n"/>
      <c r="J407" s="37" t="n"/>
      <c r="K407" s="274" t="n"/>
      <c r="L407" s="37" t="n"/>
      <c r="M407" s="37" t="n"/>
      <c r="N407" s="276" t="n"/>
      <c r="O407" s="276" t="n"/>
      <c r="P407" s="276" t="n"/>
      <c r="Q407" s="276" t="n"/>
      <c r="R407" s="276" t="n"/>
      <c r="S407" s="37" t="n"/>
      <c r="T407" s="37" t="n"/>
      <c r="U407" s="37" t="n"/>
      <c r="V407" s="37" t="n"/>
      <c r="W407" s="278" t="n"/>
    </row>
    <row r="408">
      <c r="A408" s="37" t="n"/>
      <c r="B408" s="37" t="n"/>
      <c r="C408" s="37" t="n"/>
      <c r="D408" s="37" t="n"/>
      <c r="E408" s="37" t="n"/>
      <c r="F408" s="37" t="n"/>
      <c r="G408" s="274" t="n"/>
      <c r="H408" s="37" t="n"/>
      <c r="I408" s="37" t="n"/>
      <c r="J408" s="37" t="n"/>
      <c r="K408" s="274" t="n"/>
      <c r="L408" s="37" t="n"/>
      <c r="M408" s="37" t="n"/>
      <c r="N408" s="276" t="n"/>
      <c r="O408" s="276" t="n"/>
      <c r="P408" s="276" t="n"/>
      <c r="Q408" s="276" t="n"/>
      <c r="R408" s="276" t="n"/>
      <c r="S408" s="37" t="n"/>
      <c r="T408" s="37" t="n"/>
      <c r="U408" s="37" t="n"/>
      <c r="V408" s="37" t="n"/>
      <c r="W408" s="278" t="n"/>
    </row>
    <row r="409">
      <c r="A409" s="37" t="n"/>
      <c r="B409" s="37" t="n"/>
      <c r="C409" s="37" t="n"/>
      <c r="D409" s="37" t="n"/>
      <c r="E409" s="37" t="n"/>
      <c r="F409" s="37" t="n"/>
      <c r="G409" s="274" t="n"/>
      <c r="H409" s="37" t="n"/>
      <c r="I409" s="37" t="n"/>
      <c r="J409" s="37" t="n"/>
      <c r="K409" s="274" t="n"/>
      <c r="L409" s="37" t="n"/>
      <c r="M409" s="37" t="n"/>
      <c r="N409" s="276" t="n"/>
      <c r="O409" s="276" t="n"/>
      <c r="P409" s="276" t="n"/>
      <c r="Q409" s="276" t="n"/>
      <c r="R409" s="276" t="n"/>
      <c r="S409" s="37" t="n"/>
      <c r="T409" s="37" t="n"/>
      <c r="U409" s="37" t="n"/>
      <c r="V409" s="37" t="n"/>
      <c r="W409" s="278" t="n"/>
    </row>
    <row r="410">
      <c r="A410" s="37" t="n"/>
      <c r="B410" s="37" t="n"/>
      <c r="C410" s="37" t="n"/>
      <c r="D410" s="37" t="n"/>
      <c r="E410" s="37" t="n"/>
      <c r="F410" s="37" t="n"/>
      <c r="G410" s="274" t="n"/>
      <c r="H410" s="37" t="n"/>
      <c r="I410" s="37" t="n"/>
      <c r="J410" s="37" t="n"/>
      <c r="K410" s="274" t="n"/>
      <c r="L410" s="37" t="n"/>
      <c r="M410" s="37" t="n"/>
      <c r="N410" s="276" t="n"/>
      <c r="O410" s="276" t="n"/>
      <c r="P410" s="276" t="n"/>
      <c r="Q410" s="276" t="n"/>
      <c r="R410" s="276" t="n"/>
      <c r="S410" s="37" t="n"/>
      <c r="T410" s="37" t="n"/>
      <c r="U410" s="37" t="n"/>
      <c r="V410" s="37" t="n"/>
      <c r="W410" s="278" t="n"/>
    </row>
    <row r="411">
      <c r="A411" s="37" t="n"/>
      <c r="B411" s="37" t="n"/>
      <c r="C411" s="37" t="n"/>
      <c r="D411" s="37" t="n"/>
      <c r="E411" s="37" t="n"/>
      <c r="F411" s="37" t="n"/>
      <c r="G411" s="274" t="n"/>
      <c r="H411" s="37" t="n"/>
      <c r="I411" s="37" t="n"/>
      <c r="J411" s="37" t="n"/>
      <c r="K411" s="274" t="n"/>
      <c r="L411" s="37" t="n"/>
      <c r="M411" s="37" t="n"/>
      <c r="N411" s="276" t="n"/>
      <c r="O411" s="276" t="n"/>
      <c r="P411" s="276" t="n"/>
      <c r="Q411" s="276" t="n"/>
      <c r="R411" s="276" t="n"/>
      <c r="S411" s="37" t="n"/>
      <c r="T411" s="37" t="n"/>
      <c r="U411" s="37" t="n"/>
      <c r="V411" s="37" t="n"/>
      <c r="W411" s="278" t="n"/>
    </row>
    <row r="412">
      <c r="A412" s="37" t="n"/>
      <c r="B412" s="37" t="n"/>
      <c r="C412" s="37" t="n"/>
      <c r="D412" s="37" t="n"/>
      <c r="E412" s="37" t="n"/>
      <c r="F412" s="37" t="n"/>
      <c r="G412" s="274" t="n"/>
      <c r="H412" s="37" t="n"/>
      <c r="I412" s="37" t="n"/>
      <c r="J412" s="37" t="n"/>
      <c r="K412" s="274" t="n"/>
      <c r="L412" s="37" t="n"/>
      <c r="M412" s="37" t="n"/>
      <c r="N412" s="276" t="n"/>
      <c r="O412" s="276" t="n"/>
      <c r="P412" s="276" t="n"/>
      <c r="Q412" s="276" t="n"/>
      <c r="R412" s="276" t="n"/>
      <c r="S412" s="37" t="n"/>
      <c r="T412" s="37" t="n"/>
      <c r="U412" s="37" t="n"/>
      <c r="V412" s="37" t="n"/>
      <c r="W412" s="278" t="n"/>
    </row>
    <row r="413">
      <c r="A413" s="37" t="n"/>
      <c r="B413" s="37" t="n"/>
      <c r="C413" s="37" t="n"/>
      <c r="D413" s="37" t="n"/>
      <c r="E413" s="37" t="n"/>
      <c r="F413" s="37" t="n"/>
      <c r="G413" s="274" t="n"/>
      <c r="H413" s="37" t="n"/>
      <c r="I413" s="37" t="n"/>
      <c r="J413" s="37" t="n"/>
      <c r="K413" s="274" t="n"/>
      <c r="L413" s="37" t="n"/>
      <c r="M413" s="37" t="n"/>
      <c r="N413" s="276" t="n"/>
      <c r="O413" s="276" t="n"/>
      <c r="P413" s="276" t="n"/>
      <c r="Q413" s="276" t="n"/>
      <c r="R413" s="276" t="n"/>
      <c r="S413" s="37" t="n"/>
      <c r="T413" s="37" t="n"/>
      <c r="U413" s="37" t="n"/>
      <c r="V413" s="37" t="n"/>
      <c r="W413" s="278" t="n"/>
    </row>
    <row r="414">
      <c r="A414" s="37" t="n"/>
      <c r="B414" s="37" t="n"/>
      <c r="C414" s="37" t="n"/>
      <c r="D414" s="37" t="n"/>
      <c r="E414" s="37" t="n"/>
      <c r="F414" s="37" t="n"/>
      <c r="G414" s="274" t="n"/>
      <c r="H414" s="37" t="n"/>
      <c r="I414" s="37" t="n"/>
      <c r="J414" s="37" t="n"/>
      <c r="K414" s="274" t="n"/>
      <c r="L414" s="37" t="n"/>
      <c r="M414" s="37" t="n"/>
      <c r="N414" s="276" t="n"/>
      <c r="O414" s="276" t="n"/>
      <c r="P414" s="276" t="n"/>
      <c r="Q414" s="276" t="n"/>
      <c r="R414" s="276" t="n"/>
      <c r="S414" s="37" t="n"/>
      <c r="T414" s="37" t="n"/>
      <c r="U414" s="37" t="n"/>
      <c r="V414" s="37" t="n"/>
      <c r="W414" s="278" t="n"/>
    </row>
    <row r="415">
      <c r="A415" s="37" t="n"/>
      <c r="B415" s="37" t="n"/>
      <c r="C415" s="37" t="n"/>
      <c r="D415" s="37" t="n"/>
      <c r="E415" s="37" t="n"/>
      <c r="F415" s="37" t="n"/>
      <c r="G415" s="274" t="n"/>
      <c r="H415" s="37" t="n"/>
      <c r="I415" s="37" t="n"/>
      <c r="J415" s="37" t="n"/>
      <c r="K415" s="274" t="n"/>
      <c r="L415" s="37" t="n"/>
      <c r="M415" s="37" t="n"/>
      <c r="N415" s="276" t="n"/>
      <c r="O415" s="276" t="n"/>
      <c r="P415" s="276" t="n"/>
      <c r="Q415" s="276" t="n"/>
      <c r="R415" s="276" t="n"/>
      <c r="S415" s="37" t="n"/>
      <c r="T415" s="37" t="n"/>
      <c r="U415" s="37" t="n"/>
      <c r="V415" s="37" t="n"/>
      <c r="W415" s="278" t="n"/>
    </row>
    <row r="416">
      <c r="A416" s="37" t="n"/>
      <c r="B416" s="37" t="n"/>
      <c r="C416" s="37" t="n"/>
      <c r="D416" s="37" t="n"/>
      <c r="E416" s="37" t="n"/>
      <c r="F416" s="37" t="n"/>
      <c r="G416" s="274" t="n"/>
      <c r="H416" s="37" t="n"/>
      <c r="I416" s="37" t="n"/>
      <c r="J416" s="37" t="n"/>
      <c r="K416" s="274" t="n"/>
      <c r="L416" s="37" t="n"/>
      <c r="M416" s="37" t="n"/>
      <c r="N416" s="276" t="n"/>
      <c r="O416" s="276" t="n"/>
      <c r="P416" s="276" t="n"/>
      <c r="Q416" s="276" t="n"/>
      <c r="R416" s="276" t="n"/>
      <c r="S416" s="37" t="n"/>
      <c r="T416" s="37" t="n"/>
      <c r="U416" s="37" t="n"/>
      <c r="V416" s="37" t="n"/>
      <c r="W416" s="278" t="n"/>
    </row>
    <row r="417">
      <c r="A417" s="37" t="n"/>
      <c r="B417" s="37" t="n"/>
      <c r="C417" s="37" t="n"/>
      <c r="D417" s="37" t="n"/>
      <c r="E417" s="37" t="n"/>
      <c r="F417" s="37" t="n"/>
      <c r="G417" s="274" t="n"/>
      <c r="H417" s="37" t="n"/>
      <c r="I417" s="37" t="n"/>
      <c r="J417" s="37" t="n"/>
      <c r="K417" s="274" t="n"/>
      <c r="L417" s="37" t="n"/>
      <c r="M417" s="37" t="n"/>
      <c r="N417" s="276" t="n"/>
      <c r="O417" s="276" t="n"/>
      <c r="P417" s="276" t="n"/>
      <c r="Q417" s="276" t="n"/>
      <c r="R417" s="276" t="n"/>
      <c r="S417" s="37" t="n"/>
      <c r="T417" s="37" t="n"/>
      <c r="U417" s="37" t="n"/>
      <c r="V417" s="37" t="n"/>
      <c r="W417" s="278" t="n"/>
    </row>
    <row r="418">
      <c r="A418" s="37" t="n"/>
      <c r="B418" s="37" t="n"/>
      <c r="C418" s="37" t="n"/>
      <c r="D418" s="37" t="n"/>
      <c r="E418" s="37" t="n"/>
      <c r="F418" s="37" t="n"/>
      <c r="G418" s="274" t="n"/>
      <c r="H418" s="37" t="n"/>
      <c r="I418" s="37" t="n"/>
      <c r="J418" s="37" t="n"/>
      <c r="K418" s="274" t="n"/>
      <c r="L418" s="37" t="n"/>
      <c r="M418" s="37" t="n"/>
      <c r="N418" s="276" t="n"/>
      <c r="O418" s="276" t="n"/>
      <c r="P418" s="276" t="n"/>
      <c r="Q418" s="276" t="n"/>
      <c r="R418" s="276" t="n"/>
      <c r="S418" s="37" t="n"/>
      <c r="T418" s="37" t="n"/>
      <c r="U418" s="37" t="n"/>
      <c r="V418" s="37" t="n"/>
      <c r="W418" s="278" t="n"/>
    </row>
    <row r="419">
      <c r="A419" s="37" t="n"/>
      <c r="B419" s="37" t="n"/>
      <c r="C419" s="37" t="n"/>
      <c r="D419" s="37" t="n"/>
      <c r="E419" s="37" t="n"/>
      <c r="F419" s="37" t="n"/>
      <c r="G419" s="274" t="n"/>
      <c r="H419" s="37" t="n"/>
      <c r="I419" s="37" t="n"/>
      <c r="J419" s="37" t="n"/>
      <c r="K419" s="274" t="n"/>
      <c r="L419" s="37" t="n"/>
      <c r="M419" s="37" t="n"/>
      <c r="N419" s="276" t="n"/>
      <c r="O419" s="276" t="n"/>
      <c r="P419" s="276" t="n"/>
      <c r="Q419" s="276" t="n"/>
      <c r="R419" s="276" t="n"/>
      <c r="S419" s="37" t="n"/>
      <c r="T419" s="37" t="n"/>
      <c r="U419" s="37" t="n"/>
      <c r="V419" s="37" t="n"/>
      <c r="W419" s="278" t="n"/>
    </row>
    <row r="420">
      <c r="A420" s="37" t="n"/>
      <c r="B420" s="37" t="n"/>
      <c r="C420" s="37" t="n"/>
      <c r="D420" s="37" t="n"/>
      <c r="E420" s="37" t="n"/>
      <c r="F420" s="37" t="n"/>
      <c r="G420" s="274" t="n"/>
      <c r="H420" s="37" t="n"/>
      <c r="I420" s="37" t="n"/>
      <c r="J420" s="37" t="n"/>
      <c r="K420" s="274" t="n"/>
      <c r="L420" s="37" t="n"/>
      <c r="M420" s="37" t="n"/>
      <c r="N420" s="276" t="n"/>
      <c r="O420" s="276" t="n"/>
      <c r="P420" s="276" t="n"/>
      <c r="Q420" s="276" t="n"/>
      <c r="R420" s="276" t="n"/>
      <c r="S420" s="37" t="n"/>
      <c r="T420" s="37" t="n"/>
      <c r="U420" s="37" t="n"/>
      <c r="V420" s="37" t="n"/>
      <c r="W420" s="278" t="n"/>
    </row>
    <row r="421">
      <c r="A421" s="37" t="n"/>
      <c r="B421" s="37" t="n"/>
      <c r="C421" s="37" t="n"/>
      <c r="D421" s="37" t="n"/>
      <c r="E421" s="37" t="n"/>
      <c r="F421" s="37" t="n"/>
      <c r="G421" s="274" t="n"/>
      <c r="H421" s="37" t="n"/>
      <c r="I421" s="37" t="n"/>
      <c r="J421" s="37" t="n"/>
      <c r="K421" s="274" t="n"/>
      <c r="L421" s="37" t="n"/>
      <c r="M421" s="37" t="n"/>
      <c r="N421" s="276" t="n"/>
      <c r="O421" s="276" t="n"/>
      <c r="P421" s="276" t="n"/>
      <c r="Q421" s="276" t="n"/>
      <c r="R421" s="276" t="n"/>
      <c r="S421" s="37" t="n"/>
      <c r="T421" s="37" t="n"/>
      <c r="U421" s="37" t="n"/>
      <c r="V421" s="37" t="n"/>
      <c r="W421" s="278" t="n"/>
    </row>
    <row r="422">
      <c r="A422" s="37" t="n"/>
      <c r="B422" s="37" t="n"/>
      <c r="C422" s="37" t="n"/>
      <c r="D422" s="37" t="n"/>
      <c r="E422" s="37" t="n"/>
      <c r="F422" s="37" t="n"/>
      <c r="G422" s="274" t="n"/>
      <c r="H422" s="37" t="n"/>
      <c r="I422" s="37" t="n"/>
      <c r="J422" s="37" t="n"/>
      <c r="K422" s="274" t="n"/>
      <c r="L422" s="37" t="n"/>
      <c r="M422" s="37" t="n"/>
      <c r="N422" s="276" t="n"/>
      <c r="O422" s="276" t="n"/>
      <c r="P422" s="276" t="n"/>
      <c r="Q422" s="276" t="n"/>
      <c r="R422" s="276" t="n"/>
      <c r="S422" s="37" t="n"/>
      <c r="T422" s="37" t="n"/>
      <c r="U422" s="37" t="n"/>
      <c r="V422" s="37" t="n"/>
      <c r="W422" s="278" t="n"/>
    </row>
    <row r="423">
      <c r="A423" s="37" t="n"/>
      <c r="B423" s="37" t="n"/>
      <c r="C423" s="37" t="n"/>
      <c r="D423" s="37" t="n"/>
      <c r="E423" s="37" t="n"/>
      <c r="F423" s="37" t="n"/>
      <c r="G423" s="274" t="n"/>
      <c r="H423" s="37" t="n"/>
      <c r="I423" s="37" t="n"/>
      <c r="J423" s="37" t="n"/>
      <c r="K423" s="274" t="n"/>
      <c r="L423" s="37" t="n"/>
      <c r="M423" s="37" t="n"/>
      <c r="N423" s="276" t="n"/>
      <c r="O423" s="276" t="n"/>
      <c r="P423" s="276" t="n"/>
      <c r="Q423" s="276" t="n"/>
      <c r="R423" s="276" t="n"/>
      <c r="S423" s="37" t="n"/>
      <c r="T423" s="37" t="n"/>
      <c r="U423" s="37" t="n"/>
      <c r="V423" s="37" t="n"/>
      <c r="W423" s="278" t="n"/>
    </row>
    <row r="424">
      <c r="A424" s="37" t="n"/>
      <c r="B424" s="37" t="n"/>
      <c r="C424" s="37" t="n"/>
      <c r="D424" s="37" t="n"/>
      <c r="E424" s="37" t="n"/>
      <c r="F424" s="37" t="n"/>
      <c r="G424" s="274" t="n"/>
      <c r="H424" s="37" t="n"/>
      <c r="I424" s="37" t="n"/>
      <c r="J424" s="37" t="n"/>
      <c r="K424" s="274" t="n"/>
      <c r="L424" s="37" t="n"/>
      <c r="M424" s="37" t="n"/>
      <c r="N424" s="276" t="n"/>
      <c r="O424" s="276" t="n"/>
      <c r="P424" s="276" t="n"/>
      <c r="Q424" s="276" t="n"/>
      <c r="R424" s="276" t="n"/>
      <c r="S424" s="37" t="n"/>
      <c r="T424" s="37" t="n"/>
      <c r="U424" s="37" t="n"/>
      <c r="V424" s="37" t="n"/>
      <c r="W424" s="278" t="n"/>
    </row>
    <row r="425">
      <c r="A425" s="37" t="n"/>
      <c r="B425" s="37" t="n"/>
      <c r="C425" s="37" t="n"/>
      <c r="D425" s="37" t="n"/>
      <c r="E425" s="37" t="n"/>
      <c r="F425" s="37" t="n"/>
      <c r="G425" s="274" t="n"/>
      <c r="H425" s="37" t="n"/>
      <c r="I425" s="37" t="n"/>
      <c r="J425" s="37" t="n"/>
      <c r="K425" s="274" t="n"/>
      <c r="L425" s="37" t="n"/>
      <c r="M425" s="37" t="n"/>
      <c r="N425" s="276" t="n"/>
      <c r="O425" s="276" t="n"/>
      <c r="P425" s="276" t="n"/>
      <c r="Q425" s="276" t="n"/>
      <c r="R425" s="276" t="n"/>
      <c r="S425" s="37" t="n"/>
      <c r="T425" s="37" t="n"/>
      <c r="U425" s="37" t="n"/>
      <c r="V425" s="37" t="n"/>
      <c r="W425" s="278" t="n"/>
    </row>
    <row r="426">
      <c r="A426" s="37" t="n"/>
      <c r="B426" s="37" t="n"/>
      <c r="C426" s="37" t="n"/>
      <c r="D426" s="37" t="n"/>
      <c r="E426" s="37" t="n"/>
      <c r="F426" s="37" t="n"/>
      <c r="G426" s="274" t="n"/>
      <c r="H426" s="37" t="n"/>
      <c r="I426" s="37" t="n"/>
      <c r="J426" s="37" t="n"/>
      <c r="K426" s="274" t="n"/>
      <c r="L426" s="37" t="n"/>
      <c r="M426" s="37" t="n"/>
      <c r="N426" s="276" t="n"/>
      <c r="O426" s="276" t="n"/>
      <c r="P426" s="276" t="n"/>
      <c r="Q426" s="276" t="n"/>
      <c r="R426" s="276" t="n"/>
      <c r="S426" s="37" t="n"/>
      <c r="T426" s="37" t="n"/>
      <c r="U426" s="37" t="n"/>
      <c r="V426" s="37" t="n"/>
      <c r="W426" s="278" t="n"/>
    </row>
    <row r="427">
      <c r="A427" s="37" t="n"/>
      <c r="B427" s="37" t="n"/>
      <c r="C427" s="37" t="n"/>
      <c r="D427" s="37" t="n"/>
      <c r="E427" s="37" t="n"/>
      <c r="F427" s="37" t="n"/>
      <c r="G427" s="274" t="n"/>
      <c r="H427" s="37" t="n"/>
      <c r="I427" s="37" t="n"/>
      <c r="J427" s="37" t="n"/>
      <c r="K427" s="274" t="n"/>
      <c r="L427" s="37" t="n"/>
      <c r="M427" s="37" t="n"/>
      <c r="N427" s="276" t="n"/>
      <c r="O427" s="276" t="n"/>
      <c r="P427" s="276" t="n"/>
      <c r="Q427" s="276" t="n"/>
      <c r="R427" s="276" t="n"/>
      <c r="S427" s="37" t="n"/>
      <c r="T427" s="37" t="n"/>
      <c r="U427" s="37" t="n"/>
      <c r="V427" s="37" t="n"/>
      <c r="W427" s="278" t="n"/>
    </row>
    <row r="428">
      <c r="A428" s="37" t="n"/>
      <c r="B428" s="37" t="n"/>
      <c r="C428" s="37" t="n"/>
      <c r="D428" s="37" t="n"/>
      <c r="E428" s="37" t="n"/>
      <c r="F428" s="37" t="n"/>
      <c r="G428" s="274" t="n"/>
      <c r="H428" s="37" t="n"/>
      <c r="I428" s="37" t="n"/>
      <c r="J428" s="37" t="n"/>
      <c r="K428" s="274" t="n"/>
      <c r="L428" s="37" t="n"/>
      <c r="M428" s="37" t="n"/>
      <c r="N428" s="276" t="n"/>
      <c r="O428" s="276" t="n"/>
      <c r="P428" s="276" t="n"/>
      <c r="Q428" s="276" t="n"/>
      <c r="R428" s="276" t="n"/>
      <c r="S428" s="37" t="n"/>
      <c r="T428" s="37" t="n"/>
      <c r="U428" s="37" t="n"/>
      <c r="V428" s="37" t="n"/>
      <c r="W428" s="278" t="n"/>
    </row>
    <row r="429">
      <c r="A429" s="37" t="n"/>
      <c r="B429" s="37" t="n"/>
      <c r="C429" s="37" t="n"/>
      <c r="D429" s="37" t="n"/>
      <c r="E429" s="37" t="n"/>
      <c r="F429" s="37" t="n"/>
      <c r="G429" s="274" t="n"/>
      <c r="H429" s="37" t="n"/>
      <c r="I429" s="37" t="n"/>
      <c r="J429" s="37" t="n"/>
      <c r="K429" s="274" t="n"/>
      <c r="L429" s="37" t="n"/>
      <c r="M429" s="37" t="n"/>
      <c r="N429" s="276" t="n"/>
      <c r="O429" s="276" t="n"/>
      <c r="P429" s="276" t="n"/>
      <c r="Q429" s="276" t="n"/>
      <c r="R429" s="276" t="n"/>
      <c r="S429" s="37" t="n"/>
      <c r="T429" s="37" t="n"/>
      <c r="U429" s="37" t="n"/>
      <c r="V429" s="37" t="n"/>
      <c r="W429" s="278" t="n"/>
    </row>
    <row r="430">
      <c r="A430" s="37" t="n"/>
      <c r="B430" s="37" t="n"/>
      <c r="C430" s="37" t="n"/>
      <c r="D430" s="37" t="n"/>
      <c r="E430" s="37" t="n"/>
      <c r="F430" s="37" t="n"/>
      <c r="G430" s="274" t="n"/>
      <c r="H430" s="37" t="n"/>
      <c r="I430" s="37" t="n"/>
      <c r="J430" s="37" t="n"/>
      <c r="K430" s="274" t="n"/>
      <c r="L430" s="37" t="n"/>
      <c r="M430" s="37" t="n"/>
      <c r="N430" s="276" t="n"/>
      <c r="O430" s="276" t="n"/>
      <c r="P430" s="276" t="n"/>
      <c r="Q430" s="276" t="n"/>
      <c r="R430" s="276" t="n"/>
      <c r="S430" s="37" t="n"/>
      <c r="T430" s="37" t="n"/>
      <c r="U430" s="37" t="n"/>
      <c r="V430" s="37" t="n"/>
      <c r="W430" s="278" t="n"/>
    </row>
    <row r="431">
      <c r="A431" s="37" t="n"/>
      <c r="B431" s="37" t="n"/>
      <c r="C431" s="37" t="n"/>
      <c r="D431" s="37" t="n"/>
      <c r="E431" s="37" t="n"/>
      <c r="F431" s="37" t="n"/>
      <c r="G431" s="274" t="n"/>
      <c r="H431" s="37" t="n"/>
      <c r="I431" s="37" t="n"/>
      <c r="J431" s="37" t="n"/>
      <c r="K431" s="274" t="n"/>
      <c r="L431" s="37" t="n"/>
      <c r="M431" s="37" t="n"/>
      <c r="N431" s="276" t="n"/>
      <c r="O431" s="276" t="n"/>
      <c r="P431" s="276" t="n"/>
      <c r="Q431" s="276" t="n"/>
      <c r="R431" s="276" t="n"/>
      <c r="S431" s="37" t="n"/>
      <c r="T431" s="37" t="n"/>
      <c r="U431" s="37" t="n"/>
      <c r="V431" s="37" t="n"/>
      <c r="W431" s="278" t="n"/>
    </row>
    <row r="432">
      <c r="A432" s="37" t="n"/>
      <c r="B432" s="37" t="n"/>
      <c r="C432" s="37" t="n"/>
      <c r="D432" s="37" t="n"/>
      <c r="E432" s="37" t="n"/>
      <c r="F432" s="37" t="n"/>
      <c r="G432" s="274" t="n"/>
      <c r="H432" s="37" t="n"/>
      <c r="I432" s="37" t="n"/>
      <c r="J432" s="37" t="n"/>
      <c r="K432" s="274" t="n"/>
      <c r="L432" s="37" t="n"/>
      <c r="M432" s="37" t="n"/>
      <c r="N432" s="276" t="n"/>
      <c r="O432" s="276" t="n"/>
      <c r="P432" s="276" t="n"/>
      <c r="Q432" s="276" t="n"/>
      <c r="R432" s="276" t="n"/>
      <c r="S432" s="37" t="n"/>
      <c r="T432" s="37" t="n"/>
      <c r="U432" s="37" t="n"/>
      <c r="V432" s="37" t="n"/>
      <c r="W432" s="278" t="n"/>
    </row>
    <row r="433">
      <c r="A433" s="37" t="n"/>
      <c r="B433" s="37" t="n"/>
      <c r="C433" s="37" t="n"/>
      <c r="D433" s="37" t="n"/>
      <c r="E433" s="37" t="n"/>
      <c r="F433" s="37" t="n"/>
      <c r="G433" s="274" t="n"/>
      <c r="H433" s="37" t="n"/>
      <c r="I433" s="37" t="n"/>
      <c r="J433" s="37" t="n"/>
      <c r="K433" s="274" t="n"/>
      <c r="L433" s="37" t="n"/>
      <c r="M433" s="37" t="n"/>
      <c r="N433" s="276" t="n"/>
      <c r="O433" s="276" t="n"/>
      <c r="P433" s="276" t="n"/>
      <c r="Q433" s="276" t="n"/>
      <c r="R433" s="276" t="n"/>
      <c r="S433" s="37" t="n"/>
      <c r="T433" s="37" t="n"/>
      <c r="U433" s="37" t="n"/>
      <c r="V433" s="37" t="n"/>
      <c r="W433" s="278" t="n"/>
    </row>
    <row r="434">
      <c r="A434" s="37" t="n"/>
      <c r="B434" s="37" t="n"/>
      <c r="C434" s="37" t="n"/>
      <c r="D434" s="37" t="n"/>
      <c r="E434" s="37" t="n"/>
      <c r="F434" s="37" t="n"/>
      <c r="G434" s="274" t="n"/>
      <c r="H434" s="37" t="n"/>
      <c r="I434" s="37" t="n"/>
      <c r="J434" s="37" t="n"/>
      <c r="K434" s="274" t="n"/>
      <c r="L434" s="37" t="n"/>
      <c r="M434" s="37" t="n"/>
      <c r="N434" s="276" t="n"/>
      <c r="O434" s="276" t="n"/>
      <c r="P434" s="276" t="n"/>
      <c r="Q434" s="276" t="n"/>
      <c r="R434" s="276" t="n"/>
      <c r="S434" s="37" t="n"/>
      <c r="T434" s="37" t="n"/>
      <c r="U434" s="37" t="n"/>
      <c r="V434" s="37" t="n"/>
      <c r="W434" s="278" t="n"/>
    </row>
    <row r="435">
      <c r="A435" s="37" t="n"/>
      <c r="B435" s="37" t="n"/>
      <c r="C435" s="37" t="n"/>
      <c r="D435" s="37" t="n"/>
      <c r="E435" s="37" t="n"/>
      <c r="F435" s="37" t="n"/>
      <c r="G435" s="274" t="n"/>
      <c r="H435" s="37" t="n"/>
      <c r="I435" s="37" t="n"/>
      <c r="J435" s="37" t="n"/>
      <c r="K435" s="274" t="n"/>
      <c r="L435" s="37" t="n"/>
      <c r="M435" s="37" t="n"/>
      <c r="N435" s="276" t="n"/>
      <c r="O435" s="276" t="n"/>
      <c r="P435" s="276" t="n"/>
      <c r="Q435" s="276" t="n"/>
      <c r="R435" s="276" t="n"/>
      <c r="S435" s="37" t="n"/>
      <c r="T435" s="37" t="n"/>
      <c r="U435" s="37" t="n"/>
      <c r="V435" s="37" t="n"/>
      <c r="W435" s="278" t="n"/>
    </row>
    <row r="436">
      <c r="A436" s="37" t="n"/>
      <c r="B436" s="37" t="n"/>
      <c r="C436" s="37" t="n"/>
      <c r="D436" s="37" t="n"/>
      <c r="E436" s="37" t="n"/>
      <c r="F436" s="37" t="n"/>
      <c r="G436" s="274" t="n"/>
      <c r="H436" s="37" t="n"/>
      <c r="I436" s="37" t="n"/>
      <c r="J436" s="37" t="n"/>
      <c r="K436" s="274" t="n"/>
      <c r="L436" s="37" t="n"/>
      <c r="M436" s="37" t="n"/>
      <c r="N436" s="276" t="n"/>
      <c r="O436" s="276" t="n"/>
      <c r="P436" s="276" t="n"/>
      <c r="Q436" s="276" t="n"/>
      <c r="R436" s="276" t="n"/>
      <c r="S436" s="37" t="n"/>
      <c r="T436" s="37" t="n"/>
      <c r="U436" s="37" t="n"/>
      <c r="V436" s="37" t="n"/>
      <c r="W436" s="278" t="n"/>
    </row>
    <row r="437">
      <c r="A437" s="37" t="n"/>
      <c r="B437" s="37" t="n"/>
      <c r="C437" s="37" t="n"/>
      <c r="D437" s="37" t="n"/>
      <c r="E437" s="37" t="n"/>
      <c r="F437" s="37" t="n"/>
      <c r="G437" s="274" t="n"/>
      <c r="H437" s="37" t="n"/>
      <c r="I437" s="37" t="n"/>
      <c r="J437" s="37" t="n"/>
      <c r="K437" s="274" t="n"/>
      <c r="L437" s="37" t="n"/>
      <c r="M437" s="37" t="n"/>
      <c r="N437" s="276" t="n"/>
      <c r="O437" s="276" t="n"/>
      <c r="P437" s="276" t="n"/>
      <c r="Q437" s="276" t="n"/>
      <c r="R437" s="276" t="n"/>
      <c r="S437" s="37" t="n"/>
      <c r="T437" s="37" t="n"/>
      <c r="U437" s="37" t="n"/>
      <c r="V437" s="37" t="n"/>
      <c r="W437" s="278" t="n"/>
    </row>
    <row r="438">
      <c r="A438" s="37" t="n"/>
      <c r="B438" s="37" t="n"/>
      <c r="C438" s="37" t="n"/>
      <c r="D438" s="37" t="n"/>
      <c r="E438" s="37" t="n"/>
      <c r="F438" s="37" t="n"/>
      <c r="G438" s="274" t="n"/>
      <c r="H438" s="37" t="n"/>
      <c r="I438" s="37" t="n"/>
      <c r="J438" s="37" t="n"/>
      <c r="K438" s="274" t="n"/>
      <c r="L438" s="37" t="n"/>
      <c r="M438" s="37" t="n"/>
      <c r="N438" s="276" t="n"/>
      <c r="O438" s="276" t="n"/>
      <c r="P438" s="276" t="n"/>
      <c r="Q438" s="276" t="n"/>
      <c r="R438" s="276" t="n"/>
      <c r="S438" s="37" t="n"/>
      <c r="T438" s="37" t="n"/>
      <c r="U438" s="37" t="n"/>
      <c r="V438" s="37" t="n"/>
      <c r="W438" s="278" t="n"/>
    </row>
    <row r="439">
      <c r="A439" s="37" t="n"/>
      <c r="B439" s="37" t="n"/>
      <c r="C439" s="37" t="n"/>
      <c r="D439" s="37" t="n"/>
      <c r="E439" s="37" t="n"/>
      <c r="F439" s="37" t="n"/>
      <c r="G439" s="274" t="n"/>
      <c r="H439" s="37" t="n"/>
      <c r="I439" s="37" t="n"/>
      <c r="J439" s="37" t="n"/>
      <c r="K439" s="274" t="n"/>
      <c r="L439" s="37" t="n"/>
      <c r="M439" s="37" t="n"/>
      <c r="N439" s="276" t="n"/>
      <c r="O439" s="276" t="n"/>
      <c r="P439" s="276" t="n"/>
      <c r="Q439" s="276" t="n"/>
      <c r="R439" s="276" t="n"/>
      <c r="S439" s="37" t="n"/>
      <c r="T439" s="37" t="n"/>
      <c r="U439" s="37" t="n"/>
      <c r="V439" s="37" t="n"/>
      <c r="W439" s="278" t="n"/>
    </row>
    <row r="440">
      <c r="A440" s="37" t="n"/>
      <c r="B440" s="37" t="n"/>
      <c r="C440" s="37" t="n"/>
      <c r="D440" s="37" t="n"/>
      <c r="E440" s="37" t="n"/>
      <c r="F440" s="37" t="n"/>
      <c r="G440" s="274" t="n"/>
      <c r="H440" s="37" t="n"/>
      <c r="I440" s="37" t="n"/>
      <c r="J440" s="37" t="n"/>
      <c r="K440" s="274" t="n"/>
      <c r="L440" s="37" t="n"/>
      <c r="M440" s="37" t="n"/>
      <c r="N440" s="276" t="n"/>
      <c r="O440" s="276" t="n"/>
      <c r="P440" s="276" t="n"/>
      <c r="Q440" s="276" t="n"/>
      <c r="R440" s="276" t="n"/>
      <c r="S440" s="37" t="n"/>
      <c r="T440" s="37" t="n"/>
      <c r="U440" s="37" t="n"/>
      <c r="V440" s="37" t="n"/>
      <c r="W440" s="278" t="n"/>
    </row>
    <row r="441">
      <c r="A441" s="37" t="n"/>
      <c r="B441" s="37" t="n"/>
      <c r="C441" s="37" t="n"/>
      <c r="D441" s="37" t="n"/>
      <c r="E441" s="37" t="n"/>
      <c r="F441" s="37" t="n"/>
      <c r="G441" s="274" t="n"/>
      <c r="H441" s="37" t="n"/>
      <c r="I441" s="37" t="n"/>
      <c r="J441" s="37" t="n"/>
      <c r="K441" s="274" t="n"/>
      <c r="L441" s="37" t="n"/>
      <c r="M441" s="37" t="n"/>
      <c r="N441" s="276" t="n"/>
      <c r="O441" s="276" t="n"/>
      <c r="P441" s="276" t="n"/>
      <c r="Q441" s="276" t="n"/>
      <c r="R441" s="276" t="n"/>
      <c r="S441" s="37" t="n"/>
      <c r="T441" s="37" t="n"/>
      <c r="U441" s="37" t="n"/>
      <c r="V441" s="37" t="n"/>
      <c r="W441" s="278" t="n"/>
    </row>
    <row r="442">
      <c r="A442" s="37" t="n"/>
      <c r="B442" s="37" t="n"/>
      <c r="C442" s="37" t="n"/>
      <c r="D442" s="37" t="n"/>
      <c r="E442" s="37" t="n"/>
      <c r="F442" s="37" t="n"/>
      <c r="G442" s="274" t="n"/>
      <c r="H442" s="37" t="n"/>
      <c r="I442" s="37" t="n"/>
      <c r="J442" s="37" t="n"/>
      <c r="K442" s="274" t="n"/>
      <c r="L442" s="37" t="n"/>
      <c r="M442" s="37" t="n"/>
      <c r="N442" s="276" t="n"/>
      <c r="O442" s="276" t="n"/>
      <c r="P442" s="276" t="n"/>
      <c r="Q442" s="276" t="n"/>
      <c r="R442" s="276" t="n"/>
      <c r="S442" s="37" t="n"/>
      <c r="T442" s="37" t="n"/>
      <c r="U442" s="37" t="n"/>
      <c r="V442" s="37" t="n"/>
      <c r="W442" s="278" t="n"/>
    </row>
    <row r="443">
      <c r="A443" s="37" t="n"/>
      <c r="B443" s="37" t="n"/>
      <c r="C443" s="37" t="n"/>
      <c r="D443" s="37" t="n"/>
      <c r="E443" s="37" t="n"/>
      <c r="F443" s="37" t="n"/>
      <c r="G443" s="274" t="n"/>
      <c r="H443" s="37" t="n"/>
      <c r="I443" s="37" t="n"/>
      <c r="J443" s="37" t="n"/>
      <c r="K443" s="274" t="n"/>
      <c r="L443" s="37" t="n"/>
      <c r="M443" s="37" t="n"/>
      <c r="N443" s="276" t="n"/>
      <c r="O443" s="276" t="n"/>
      <c r="P443" s="276" t="n"/>
      <c r="Q443" s="276" t="n"/>
      <c r="R443" s="276" t="n"/>
      <c r="S443" s="37" t="n"/>
      <c r="T443" s="37" t="n"/>
      <c r="U443" s="37" t="n"/>
      <c r="V443" s="37" t="n"/>
      <c r="W443" s="278" t="n"/>
    </row>
    <row r="444">
      <c r="A444" s="37" t="n"/>
      <c r="B444" s="37" t="n"/>
      <c r="C444" s="37" t="n"/>
      <c r="D444" s="37" t="n"/>
      <c r="E444" s="37" t="n"/>
      <c r="F444" s="37" t="n"/>
      <c r="G444" s="274" t="n"/>
      <c r="H444" s="37" t="n"/>
      <c r="I444" s="37" t="n"/>
      <c r="J444" s="37" t="n"/>
      <c r="K444" s="274" t="n"/>
      <c r="L444" s="37" t="n"/>
      <c r="M444" s="37" t="n"/>
      <c r="N444" s="276" t="n"/>
      <c r="O444" s="276" t="n"/>
      <c r="P444" s="276" t="n"/>
      <c r="Q444" s="276" t="n"/>
      <c r="R444" s="276" t="n"/>
      <c r="S444" s="37" t="n"/>
      <c r="T444" s="37" t="n"/>
      <c r="U444" s="37" t="n"/>
      <c r="V444" s="37" t="n"/>
      <c r="W444" s="278" t="n"/>
    </row>
    <row r="445">
      <c r="A445" s="37" t="n"/>
      <c r="B445" s="37" t="n"/>
      <c r="C445" s="37" t="n"/>
      <c r="D445" s="37" t="n"/>
      <c r="E445" s="37" t="n"/>
      <c r="F445" s="37" t="n"/>
      <c r="G445" s="274" t="n"/>
      <c r="H445" s="37" t="n"/>
      <c r="I445" s="37" t="n"/>
      <c r="J445" s="37" t="n"/>
      <c r="K445" s="274" t="n"/>
      <c r="L445" s="37" t="n"/>
      <c r="M445" s="37" t="n"/>
      <c r="N445" s="276" t="n"/>
      <c r="O445" s="276" t="n"/>
      <c r="P445" s="276" t="n"/>
      <c r="Q445" s="276" t="n"/>
      <c r="R445" s="276" t="n"/>
      <c r="S445" s="37" t="n"/>
      <c r="T445" s="37" t="n"/>
      <c r="U445" s="37" t="n"/>
      <c r="V445" s="37" t="n"/>
      <c r="W445" s="278" t="n"/>
    </row>
    <row r="446">
      <c r="A446" s="37" t="n"/>
      <c r="B446" s="37" t="n"/>
      <c r="C446" s="37" t="n"/>
      <c r="D446" s="37" t="n"/>
      <c r="E446" s="37" t="n"/>
      <c r="F446" s="37" t="n"/>
      <c r="G446" s="274" t="n"/>
      <c r="H446" s="37" t="n"/>
      <c r="I446" s="37" t="n"/>
      <c r="J446" s="37" t="n"/>
      <c r="K446" s="274" t="n"/>
      <c r="L446" s="37" t="n"/>
      <c r="M446" s="37" t="n"/>
      <c r="N446" s="276" t="n"/>
      <c r="O446" s="276" t="n"/>
      <c r="P446" s="276" t="n"/>
      <c r="Q446" s="276" t="n"/>
      <c r="R446" s="276" t="n"/>
      <c r="S446" s="37" t="n"/>
      <c r="T446" s="37" t="n"/>
      <c r="U446" s="37" t="n"/>
      <c r="V446" s="37" t="n"/>
      <c r="W446" s="278" t="n"/>
    </row>
    <row r="447">
      <c r="A447" s="37" t="n"/>
      <c r="B447" s="37" t="n"/>
      <c r="C447" s="37" t="n"/>
      <c r="D447" s="37" t="n"/>
      <c r="E447" s="37" t="n"/>
      <c r="F447" s="37" t="n"/>
      <c r="G447" s="274" t="n"/>
      <c r="H447" s="37" t="n"/>
      <c r="I447" s="37" t="n"/>
      <c r="J447" s="37" t="n"/>
      <c r="K447" s="274" t="n"/>
      <c r="L447" s="37" t="n"/>
      <c r="M447" s="37" t="n"/>
      <c r="N447" s="276" t="n"/>
      <c r="O447" s="276" t="n"/>
      <c r="P447" s="276" t="n"/>
      <c r="Q447" s="276" t="n"/>
      <c r="R447" s="276" t="n"/>
      <c r="S447" s="37" t="n"/>
      <c r="T447" s="37" t="n"/>
      <c r="U447" s="37" t="n"/>
      <c r="V447" s="37" t="n"/>
      <c r="W447" s="278" t="n"/>
    </row>
    <row r="448">
      <c r="A448" s="37" t="n"/>
      <c r="B448" s="37" t="n"/>
      <c r="C448" s="37" t="n"/>
      <c r="D448" s="37" t="n"/>
      <c r="E448" s="37" t="n"/>
      <c r="F448" s="37" t="n"/>
      <c r="G448" s="274" t="n"/>
      <c r="H448" s="37" t="n"/>
      <c r="I448" s="37" t="n"/>
      <c r="J448" s="37" t="n"/>
      <c r="K448" s="274" t="n"/>
      <c r="L448" s="37" t="n"/>
      <c r="M448" s="37" t="n"/>
      <c r="N448" s="276" t="n"/>
      <c r="O448" s="276" t="n"/>
      <c r="P448" s="276" t="n"/>
      <c r="Q448" s="276" t="n"/>
      <c r="R448" s="276" t="n"/>
      <c r="S448" s="37" t="n"/>
      <c r="T448" s="37" t="n"/>
      <c r="U448" s="37" t="n"/>
      <c r="V448" s="37" t="n"/>
      <c r="W448" s="278" t="n"/>
    </row>
    <row r="449">
      <c r="A449" s="37" t="n"/>
      <c r="B449" s="37" t="n"/>
      <c r="C449" s="37" t="n"/>
      <c r="D449" s="37" t="n"/>
      <c r="E449" s="37" t="n"/>
      <c r="F449" s="37" t="n"/>
      <c r="G449" s="274" t="n"/>
      <c r="H449" s="37" t="n"/>
      <c r="I449" s="37" t="n"/>
      <c r="J449" s="37" t="n"/>
      <c r="K449" s="274" t="n"/>
      <c r="L449" s="37" t="n"/>
      <c r="M449" s="37" t="n"/>
      <c r="N449" s="276" t="n"/>
      <c r="O449" s="276" t="n"/>
      <c r="P449" s="276" t="n"/>
      <c r="Q449" s="276" t="n"/>
      <c r="R449" s="276" t="n"/>
      <c r="S449" s="37" t="n"/>
      <c r="T449" s="37" t="n"/>
      <c r="U449" s="37" t="n"/>
      <c r="V449" s="37" t="n"/>
      <c r="W449" s="278" t="n"/>
    </row>
    <row r="450">
      <c r="A450" s="37" t="n"/>
      <c r="B450" s="37" t="n"/>
      <c r="C450" s="37" t="n"/>
      <c r="D450" s="37" t="n"/>
      <c r="E450" s="37" t="n"/>
      <c r="F450" s="37" t="n"/>
      <c r="G450" s="274" t="n"/>
      <c r="H450" s="37" t="n"/>
      <c r="I450" s="37" t="n"/>
      <c r="J450" s="37" t="n"/>
      <c r="K450" s="274" t="n"/>
      <c r="L450" s="37" t="n"/>
      <c r="M450" s="37" t="n"/>
      <c r="N450" s="276" t="n"/>
      <c r="O450" s="276" t="n"/>
      <c r="P450" s="276" t="n"/>
      <c r="Q450" s="276" t="n"/>
      <c r="R450" s="276" t="n"/>
      <c r="S450" s="37" t="n"/>
      <c r="T450" s="37" t="n"/>
      <c r="U450" s="37" t="n"/>
      <c r="V450" s="37" t="n"/>
      <c r="W450" s="278" t="n"/>
    </row>
    <row r="451">
      <c r="A451" s="37" t="n"/>
      <c r="B451" s="37" t="n"/>
      <c r="C451" s="37" t="n"/>
      <c r="D451" s="37" t="n"/>
      <c r="E451" s="37" t="n"/>
      <c r="F451" s="37" t="n"/>
      <c r="G451" s="274" t="n"/>
      <c r="H451" s="37" t="n"/>
      <c r="I451" s="37" t="n"/>
      <c r="J451" s="37" t="n"/>
      <c r="K451" s="274" t="n"/>
      <c r="L451" s="37" t="n"/>
      <c r="M451" s="37" t="n"/>
      <c r="N451" s="276" t="n"/>
      <c r="O451" s="276" t="n"/>
      <c r="P451" s="276" t="n"/>
      <c r="Q451" s="276" t="n"/>
      <c r="R451" s="276" t="n"/>
      <c r="S451" s="37" t="n"/>
      <c r="T451" s="37" t="n"/>
      <c r="U451" s="37" t="n"/>
      <c r="V451" s="37" t="n"/>
      <c r="W451" s="278" t="n"/>
    </row>
    <row r="452">
      <c r="A452" s="37" t="n"/>
      <c r="B452" s="37" t="n"/>
      <c r="C452" s="37" t="n"/>
      <c r="D452" s="37" t="n"/>
      <c r="E452" s="37" t="n"/>
      <c r="F452" s="37" t="n"/>
      <c r="G452" s="274" t="n"/>
      <c r="H452" s="37" t="n"/>
      <c r="I452" s="37" t="n"/>
      <c r="J452" s="37" t="n"/>
      <c r="K452" s="274" t="n"/>
      <c r="L452" s="37" t="n"/>
      <c r="M452" s="37" t="n"/>
      <c r="N452" s="276" t="n"/>
      <c r="O452" s="276" t="n"/>
      <c r="P452" s="276" t="n"/>
      <c r="Q452" s="276" t="n"/>
      <c r="R452" s="276" t="n"/>
      <c r="S452" s="37" t="n"/>
      <c r="T452" s="37" t="n"/>
      <c r="U452" s="37" t="n"/>
      <c r="V452" s="37" t="n"/>
      <c r="W452" s="278" t="n"/>
    </row>
    <row r="453">
      <c r="A453" s="37" t="n"/>
      <c r="B453" s="37" t="n"/>
      <c r="C453" s="37" t="n"/>
      <c r="D453" s="37" t="n"/>
      <c r="E453" s="37" t="n"/>
      <c r="F453" s="37" t="n"/>
      <c r="G453" s="274" t="n"/>
      <c r="H453" s="37" t="n"/>
      <c r="I453" s="37" t="n"/>
      <c r="J453" s="37" t="n"/>
      <c r="K453" s="274" t="n"/>
      <c r="L453" s="37" t="n"/>
      <c r="M453" s="37" t="n"/>
      <c r="N453" s="276" t="n"/>
      <c r="O453" s="276" t="n"/>
      <c r="P453" s="276" t="n"/>
      <c r="Q453" s="276" t="n"/>
      <c r="R453" s="276" t="n"/>
      <c r="S453" s="37" t="n"/>
      <c r="T453" s="37" t="n"/>
      <c r="U453" s="37" t="n"/>
      <c r="V453" s="37" t="n"/>
      <c r="W453" s="278" t="n"/>
    </row>
    <row r="454">
      <c r="A454" s="37" t="n"/>
      <c r="B454" s="37" t="n"/>
      <c r="C454" s="37" t="n"/>
      <c r="D454" s="37" t="n"/>
      <c r="E454" s="37" t="n"/>
      <c r="F454" s="37" t="n"/>
      <c r="G454" s="274" t="n"/>
      <c r="H454" s="37" t="n"/>
      <c r="I454" s="37" t="n"/>
      <c r="J454" s="37" t="n"/>
      <c r="K454" s="274" t="n"/>
      <c r="L454" s="37" t="n"/>
      <c r="M454" s="37" t="n"/>
      <c r="N454" s="276" t="n"/>
      <c r="O454" s="276" t="n"/>
      <c r="P454" s="276" t="n"/>
      <c r="Q454" s="276" t="n"/>
      <c r="R454" s="276" t="n"/>
      <c r="S454" s="37" t="n"/>
      <c r="T454" s="37" t="n"/>
      <c r="U454" s="37" t="n"/>
      <c r="V454" s="37" t="n"/>
      <c r="W454" s="278" t="n"/>
    </row>
    <row r="455">
      <c r="A455" s="37" t="n"/>
      <c r="B455" s="37" t="n"/>
      <c r="C455" s="37" t="n"/>
      <c r="D455" s="37" t="n"/>
      <c r="E455" s="37" t="n"/>
      <c r="F455" s="37" t="n"/>
      <c r="G455" s="274" t="n"/>
      <c r="H455" s="37" t="n"/>
      <c r="I455" s="37" t="n"/>
      <c r="J455" s="37" t="n"/>
      <c r="K455" s="274" t="n"/>
      <c r="L455" s="37" t="n"/>
      <c r="M455" s="37" t="n"/>
      <c r="N455" s="276" t="n"/>
      <c r="O455" s="276" t="n"/>
      <c r="P455" s="276" t="n"/>
      <c r="Q455" s="276" t="n"/>
      <c r="R455" s="276" t="n"/>
      <c r="S455" s="37" t="n"/>
      <c r="T455" s="37" t="n"/>
      <c r="U455" s="37" t="n"/>
      <c r="V455" s="37" t="n"/>
      <c r="W455" s="278" t="n"/>
    </row>
    <row r="456">
      <c r="A456" s="37" t="n"/>
      <c r="B456" s="37" t="n"/>
      <c r="C456" s="37" t="n"/>
      <c r="D456" s="37" t="n"/>
      <c r="E456" s="37" t="n"/>
      <c r="F456" s="37" t="n"/>
      <c r="G456" s="274" t="n"/>
      <c r="H456" s="37" t="n"/>
      <c r="I456" s="37" t="n"/>
      <c r="J456" s="37" t="n"/>
      <c r="K456" s="274" t="n"/>
      <c r="L456" s="37" t="n"/>
      <c r="M456" s="37" t="n"/>
      <c r="N456" s="276" t="n"/>
      <c r="O456" s="276" t="n"/>
      <c r="P456" s="276" t="n"/>
      <c r="Q456" s="276" t="n"/>
      <c r="R456" s="276" t="n"/>
      <c r="S456" s="37" t="n"/>
      <c r="T456" s="37" t="n"/>
      <c r="U456" s="37" t="n"/>
      <c r="V456" s="37" t="n"/>
      <c r="W456" s="278" t="n"/>
    </row>
    <row r="457">
      <c r="A457" s="37" t="n"/>
      <c r="B457" s="37" t="n"/>
      <c r="C457" s="37" t="n"/>
      <c r="D457" s="37" t="n"/>
      <c r="E457" s="37" t="n"/>
      <c r="F457" s="37" t="n"/>
      <c r="G457" s="274" t="n"/>
      <c r="H457" s="37" t="n"/>
      <c r="I457" s="37" t="n"/>
      <c r="J457" s="37" t="n"/>
      <c r="K457" s="274" t="n"/>
      <c r="L457" s="37" t="n"/>
      <c r="M457" s="37" t="n"/>
      <c r="N457" s="276" t="n"/>
      <c r="O457" s="276" t="n"/>
      <c r="P457" s="276" t="n"/>
      <c r="Q457" s="276" t="n"/>
      <c r="R457" s="276" t="n"/>
      <c r="S457" s="37" t="n"/>
      <c r="T457" s="37" t="n"/>
      <c r="U457" s="37" t="n"/>
      <c r="V457" s="37" t="n"/>
      <c r="W457" s="278" t="n"/>
    </row>
    <row r="458">
      <c r="A458" s="37" t="n"/>
      <c r="B458" s="37" t="n"/>
      <c r="C458" s="37" t="n"/>
      <c r="D458" s="37" t="n"/>
      <c r="E458" s="37" t="n"/>
      <c r="F458" s="37" t="n"/>
      <c r="G458" s="274" t="n"/>
      <c r="H458" s="37" t="n"/>
      <c r="I458" s="37" t="n"/>
      <c r="J458" s="37" t="n"/>
      <c r="K458" s="274" t="n"/>
      <c r="L458" s="37" t="n"/>
      <c r="M458" s="37" t="n"/>
      <c r="N458" s="276" t="n"/>
      <c r="O458" s="276" t="n"/>
      <c r="P458" s="276" t="n"/>
      <c r="Q458" s="276" t="n"/>
      <c r="R458" s="276" t="n"/>
      <c r="S458" s="37" t="n"/>
      <c r="T458" s="37" t="n"/>
      <c r="U458" s="37" t="n"/>
      <c r="V458" s="37" t="n"/>
      <c r="W458" s="278" t="n"/>
    </row>
    <row r="459">
      <c r="A459" s="37" t="n"/>
      <c r="B459" s="37" t="n"/>
      <c r="C459" s="37" t="n"/>
      <c r="D459" s="37" t="n"/>
      <c r="E459" s="37" t="n"/>
      <c r="F459" s="37" t="n"/>
      <c r="G459" s="274" t="n"/>
      <c r="H459" s="37" t="n"/>
      <c r="I459" s="37" t="n"/>
      <c r="J459" s="37" t="n"/>
      <c r="K459" s="274" t="n"/>
      <c r="L459" s="37" t="n"/>
      <c r="M459" s="37" t="n"/>
      <c r="N459" s="276" t="n"/>
      <c r="O459" s="276" t="n"/>
      <c r="P459" s="276" t="n"/>
      <c r="Q459" s="276" t="n"/>
      <c r="R459" s="276" t="n"/>
      <c r="S459" s="37" t="n"/>
      <c r="T459" s="37" t="n"/>
      <c r="U459" s="37" t="n"/>
      <c r="V459" s="37" t="n"/>
      <c r="W459" s="278" t="n"/>
    </row>
    <row r="460">
      <c r="A460" s="37" t="n"/>
      <c r="B460" s="37" t="n"/>
      <c r="C460" s="37" t="n"/>
      <c r="D460" s="37" t="n"/>
      <c r="E460" s="37" t="n"/>
      <c r="F460" s="37" t="n"/>
      <c r="G460" s="274" t="n"/>
      <c r="H460" s="37" t="n"/>
      <c r="I460" s="37" t="n"/>
      <c r="J460" s="37" t="n"/>
      <c r="K460" s="274" t="n"/>
      <c r="L460" s="37" t="n"/>
      <c r="M460" s="37" t="n"/>
      <c r="N460" s="276" t="n"/>
      <c r="O460" s="276" t="n"/>
      <c r="P460" s="276" t="n"/>
      <c r="Q460" s="276" t="n"/>
      <c r="R460" s="276" t="n"/>
      <c r="S460" s="37" t="n"/>
      <c r="T460" s="37" t="n"/>
      <c r="U460" s="37" t="n"/>
      <c r="V460" s="37" t="n"/>
      <c r="W460" s="278" t="n"/>
    </row>
    <row r="461">
      <c r="A461" s="37" t="n"/>
      <c r="B461" s="37" t="n"/>
      <c r="C461" s="37" t="n"/>
      <c r="D461" s="37" t="n"/>
      <c r="E461" s="37" t="n"/>
      <c r="F461" s="37" t="n"/>
      <c r="G461" s="274" t="n"/>
      <c r="H461" s="37" t="n"/>
      <c r="I461" s="37" t="n"/>
      <c r="J461" s="37" t="n"/>
      <c r="K461" s="274" t="n"/>
      <c r="L461" s="37" t="n"/>
      <c r="M461" s="37" t="n"/>
      <c r="N461" s="276" t="n"/>
      <c r="O461" s="276" t="n"/>
      <c r="P461" s="276" t="n"/>
      <c r="Q461" s="276" t="n"/>
      <c r="R461" s="276" t="n"/>
      <c r="S461" s="37" t="n"/>
      <c r="T461" s="37" t="n"/>
      <c r="U461" s="37" t="n"/>
      <c r="V461" s="37" t="n"/>
      <c r="W461" s="278" t="n"/>
    </row>
    <row r="462">
      <c r="A462" s="37" t="n"/>
      <c r="B462" s="37" t="n"/>
      <c r="C462" s="37" t="n"/>
      <c r="D462" s="37" t="n"/>
      <c r="E462" s="37" t="n"/>
      <c r="F462" s="37" t="n"/>
      <c r="G462" s="274" t="n"/>
      <c r="H462" s="37" t="n"/>
      <c r="I462" s="37" t="n"/>
      <c r="J462" s="37" t="n"/>
      <c r="K462" s="274" t="n"/>
      <c r="L462" s="37" t="n"/>
      <c r="M462" s="37" t="n"/>
      <c r="N462" s="276" t="n"/>
      <c r="O462" s="276" t="n"/>
      <c r="P462" s="276" t="n"/>
      <c r="Q462" s="276" t="n"/>
      <c r="R462" s="276" t="n"/>
      <c r="S462" s="37" t="n"/>
      <c r="T462" s="37" t="n"/>
      <c r="U462" s="37" t="n"/>
      <c r="V462" s="37" t="n"/>
      <c r="W462" s="278" t="n"/>
    </row>
    <row r="463">
      <c r="A463" s="37" t="n"/>
      <c r="B463" s="37" t="n"/>
      <c r="C463" s="37" t="n"/>
      <c r="D463" s="37" t="n"/>
      <c r="E463" s="37" t="n"/>
      <c r="F463" s="37" t="n"/>
      <c r="G463" s="274" t="n"/>
      <c r="H463" s="37" t="n"/>
      <c r="I463" s="37" t="n"/>
      <c r="J463" s="37" t="n"/>
      <c r="K463" s="274" t="n"/>
      <c r="L463" s="37" t="n"/>
      <c r="M463" s="37" t="n"/>
      <c r="N463" s="276" t="n"/>
      <c r="O463" s="276" t="n"/>
      <c r="P463" s="276" t="n"/>
      <c r="Q463" s="276" t="n"/>
      <c r="R463" s="276" t="n"/>
      <c r="S463" s="37" t="n"/>
      <c r="T463" s="37" t="n"/>
      <c r="U463" s="37" t="n"/>
      <c r="V463" s="37" t="n"/>
      <c r="W463" s="278" t="n"/>
    </row>
    <row r="464">
      <c r="A464" s="37" t="n"/>
      <c r="B464" s="37" t="n"/>
      <c r="C464" s="37" t="n"/>
      <c r="D464" s="37" t="n"/>
      <c r="E464" s="37" t="n"/>
      <c r="F464" s="37" t="n"/>
      <c r="G464" s="274" t="n"/>
      <c r="H464" s="37" t="n"/>
      <c r="I464" s="37" t="n"/>
      <c r="J464" s="37" t="n"/>
      <c r="K464" s="274" t="n"/>
      <c r="L464" s="37" t="n"/>
      <c r="M464" s="37" t="n"/>
      <c r="N464" s="276" t="n"/>
      <c r="O464" s="276" t="n"/>
      <c r="P464" s="276" t="n"/>
      <c r="Q464" s="276" t="n"/>
      <c r="R464" s="276" t="n"/>
      <c r="S464" s="37" t="n"/>
      <c r="T464" s="37" t="n"/>
      <c r="U464" s="37" t="n"/>
      <c r="V464" s="37" t="n"/>
      <c r="W464" s="278" t="n"/>
    </row>
    <row r="465">
      <c r="A465" s="37" t="n"/>
      <c r="B465" s="37" t="n"/>
      <c r="C465" s="37" t="n"/>
      <c r="D465" s="37" t="n"/>
      <c r="E465" s="37" t="n"/>
      <c r="F465" s="37" t="n"/>
      <c r="G465" s="274" t="n"/>
      <c r="H465" s="37" t="n"/>
      <c r="I465" s="37" t="n"/>
      <c r="J465" s="37" t="n"/>
      <c r="K465" s="274" t="n"/>
      <c r="L465" s="37" t="n"/>
      <c r="M465" s="37" t="n"/>
      <c r="N465" s="276" t="n"/>
      <c r="O465" s="276" t="n"/>
      <c r="P465" s="276" t="n"/>
      <c r="Q465" s="276" t="n"/>
      <c r="R465" s="276" t="n"/>
      <c r="S465" s="37" t="n"/>
      <c r="T465" s="37" t="n"/>
      <c r="U465" s="37" t="n"/>
      <c r="V465" s="37" t="n"/>
      <c r="W465" s="278" t="n"/>
    </row>
    <row r="466">
      <c r="A466" s="37" t="n"/>
      <c r="B466" s="37" t="n"/>
      <c r="C466" s="37" t="n"/>
      <c r="D466" s="37" t="n"/>
      <c r="E466" s="37" t="n"/>
      <c r="F466" s="37" t="n"/>
      <c r="G466" s="274" t="n"/>
      <c r="H466" s="37" t="n"/>
      <c r="I466" s="37" t="n"/>
      <c r="J466" s="37" t="n"/>
      <c r="K466" s="274" t="n"/>
      <c r="L466" s="37" t="n"/>
      <c r="M466" s="37" t="n"/>
      <c r="N466" s="276" t="n"/>
      <c r="O466" s="276" t="n"/>
      <c r="P466" s="276" t="n"/>
      <c r="Q466" s="276" t="n"/>
      <c r="R466" s="276" t="n"/>
      <c r="S466" s="37" t="n"/>
      <c r="T466" s="37" t="n"/>
      <c r="U466" s="37" t="n"/>
      <c r="V466" s="37" t="n"/>
      <c r="W466" s="278" t="n"/>
    </row>
    <row r="467">
      <c r="A467" s="37" t="n"/>
      <c r="B467" s="37" t="n"/>
      <c r="C467" s="37" t="n"/>
      <c r="D467" s="37" t="n"/>
      <c r="E467" s="37" t="n"/>
      <c r="F467" s="37" t="n"/>
      <c r="G467" s="274" t="n"/>
      <c r="H467" s="37" t="n"/>
      <c r="I467" s="37" t="n"/>
      <c r="J467" s="37" t="n"/>
      <c r="K467" s="274" t="n"/>
      <c r="L467" s="37" t="n"/>
      <c r="M467" s="37" t="n"/>
      <c r="N467" s="276" t="n"/>
      <c r="O467" s="276" t="n"/>
      <c r="P467" s="276" t="n"/>
      <c r="Q467" s="276" t="n"/>
      <c r="R467" s="276" t="n"/>
      <c r="S467" s="37" t="n"/>
      <c r="T467" s="37" t="n"/>
      <c r="U467" s="37" t="n"/>
      <c r="V467" s="37" t="n"/>
      <c r="W467" s="278" t="n"/>
    </row>
    <row r="468">
      <c r="A468" s="37" t="n"/>
      <c r="B468" s="37" t="n"/>
      <c r="C468" s="37" t="n"/>
      <c r="D468" s="37" t="n"/>
      <c r="E468" s="37" t="n"/>
      <c r="F468" s="37" t="n"/>
      <c r="G468" s="274" t="n"/>
      <c r="H468" s="37" t="n"/>
      <c r="I468" s="37" t="n"/>
      <c r="J468" s="37" t="n"/>
      <c r="K468" s="274" t="n"/>
      <c r="L468" s="37" t="n"/>
      <c r="M468" s="37" t="n"/>
      <c r="N468" s="276" t="n"/>
      <c r="O468" s="276" t="n"/>
      <c r="P468" s="276" t="n"/>
      <c r="Q468" s="276" t="n"/>
      <c r="R468" s="276" t="n"/>
      <c r="S468" s="37" t="n"/>
      <c r="T468" s="37" t="n"/>
      <c r="U468" s="37" t="n"/>
      <c r="V468" s="37" t="n"/>
      <c r="W468" s="278" t="n"/>
    </row>
    <row r="469">
      <c r="A469" s="37" t="n"/>
      <c r="B469" s="37" t="n"/>
      <c r="C469" s="37" t="n"/>
      <c r="D469" s="37" t="n"/>
      <c r="E469" s="37" t="n"/>
      <c r="F469" s="37" t="n"/>
      <c r="G469" s="274" t="n"/>
      <c r="H469" s="37" t="n"/>
      <c r="I469" s="37" t="n"/>
      <c r="J469" s="37" t="n"/>
      <c r="K469" s="274" t="n"/>
      <c r="L469" s="37" t="n"/>
      <c r="M469" s="37" t="n"/>
      <c r="N469" s="276" t="n"/>
      <c r="O469" s="276" t="n"/>
      <c r="P469" s="276" t="n"/>
      <c r="Q469" s="276" t="n"/>
      <c r="R469" s="276" t="n"/>
      <c r="S469" s="37" t="n"/>
      <c r="T469" s="37" t="n"/>
      <c r="U469" s="37" t="n"/>
      <c r="V469" s="37" t="n"/>
      <c r="W469" s="278" t="n"/>
    </row>
    <row r="470">
      <c r="A470" s="37" t="n"/>
      <c r="B470" s="37" t="n"/>
      <c r="C470" s="37" t="n"/>
      <c r="D470" s="37" t="n"/>
      <c r="E470" s="37" t="n"/>
      <c r="F470" s="37" t="n"/>
      <c r="G470" s="274" t="n"/>
      <c r="H470" s="37" t="n"/>
      <c r="I470" s="37" t="n"/>
      <c r="J470" s="37" t="n"/>
      <c r="K470" s="274" t="n"/>
      <c r="L470" s="37" t="n"/>
      <c r="M470" s="37" t="n"/>
      <c r="N470" s="276" t="n"/>
      <c r="O470" s="276" t="n"/>
      <c r="P470" s="276" t="n"/>
      <c r="Q470" s="276" t="n"/>
      <c r="R470" s="276" t="n"/>
      <c r="S470" s="37" t="n"/>
      <c r="T470" s="37" t="n"/>
      <c r="U470" s="37" t="n"/>
      <c r="V470" s="37" t="n"/>
      <c r="W470" s="278" t="n"/>
    </row>
    <row r="471">
      <c r="A471" s="37" t="n"/>
      <c r="B471" s="37" t="n"/>
      <c r="C471" s="37" t="n"/>
      <c r="D471" s="37" t="n"/>
      <c r="E471" s="37" t="n"/>
      <c r="F471" s="37" t="n"/>
      <c r="G471" s="274" t="n"/>
      <c r="H471" s="37" t="n"/>
      <c r="I471" s="37" t="n"/>
      <c r="J471" s="37" t="n"/>
      <c r="K471" s="274" t="n"/>
      <c r="L471" s="37" t="n"/>
      <c r="M471" s="37" t="n"/>
      <c r="N471" s="276" t="n"/>
      <c r="O471" s="276" t="n"/>
      <c r="P471" s="276" t="n"/>
      <c r="Q471" s="276" t="n"/>
      <c r="R471" s="276" t="n"/>
      <c r="S471" s="37" t="n"/>
      <c r="T471" s="37" t="n"/>
      <c r="U471" s="37" t="n"/>
      <c r="V471" s="37" t="n"/>
      <c r="W471" s="278" t="n"/>
    </row>
    <row r="472">
      <c r="A472" s="37" t="n"/>
      <c r="B472" s="37" t="n"/>
      <c r="C472" s="37" t="n"/>
      <c r="D472" s="37" t="n"/>
      <c r="E472" s="37" t="n"/>
      <c r="F472" s="37" t="n"/>
      <c r="G472" s="274" t="n"/>
      <c r="H472" s="37" t="n"/>
      <c r="I472" s="37" t="n"/>
      <c r="J472" s="37" t="n"/>
      <c r="K472" s="274" t="n"/>
      <c r="L472" s="37" t="n"/>
      <c r="M472" s="37" t="n"/>
      <c r="N472" s="276" t="n"/>
      <c r="O472" s="276" t="n"/>
      <c r="P472" s="276" t="n"/>
      <c r="Q472" s="276" t="n"/>
      <c r="R472" s="276" t="n"/>
      <c r="S472" s="37" t="n"/>
      <c r="T472" s="37" t="n"/>
      <c r="U472" s="37" t="n"/>
      <c r="V472" s="37" t="n"/>
      <c r="W472" s="278" t="n"/>
    </row>
    <row r="473">
      <c r="A473" s="37" t="n"/>
      <c r="B473" s="37" t="n"/>
      <c r="C473" s="37" t="n"/>
      <c r="D473" s="37" t="n"/>
      <c r="E473" s="37" t="n"/>
      <c r="F473" s="37" t="n"/>
      <c r="G473" s="274" t="n"/>
      <c r="H473" s="37" t="n"/>
      <c r="I473" s="37" t="n"/>
      <c r="J473" s="37" t="n"/>
      <c r="K473" s="274" t="n"/>
      <c r="L473" s="37" t="n"/>
      <c r="M473" s="37" t="n"/>
      <c r="N473" s="276" t="n"/>
      <c r="O473" s="276" t="n"/>
      <c r="P473" s="276" t="n"/>
      <c r="Q473" s="276" t="n"/>
      <c r="R473" s="276" t="n"/>
      <c r="S473" s="37" t="n"/>
      <c r="T473" s="37" t="n"/>
      <c r="U473" s="37" t="n"/>
      <c r="V473" s="37" t="n"/>
      <c r="W473" s="278" t="n"/>
    </row>
    <row r="474">
      <c r="A474" s="37" t="n"/>
      <c r="B474" s="37" t="n"/>
      <c r="C474" s="37" t="n"/>
      <c r="D474" s="37" t="n"/>
      <c r="E474" s="37" t="n"/>
      <c r="F474" s="37" t="n"/>
      <c r="G474" s="274" t="n"/>
      <c r="H474" s="37" t="n"/>
      <c r="I474" s="37" t="n"/>
      <c r="J474" s="37" t="n"/>
      <c r="K474" s="274" t="n"/>
      <c r="L474" s="37" t="n"/>
      <c r="M474" s="37" t="n"/>
      <c r="N474" s="276" t="n"/>
      <c r="O474" s="276" t="n"/>
      <c r="P474" s="276" t="n"/>
      <c r="Q474" s="276" t="n"/>
      <c r="R474" s="276" t="n"/>
      <c r="S474" s="37" t="n"/>
      <c r="T474" s="37" t="n"/>
      <c r="U474" s="37" t="n"/>
      <c r="V474" s="37" t="n"/>
      <c r="W474" s="278" t="n"/>
    </row>
    <row r="475">
      <c r="A475" s="37" t="n"/>
      <c r="B475" s="37" t="n"/>
      <c r="C475" s="37" t="n"/>
      <c r="D475" s="37" t="n"/>
      <c r="E475" s="37" t="n"/>
      <c r="F475" s="37" t="n"/>
      <c r="G475" s="274" t="n"/>
      <c r="H475" s="37" t="n"/>
      <c r="I475" s="37" t="n"/>
      <c r="J475" s="37" t="n"/>
      <c r="K475" s="274" t="n"/>
      <c r="L475" s="37" t="n"/>
      <c r="M475" s="37" t="n"/>
      <c r="N475" s="276" t="n"/>
      <c r="O475" s="276" t="n"/>
      <c r="P475" s="276" t="n"/>
      <c r="Q475" s="276" t="n"/>
      <c r="R475" s="276" t="n"/>
      <c r="S475" s="37" t="n"/>
      <c r="T475" s="37" t="n"/>
      <c r="U475" s="37" t="n"/>
      <c r="V475" s="37" t="n"/>
      <c r="W475" s="278" t="n"/>
    </row>
    <row r="476">
      <c r="A476" s="37" t="n"/>
      <c r="B476" s="37" t="n"/>
      <c r="C476" s="37" t="n"/>
      <c r="D476" s="37" t="n"/>
      <c r="E476" s="37" t="n"/>
      <c r="F476" s="37" t="n"/>
      <c r="G476" s="274" t="n"/>
      <c r="H476" s="37" t="n"/>
      <c r="I476" s="37" t="n"/>
      <c r="J476" s="37" t="n"/>
      <c r="K476" s="274" t="n"/>
      <c r="L476" s="37" t="n"/>
      <c r="M476" s="37" t="n"/>
      <c r="N476" s="276" t="n"/>
      <c r="O476" s="276" t="n"/>
      <c r="P476" s="276" t="n"/>
      <c r="Q476" s="276" t="n"/>
      <c r="R476" s="276" t="n"/>
      <c r="S476" s="37" t="n"/>
      <c r="T476" s="37" t="n"/>
      <c r="U476" s="37" t="n"/>
      <c r="V476" s="37" t="n"/>
      <c r="W476" s="278" t="n"/>
    </row>
    <row r="477">
      <c r="A477" s="37" t="n"/>
      <c r="B477" s="37" t="n"/>
      <c r="C477" s="37" t="n"/>
      <c r="D477" s="37" t="n"/>
      <c r="E477" s="37" t="n"/>
      <c r="F477" s="37" t="n"/>
      <c r="G477" s="274" t="n"/>
      <c r="H477" s="37" t="n"/>
      <c r="I477" s="37" t="n"/>
      <c r="J477" s="37" t="n"/>
      <c r="K477" s="274" t="n"/>
      <c r="L477" s="37" t="n"/>
      <c r="M477" s="37" t="n"/>
      <c r="N477" s="276" t="n"/>
      <c r="O477" s="276" t="n"/>
      <c r="P477" s="276" t="n"/>
      <c r="Q477" s="276" t="n"/>
      <c r="R477" s="276" t="n"/>
      <c r="S477" s="37" t="n"/>
      <c r="T477" s="37" t="n"/>
      <c r="U477" s="37" t="n"/>
      <c r="V477" s="37" t="n"/>
      <c r="W477" s="278" t="n"/>
    </row>
    <row r="478">
      <c r="A478" s="37" t="n"/>
      <c r="B478" s="37" t="n"/>
      <c r="C478" s="37" t="n"/>
      <c r="D478" s="37" t="n"/>
      <c r="E478" s="37" t="n"/>
      <c r="F478" s="37" t="n"/>
      <c r="G478" s="274" t="n"/>
      <c r="H478" s="37" t="n"/>
      <c r="I478" s="37" t="n"/>
      <c r="J478" s="37" t="n"/>
      <c r="K478" s="274" t="n"/>
      <c r="L478" s="37" t="n"/>
      <c r="M478" s="37" t="n"/>
      <c r="N478" s="276" t="n"/>
      <c r="O478" s="276" t="n"/>
      <c r="P478" s="276" t="n"/>
      <c r="Q478" s="276" t="n"/>
      <c r="R478" s="276" t="n"/>
      <c r="S478" s="37" t="n"/>
      <c r="T478" s="37" t="n"/>
      <c r="U478" s="37" t="n"/>
      <c r="V478" s="37" t="n"/>
      <c r="W478" s="278" t="n"/>
    </row>
    <row r="479">
      <c r="A479" s="37" t="n"/>
      <c r="B479" s="37" t="n"/>
      <c r="C479" s="37" t="n"/>
      <c r="D479" s="37" t="n"/>
      <c r="E479" s="37" t="n"/>
      <c r="F479" s="37" t="n"/>
      <c r="G479" s="274" t="n"/>
      <c r="H479" s="37" t="n"/>
      <c r="I479" s="37" t="n"/>
      <c r="J479" s="37" t="n"/>
      <c r="K479" s="274" t="n"/>
      <c r="L479" s="37" t="n"/>
      <c r="M479" s="37" t="n"/>
      <c r="N479" s="276" t="n"/>
      <c r="O479" s="276" t="n"/>
      <c r="P479" s="276" t="n"/>
      <c r="Q479" s="276" t="n"/>
      <c r="R479" s="276" t="n"/>
      <c r="S479" s="37" t="n"/>
      <c r="T479" s="37" t="n"/>
      <c r="U479" s="37" t="n"/>
      <c r="V479" s="37" t="n"/>
      <c r="W479" s="278" t="n"/>
    </row>
    <row r="480">
      <c r="A480" s="37" t="n"/>
      <c r="B480" s="37" t="n"/>
      <c r="C480" s="37" t="n"/>
      <c r="D480" s="37" t="n"/>
      <c r="E480" s="37" t="n"/>
      <c r="F480" s="37" t="n"/>
      <c r="G480" s="274" t="n"/>
      <c r="H480" s="37" t="n"/>
      <c r="I480" s="37" t="n"/>
      <c r="J480" s="37" t="n"/>
      <c r="K480" s="274" t="n"/>
      <c r="L480" s="37" t="n"/>
      <c r="M480" s="37" t="n"/>
      <c r="N480" s="276" t="n"/>
      <c r="O480" s="276" t="n"/>
      <c r="P480" s="276" t="n"/>
      <c r="Q480" s="276" t="n"/>
      <c r="R480" s="276" t="n"/>
      <c r="S480" s="37" t="n"/>
      <c r="T480" s="37" t="n"/>
      <c r="U480" s="37" t="n"/>
      <c r="V480" s="37" t="n"/>
      <c r="W480" s="278" t="n"/>
    </row>
    <row r="481">
      <c r="A481" s="37" t="n"/>
      <c r="B481" s="37" t="n"/>
      <c r="C481" s="37" t="n"/>
      <c r="D481" s="37" t="n"/>
      <c r="E481" s="37" t="n"/>
      <c r="F481" s="37" t="n"/>
      <c r="G481" s="274" t="n"/>
      <c r="H481" s="37" t="n"/>
      <c r="I481" s="37" t="n"/>
      <c r="J481" s="37" t="n"/>
      <c r="K481" s="274" t="n"/>
      <c r="L481" s="37" t="n"/>
      <c r="M481" s="37" t="n"/>
      <c r="N481" s="276" t="n"/>
      <c r="O481" s="276" t="n"/>
      <c r="P481" s="276" t="n"/>
      <c r="Q481" s="276" t="n"/>
      <c r="R481" s="276" t="n"/>
      <c r="S481" s="37" t="n"/>
      <c r="T481" s="37" t="n"/>
      <c r="U481" s="37" t="n"/>
      <c r="V481" s="37" t="n"/>
      <c r="W481" s="278" t="n"/>
    </row>
    <row r="482">
      <c r="A482" s="37" t="n"/>
      <c r="B482" s="37" t="n"/>
      <c r="C482" s="37" t="n"/>
      <c r="D482" s="37" t="n"/>
      <c r="E482" s="37" t="n"/>
      <c r="F482" s="37" t="n"/>
      <c r="G482" s="274" t="n"/>
      <c r="H482" s="37" t="n"/>
      <c r="I482" s="37" t="n"/>
      <c r="J482" s="37" t="n"/>
      <c r="K482" s="274" t="n"/>
      <c r="L482" s="37" t="n"/>
      <c r="M482" s="37" t="n"/>
      <c r="N482" s="276" t="n"/>
      <c r="O482" s="276" t="n"/>
      <c r="P482" s="276" t="n"/>
      <c r="Q482" s="276" t="n"/>
      <c r="R482" s="276" t="n"/>
      <c r="S482" s="37" t="n"/>
      <c r="T482" s="37" t="n"/>
      <c r="U482" s="37" t="n"/>
      <c r="V482" s="37" t="n"/>
      <c r="W482" s="278" t="n"/>
    </row>
    <row r="483">
      <c r="A483" s="37" t="n"/>
      <c r="B483" s="37" t="n"/>
      <c r="C483" s="37" t="n"/>
      <c r="D483" s="37" t="n"/>
      <c r="E483" s="37" t="n"/>
      <c r="F483" s="37" t="n"/>
      <c r="G483" s="274" t="n"/>
      <c r="H483" s="37" t="n"/>
      <c r="I483" s="37" t="n"/>
      <c r="J483" s="37" t="n"/>
      <c r="K483" s="274" t="n"/>
      <c r="L483" s="37" t="n"/>
      <c r="M483" s="37" t="n"/>
      <c r="N483" s="276" t="n"/>
      <c r="O483" s="276" t="n"/>
      <c r="P483" s="276" t="n"/>
      <c r="Q483" s="276" t="n"/>
      <c r="R483" s="276" t="n"/>
      <c r="S483" s="37" t="n"/>
      <c r="T483" s="37" t="n"/>
      <c r="U483" s="37" t="n"/>
      <c r="V483" s="37" t="n"/>
      <c r="W483" s="278" t="n"/>
    </row>
    <row r="484">
      <c r="A484" s="37" t="n"/>
      <c r="B484" s="37" t="n"/>
      <c r="C484" s="37" t="n"/>
      <c r="D484" s="37" t="n"/>
      <c r="E484" s="37" t="n"/>
      <c r="F484" s="37" t="n"/>
      <c r="G484" s="274" t="n"/>
      <c r="H484" s="37" t="n"/>
      <c r="I484" s="37" t="n"/>
      <c r="J484" s="37" t="n"/>
      <c r="K484" s="274" t="n"/>
      <c r="L484" s="37" t="n"/>
      <c r="M484" s="37" t="n"/>
      <c r="N484" s="276" t="n"/>
      <c r="O484" s="276" t="n"/>
      <c r="P484" s="276" t="n"/>
      <c r="Q484" s="276" t="n"/>
      <c r="R484" s="276" t="n"/>
      <c r="S484" s="37" t="n"/>
      <c r="T484" s="37" t="n"/>
      <c r="U484" s="37" t="n"/>
      <c r="V484" s="37" t="n"/>
      <c r="W484" s="278" t="n"/>
    </row>
    <row r="485">
      <c r="A485" s="37" t="n"/>
      <c r="B485" s="37" t="n"/>
      <c r="C485" s="37" t="n"/>
      <c r="D485" s="37" t="n"/>
      <c r="E485" s="37" t="n"/>
      <c r="F485" s="37" t="n"/>
      <c r="G485" s="274" t="n"/>
      <c r="H485" s="37" t="n"/>
      <c r="I485" s="37" t="n"/>
      <c r="J485" s="37" t="n"/>
      <c r="K485" s="274" t="n"/>
      <c r="L485" s="37" t="n"/>
      <c r="M485" s="37" t="n"/>
      <c r="N485" s="276" t="n"/>
      <c r="O485" s="276" t="n"/>
      <c r="P485" s="276" t="n"/>
      <c r="Q485" s="276" t="n"/>
      <c r="R485" s="276" t="n"/>
      <c r="S485" s="37" t="n"/>
      <c r="T485" s="37" t="n"/>
      <c r="U485" s="37" t="n"/>
      <c r="V485" s="37" t="n"/>
      <c r="W485" s="278" t="n"/>
    </row>
    <row r="486">
      <c r="A486" s="37" t="n"/>
      <c r="B486" s="37" t="n"/>
      <c r="C486" s="37" t="n"/>
      <c r="D486" s="37" t="n"/>
      <c r="E486" s="37" t="n"/>
      <c r="F486" s="37" t="n"/>
      <c r="G486" s="274" t="n"/>
      <c r="H486" s="37" t="n"/>
      <c r="I486" s="37" t="n"/>
      <c r="J486" s="37" t="n"/>
      <c r="K486" s="274" t="n"/>
      <c r="L486" s="37" t="n"/>
      <c r="M486" s="37" t="n"/>
      <c r="N486" s="276" t="n"/>
      <c r="O486" s="276" t="n"/>
      <c r="P486" s="276" t="n"/>
      <c r="Q486" s="276" t="n"/>
      <c r="R486" s="276" t="n"/>
      <c r="S486" s="37" t="n"/>
      <c r="T486" s="37" t="n"/>
      <c r="U486" s="37" t="n"/>
      <c r="V486" s="37" t="n"/>
      <c r="W486" s="278" t="n"/>
    </row>
    <row r="487">
      <c r="A487" s="37" t="n"/>
      <c r="B487" s="37" t="n"/>
      <c r="C487" s="37" t="n"/>
      <c r="D487" s="37" t="n"/>
      <c r="E487" s="37" t="n"/>
      <c r="F487" s="37" t="n"/>
      <c r="G487" s="274" t="n"/>
      <c r="H487" s="37" t="n"/>
      <c r="I487" s="37" t="n"/>
      <c r="J487" s="37" t="n"/>
      <c r="K487" s="274" t="n"/>
      <c r="L487" s="37" t="n"/>
      <c r="M487" s="37" t="n"/>
      <c r="N487" s="276" t="n"/>
      <c r="O487" s="276" t="n"/>
      <c r="P487" s="276" t="n"/>
      <c r="Q487" s="276" t="n"/>
      <c r="R487" s="276" t="n"/>
      <c r="S487" s="37" t="n"/>
      <c r="T487" s="37" t="n"/>
      <c r="U487" s="37" t="n"/>
      <c r="V487" s="37" t="n"/>
      <c r="W487" s="278" t="n"/>
    </row>
    <row r="488">
      <c r="A488" s="37" t="n"/>
      <c r="B488" s="37" t="n"/>
      <c r="C488" s="37" t="n"/>
      <c r="D488" s="37" t="n"/>
      <c r="E488" s="37" t="n"/>
      <c r="F488" s="37" t="n"/>
      <c r="G488" s="274" t="n"/>
      <c r="H488" s="37" t="n"/>
      <c r="I488" s="37" t="n"/>
      <c r="J488" s="37" t="n"/>
      <c r="K488" s="274" t="n"/>
      <c r="L488" s="37" t="n"/>
      <c r="M488" s="37" t="n"/>
      <c r="N488" s="276" t="n"/>
      <c r="O488" s="276" t="n"/>
      <c r="P488" s="276" t="n"/>
      <c r="Q488" s="276" t="n"/>
      <c r="R488" s="276" t="n"/>
      <c r="S488" s="37" t="n"/>
      <c r="T488" s="37" t="n"/>
      <c r="U488" s="37" t="n"/>
      <c r="V488" s="37" t="n"/>
      <c r="W488" s="278" t="n"/>
    </row>
    <row r="489">
      <c r="A489" s="37" t="n"/>
      <c r="B489" s="37" t="n"/>
      <c r="C489" s="37" t="n"/>
      <c r="D489" s="37" t="n"/>
      <c r="E489" s="37" t="n"/>
      <c r="F489" s="37" t="n"/>
      <c r="G489" s="274" t="n"/>
      <c r="H489" s="37" t="n"/>
      <c r="I489" s="37" t="n"/>
      <c r="J489" s="37" t="n"/>
      <c r="K489" s="274" t="n"/>
      <c r="L489" s="37" t="n"/>
      <c r="M489" s="37" t="n"/>
      <c r="N489" s="276" t="n"/>
      <c r="O489" s="276" t="n"/>
      <c r="P489" s="276" t="n"/>
      <c r="Q489" s="276" t="n"/>
      <c r="R489" s="276" t="n"/>
      <c r="S489" s="37" t="n"/>
      <c r="T489" s="37" t="n"/>
      <c r="U489" s="37" t="n"/>
      <c r="V489" s="37" t="n"/>
      <c r="W489" s="278" t="n"/>
    </row>
    <row r="490">
      <c r="A490" s="37" t="n"/>
      <c r="B490" s="37" t="n"/>
      <c r="C490" s="37" t="n"/>
      <c r="D490" s="37" t="n"/>
      <c r="E490" s="37" t="n"/>
      <c r="F490" s="37" t="n"/>
      <c r="G490" s="274" t="n"/>
      <c r="H490" s="37" t="n"/>
      <c r="I490" s="37" t="n"/>
      <c r="J490" s="37" t="n"/>
      <c r="K490" s="274" t="n"/>
      <c r="L490" s="37" t="n"/>
      <c r="M490" s="37" t="n"/>
      <c r="N490" s="276" t="n"/>
      <c r="O490" s="276" t="n"/>
      <c r="P490" s="276" t="n"/>
      <c r="Q490" s="276" t="n"/>
      <c r="R490" s="276" t="n"/>
      <c r="S490" s="37" t="n"/>
      <c r="T490" s="37" t="n"/>
      <c r="U490" s="37" t="n"/>
      <c r="V490" s="37" t="n"/>
      <c r="W490" s="278" t="n"/>
    </row>
    <row r="491">
      <c r="A491" s="37" t="n"/>
      <c r="B491" s="37" t="n"/>
      <c r="C491" s="37" t="n"/>
      <c r="D491" s="37" t="n"/>
      <c r="E491" s="37" t="n"/>
      <c r="F491" s="37" t="n"/>
      <c r="G491" s="274" t="n"/>
      <c r="H491" s="37" t="n"/>
      <c r="I491" s="37" t="n"/>
      <c r="J491" s="37" t="n"/>
      <c r="K491" s="274" t="n"/>
      <c r="L491" s="37" t="n"/>
      <c r="M491" s="37" t="n"/>
      <c r="N491" s="276" t="n"/>
      <c r="O491" s="276" t="n"/>
      <c r="P491" s="276" t="n"/>
      <c r="Q491" s="276" t="n"/>
      <c r="R491" s="276" t="n"/>
      <c r="S491" s="37" t="n"/>
      <c r="T491" s="37" t="n"/>
      <c r="U491" s="37" t="n"/>
      <c r="V491" s="37" t="n"/>
      <c r="W491" s="278" t="n"/>
    </row>
    <row r="492">
      <c r="A492" s="37" t="n"/>
      <c r="B492" s="37" t="n"/>
      <c r="C492" s="37" t="n"/>
      <c r="D492" s="37" t="n"/>
      <c r="E492" s="37" t="n"/>
      <c r="F492" s="37" t="n"/>
      <c r="G492" s="274" t="n"/>
      <c r="H492" s="37" t="n"/>
      <c r="I492" s="37" t="n"/>
      <c r="J492" s="37" t="n"/>
      <c r="K492" s="274" t="n"/>
      <c r="L492" s="37" t="n"/>
      <c r="M492" s="37" t="n"/>
      <c r="N492" s="276" t="n"/>
      <c r="O492" s="276" t="n"/>
      <c r="P492" s="276" t="n"/>
      <c r="Q492" s="276" t="n"/>
      <c r="R492" s="276" t="n"/>
      <c r="S492" s="37" t="n"/>
      <c r="T492" s="37" t="n"/>
      <c r="U492" s="37" t="n"/>
      <c r="V492" s="37" t="n"/>
      <c r="W492" s="278" t="n"/>
    </row>
    <row r="493">
      <c r="A493" s="37" t="n"/>
      <c r="B493" s="37" t="n"/>
      <c r="C493" s="37" t="n"/>
      <c r="D493" s="37" t="n"/>
      <c r="E493" s="37" t="n"/>
      <c r="F493" s="37" t="n"/>
      <c r="G493" s="274" t="n"/>
      <c r="H493" s="37" t="n"/>
      <c r="I493" s="37" t="n"/>
      <c r="J493" s="37" t="n"/>
      <c r="K493" s="274" t="n"/>
      <c r="L493" s="37" t="n"/>
      <c r="M493" s="37" t="n"/>
      <c r="N493" s="276" t="n"/>
      <c r="O493" s="276" t="n"/>
      <c r="P493" s="276" t="n"/>
      <c r="Q493" s="276" t="n"/>
      <c r="R493" s="276" t="n"/>
      <c r="S493" s="37" t="n"/>
      <c r="T493" s="37" t="n"/>
      <c r="U493" s="37" t="n"/>
      <c r="V493" s="37" t="n"/>
      <c r="W493" s="278" t="n"/>
    </row>
    <row r="494">
      <c r="A494" s="37" t="n"/>
      <c r="B494" s="37" t="n"/>
      <c r="C494" s="37" t="n"/>
      <c r="D494" s="37" t="n"/>
      <c r="E494" s="37" t="n"/>
      <c r="F494" s="37" t="n"/>
      <c r="G494" s="274" t="n"/>
      <c r="H494" s="37" t="n"/>
      <c r="I494" s="37" t="n"/>
      <c r="J494" s="37" t="n"/>
      <c r="K494" s="274" t="n"/>
      <c r="L494" s="37" t="n"/>
      <c r="M494" s="37" t="n"/>
      <c r="N494" s="276" t="n"/>
      <c r="O494" s="276" t="n"/>
      <c r="P494" s="276" t="n"/>
      <c r="Q494" s="276" t="n"/>
      <c r="R494" s="276" t="n"/>
      <c r="S494" s="37" t="n"/>
      <c r="T494" s="37" t="n"/>
      <c r="U494" s="37" t="n"/>
      <c r="V494" s="37" t="n"/>
      <c r="W494" s="278" t="n"/>
    </row>
    <row r="495">
      <c r="A495" s="37" t="n"/>
      <c r="B495" s="37" t="n"/>
      <c r="C495" s="37" t="n"/>
      <c r="D495" s="37" t="n"/>
      <c r="E495" s="37" t="n"/>
      <c r="F495" s="37" t="n"/>
      <c r="G495" s="274" t="n"/>
      <c r="H495" s="37" t="n"/>
      <c r="I495" s="37" t="n"/>
      <c r="J495" s="37" t="n"/>
      <c r="K495" s="274" t="n"/>
      <c r="L495" s="37" t="n"/>
      <c r="M495" s="37" t="n"/>
      <c r="N495" s="276" t="n"/>
      <c r="O495" s="276" t="n"/>
      <c r="P495" s="276" t="n"/>
      <c r="Q495" s="276" t="n"/>
      <c r="R495" s="276" t="n"/>
      <c r="S495" s="37" t="n"/>
      <c r="T495" s="37" t="n"/>
      <c r="U495" s="37" t="n"/>
      <c r="V495" s="37" t="n"/>
      <c r="W495" s="278" t="n"/>
    </row>
    <row r="496">
      <c r="A496" s="37" t="n"/>
      <c r="B496" s="37" t="n"/>
      <c r="C496" s="37" t="n"/>
      <c r="D496" s="37" t="n"/>
      <c r="E496" s="37" t="n"/>
      <c r="F496" s="37" t="n"/>
      <c r="G496" s="274" t="n"/>
      <c r="H496" s="37" t="n"/>
      <c r="I496" s="37" t="n"/>
      <c r="J496" s="37" t="n"/>
      <c r="K496" s="274" t="n"/>
      <c r="L496" s="37" t="n"/>
      <c r="M496" s="37" t="n"/>
      <c r="N496" s="276" t="n"/>
      <c r="O496" s="276" t="n"/>
      <c r="P496" s="276" t="n"/>
      <c r="Q496" s="276" t="n"/>
      <c r="R496" s="276" t="n"/>
      <c r="S496" s="37" t="n"/>
      <c r="T496" s="37" t="n"/>
      <c r="U496" s="37" t="n"/>
      <c r="V496" s="37" t="n"/>
      <c r="W496" s="278" t="n"/>
    </row>
    <row r="497">
      <c r="A497" s="37" t="n"/>
      <c r="B497" s="37" t="n"/>
      <c r="C497" s="37" t="n"/>
      <c r="D497" s="37" t="n"/>
      <c r="E497" s="37" t="n"/>
      <c r="F497" s="37" t="n"/>
      <c r="G497" s="274" t="n"/>
      <c r="H497" s="37" t="n"/>
      <c r="I497" s="37" t="n"/>
      <c r="J497" s="37" t="n"/>
      <c r="K497" s="274" t="n"/>
      <c r="L497" s="37" t="n"/>
      <c r="M497" s="37" t="n"/>
      <c r="N497" s="276" t="n"/>
      <c r="O497" s="276" t="n"/>
      <c r="P497" s="276" t="n"/>
      <c r="Q497" s="276" t="n"/>
      <c r="R497" s="276" t="n"/>
      <c r="S497" s="37" t="n"/>
      <c r="T497" s="37" t="n"/>
      <c r="U497" s="37" t="n"/>
      <c r="V497" s="37" t="n"/>
      <c r="W497" s="278" t="n"/>
    </row>
    <row r="498">
      <c r="A498" s="37" t="n"/>
      <c r="B498" s="37" t="n"/>
      <c r="C498" s="37" t="n"/>
      <c r="D498" s="37" t="n"/>
      <c r="E498" s="37" t="n"/>
      <c r="F498" s="37" t="n"/>
      <c r="G498" s="274" t="n"/>
      <c r="H498" s="37" t="n"/>
      <c r="I498" s="37" t="n"/>
      <c r="J498" s="37" t="n"/>
      <c r="K498" s="274" t="n"/>
      <c r="L498" s="37" t="n"/>
      <c r="M498" s="37" t="n"/>
      <c r="N498" s="276" t="n"/>
      <c r="O498" s="276" t="n"/>
      <c r="P498" s="276" t="n"/>
      <c r="Q498" s="276" t="n"/>
      <c r="R498" s="276" t="n"/>
      <c r="S498" s="37" t="n"/>
      <c r="T498" s="37" t="n"/>
      <c r="U498" s="37" t="n"/>
      <c r="V498" s="37" t="n"/>
      <c r="W498" s="278" t="n"/>
    </row>
    <row r="499">
      <c r="A499" s="37" t="n"/>
      <c r="B499" s="37" t="n"/>
      <c r="C499" s="37" t="n"/>
      <c r="D499" s="37" t="n"/>
      <c r="E499" s="37" t="n"/>
      <c r="F499" s="37" t="n"/>
      <c r="G499" s="274" t="n"/>
      <c r="H499" s="37" t="n"/>
      <c r="I499" s="37" t="n"/>
      <c r="J499" s="37" t="n"/>
      <c r="K499" s="274" t="n"/>
      <c r="L499" s="37" t="n"/>
      <c r="M499" s="37" t="n"/>
      <c r="N499" s="276" t="n"/>
      <c r="O499" s="276" t="n"/>
      <c r="P499" s="276" t="n"/>
      <c r="Q499" s="276" t="n"/>
      <c r="R499" s="276" t="n"/>
      <c r="S499" s="37" t="n"/>
      <c r="T499" s="37" t="n"/>
      <c r="U499" s="37" t="n"/>
      <c r="V499" s="37" t="n"/>
      <c r="W499" s="278" t="n"/>
    </row>
    <row r="500">
      <c r="A500" s="37" t="n"/>
      <c r="B500" s="37" t="n"/>
      <c r="C500" s="37" t="n"/>
      <c r="D500" s="37" t="n"/>
      <c r="E500" s="37" t="n"/>
      <c r="F500" s="37" t="n"/>
      <c r="G500" s="274" t="n"/>
      <c r="H500" s="37" t="n"/>
      <c r="I500" s="37" t="n"/>
      <c r="J500" s="37" t="n"/>
      <c r="K500" s="274" t="n"/>
      <c r="L500" s="37" t="n"/>
      <c r="M500" s="37" t="n"/>
      <c r="N500" s="276" t="n"/>
      <c r="O500" s="276" t="n"/>
      <c r="P500" s="276" t="n"/>
      <c r="Q500" s="276" t="n"/>
      <c r="R500" s="276" t="n"/>
      <c r="S500" s="37" t="n"/>
      <c r="T500" s="37" t="n"/>
      <c r="U500" s="37" t="n"/>
      <c r="V500" s="37" t="n"/>
      <c r="W500" s="278" t="n"/>
    </row>
    <row r="501">
      <c r="A501" s="37" t="n"/>
      <c r="B501" s="37" t="n"/>
      <c r="C501" s="37" t="n"/>
      <c r="D501" s="37" t="n"/>
      <c r="E501" s="37" t="n"/>
      <c r="F501" s="37" t="n"/>
      <c r="G501" s="274" t="n"/>
      <c r="H501" s="37" t="n"/>
      <c r="I501" s="37" t="n"/>
      <c r="J501" s="37" t="n"/>
      <c r="K501" s="274" t="n"/>
      <c r="L501" s="37" t="n"/>
      <c r="M501" s="37" t="n"/>
      <c r="N501" s="276" t="n"/>
      <c r="O501" s="276" t="n"/>
      <c r="P501" s="276" t="n"/>
      <c r="Q501" s="276" t="n"/>
      <c r="R501" s="276" t="n"/>
      <c r="S501" s="37" t="n"/>
      <c r="T501" s="37" t="n"/>
      <c r="U501" s="37" t="n"/>
      <c r="V501" s="37" t="n"/>
      <c r="W501" s="278" t="n"/>
    </row>
  </sheetData>
  <conditionalFormatting sqref="Q2:Q501">
    <cfRule type="expression" priority="1" dxfId="0">
      <formula>Q2="New"</formula>
    </cfRule>
    <cfRule type="expression" priority="2" dxfId="1">
      <formula>Q2="Extended"</formula>
    </cfRule>
    <cfRule type="expression" priority="3" dxfId="2">
      <formula>Q2="Corrigendum"</formula>
    </cfRule>
    <cfRule type="expression" priority="4" dxfId="3">
      <formula>OR(Q2="Closed",Q2="Cancelled")</formula>
    </cfRule>
  </conditionalFormatting>
  <conditionalFormatting sqref="X2:X501">
    <cfRule type="expression" priority="5" dxfId="4">
      <formula>X2="Urgent"</formula>
    </cfRule>
    <cfRule type="expression" priority="6" dxfId="5">
      <formula>X2="Due in 7 Days"</formula>
    </cfRule>
    <cfRule type="expression" priority="7" dxfId="6">
      <formula>X2="Expired"</formula>
    </cfRule>
  </conditionalFormatting>
  <conditionalFormatting sqref="Z2:Z501">
    <cfRule type="expression" priority="8" dxfId="7">
      <formula>Z2="Duplicate"</formula>
    </cfRule>
  </conditionalFormatting>
  <conditionalFormatting sqref="AE2:AE27">
    <cfRule type="colorScale" priority="9">
      <colorScale>
        <cfvo type="min"/>
        <cfvo type="percentile" val="50"/>
        <cfvo type="max"/>
        <color rgb="FFF4CCCC"/>
        <color rgb="FFFFF2CC"/>
        <color rgb="FFD9EAD3"/>
      </colorScale>
    </cfRule>
  </conditionalFormatting>
  <dataValidations count="4">
    <dataValidation sqref="F2:F501" showDropDown="0" showInputMessage="0" showErrorMessage="0" allowBlank="0" type="list">
      <formula1>"Solar,Solar + BESS,FDRE,Wind,Hybrid,BESS,Pumped Storage,RTC,Other"</formula1>
    </dataValidation>
    <dataValidation sqref="H2:H501" showDropDown="0" showInputMessage="0" showErrorMessage="0" allowBlank="0" type="list">
      <formula1>"Yes,No,Not Specified"</formula1>
    </dataValidation>
    <dataValidation sqref="Q2:Q501" showDropDown="0" showInputMessage="0" showErrorMessage="0" allowBlank="0" type="list">
      <formula1>"New,Open,Extended,Corrigendum,Evaluation"</formula1>
    </dataValidation>
    <dataValidation sqref="X2:X501" showDropDown="0" showInputMessage="0" showErrorMessage="0" allowBlank="0" type="list">
      <formula1>"Expired,Urgent,Due in 7 Days,Normal"</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cols>
    <col width="18" customWidth="1" style="64" min="1" max="1"/>
    <col width="22" customWidth="1" style="64" min="2" max="2"/>
    <col width="18" customWidth="1" style="64" min="3" max="3"/>
    <col width="12" customWidth="1" style="64" min="4" max="4"/>
    <col width="34" customWidth="1" style="64" min="5" max="5"/>
    <col width="34" customWidth="1" style="64" min="6" max="6"/>
    <col width="16" customWidth="1" style="64" min="7" max="7"/>
    <col width="28" customWidth="1" style="64" min="8" max="8"/>
  </cols>
  <sheetData>
    <row r="1">
      <c r="A1" s="44" t="inlineStr">
        <is>
          <t>Category</t>
        </is>
      </c>
      <c r="B1" s="44" t="inlineStr">
        <is>
          <t>Agency</t>
        </is>
      </c>
      <c r="C1" s="44" t="inlineStr">
        <is>
          <t>State / Region</t>
        </is>
      </c>
      <c r="D1" s="44" t="inlineStr">
        <is>
          <t>Enabled</t>
        </is>
      </c>
      <c r="E1" s="44" t="inlineStr">
        <is>
          <t>Primary Tender Page</t>
        </is>
      </c>
      <c r="F1" s="44" t="inlineStr">
        <is>
          <t>Secondary / eProcurement Page</t>
        </is>
      </c>
      <c r="G1" s="44" t="inlineStr">
        <is>
          <t>Scan Method</t>
        </is>
      </c>
      <c r="H1" s="44" t="inlineStr">
        <is>
          <t>Notes</t>
        </is>
      </c>
      <c r="I1" s="62" t="n"/>
      <c r="J1" s="62" t="n"/>
      <c r="K1" s="62" t="n"/>
      <c r="L1" s="62" t="n"/>
      <c r="M1" s="62" t="n"/>
      <c r="N1" s="62" t="n"/>
      <c r="O1" s="62" t="n"/>
      <c r="P1" s="62" t="n"/>
      <c r="Q1" s="62" t="n"/>
      <c r="R1" s="62" t="n"/>
      <c r="S1" s="62" t="n"/>
      <c r="T1" s="62" t="n"/>
      <c r="U1" s="62" t="n"/>
      <c r="V1" s="62" t="n"/>
    </row>
    <row r="2">
      <c r="A2" s="37" t="inlineStr">
        <is>
          <t>Central</t>
        </is>
      </c>
      <c r="B2" s="37" t="inlineStr">
        <is>
          <t>SECI</t>
        </is>
      </c>
      <c r="C2" s="37" t="inlineStr">
        <is>
          <t>All India</t>
        </is>
      </c>
      <c r="D2" s="37" t="inlineStr">
        <is>
          <t>Yes</t>
        </is>
      </c>
      <c r="E2" s="37" t="inlineStr">
        <is>
          <t>https://www.seci.co.in/</t>
        </is>
      </c>
      <c r="F2" s="37" t="str"/>
      <c r="G2" s="37" t="inlineStr">
        <is>
          <t>HTML/PDF</t>
        </is>
      </c>
      <c r="H2" s="37" t="str"/>
    </row>
    <row r="3">
      <c r="A3" s="37" t="inlineStr">
        <is>
          <t>Central</t>
        </is>
      </c>
      <c r="B3" s="37" t="inlineStr">
        <is>
          <t>NTPC REL</t>
        </is>
      </c>
      <c r="C3" s="37" t="inlineStr">
        <is>
          <t>All India</t>
        </is>
      </c>
      <c r="D3" s="37" t="inlineStr">
        <is>
          <t>Yes</t>
        </is>
      </c>
      <c r="E3" s="37" t="inlineStr">
        <is>
          <t>https://www.ntpc.co.in/</t>
        </is>
      </c>
      <c r="F3" s="37" t="str"/>
      <c r="G3" s="37" t="inlineStr">
        <is>
          <t>HTML/PDF</t>
        </is>
      </c>
      <c r="H3" s="37" t="str"/>
    </row>
    <row r="4">
      <c r="A4" s="37" t="inlineStr">
        <is>
          <t>Central</t>
        </is>
      </c>
      <c r="B4" s="37" t="inlineStr">
        <is>
          <t>NHPC</t>
        </is>
      </c>
      <c r="C4" s="37" t="inlineStr">
        <is>
          <t>All India</t>
        </is>
      </c>
      <c r="D4" s="37" t="inlineStr">
        <is>
          <t>Yes</t>
        </is>
      </c>
      <c r="E4" s="37" t="inlineStr">
        <is>
          <t>https://www.nhpcindia.com/</t>
        </is>
      </c>
      <c r="F4" s="37" t="str"/>
      <c r="G4" s="37" t="inlineStr">
        <is>
          <t>HTML/PDF</t>
        </is>
      </c>
      <c r="H4" s="37" t="str"/>
    </row>
    <row r="5">
      <c r="A5" s="37" t="inlineStr">
        <is>
          <t>Central</t>
        </is>
      </c>
      <c r="B5" s="37" t="inlineStr">
        <is>
          <t>SJVN</t>
        </is>
      </c>
      <c r="C5" s="37" t="inlineStr">
        <is>
          <t>All India</t>
        </is>
      </c>
      <c r="D5" s="37" t="inlineStr">
        <is>
          <t>Yes</t>
        </is>
      </c>
      <c r="E5" s="37" t="inlineStr">
        <is>
          <t>https://sjvn.nic.in/</t>
        </is>
      </c>
      <c r="F5" s="37" t="str"/>
      <c r="G5" s="37" t="inlineStr">
        <is>
          <t>HTML/PDF</t>
        </is>
      </c>
      <c r="H5" s="37" t="str"/>
    </row>
    <row r="6">
      <c r="A6" s="37" t="inlineStr">
        <is>
          <t>Central</t>
        </is>
      </c>
      <c r="B6" s="37" t="inlineStr">
        <is>
          <t>NLCIL</t>
        </is>
      </c>
      <c r="C6" s="37" t="inlineStr">
        <is>
          <t>All India</t>
        </is>
      </c>
      <c r="D6" s="37" t="inlineStr">
        <is>
          <t>Yes</t>
        </is>
      </c>
      <c r="E6" s="37" t="inlineStr">
        <is>
          <t>https://www.nlcindia.in/</t>
        </is>
      </c>
      <c r="F6" s="37" t="str"/>
      <c r="G6" s="37" t="inlineStr">
        <is>
          <t>HTML/PDF</t>
        </is>
      </c>
      <c r="H6" s="37" t="str"/>
    </row>
    <row r="7">
      <c r="A7" s="37" t="inlineStr">
        <is>
          <t>Central</t>
        </is>
      </c>
      <c r="B7" s="37" t="inlineStr">
        <is>
          <t>GUVNL (ISTS)</t>
        </is>
      </c>
      <c r="C7" s="37" t="inlineStr">
        <is>
          <t>All India</t>
        </is>
      </c>
      <c r="D7" s="37" t="inlineStr">
        <is>
          <t>Yes</t>
        </is>
      </c>
      <c r="E7" s="37" t="inlineStr">
        <is>
          <t>https://www.guvnl.com/</t>
        </is>
      </c>
      <c r="F7" s="37" t="str"/>
      <c r="G7" s="37" t="inlineStr">
        <is>
          <t>HTML/PDF</t>
        </is>
      </c>
      <c r="H7" s="37" t="str"/>
    </row>
    <row r="8">
      <c r="A8" s="37" t="inlineStr">
        <is>
          <t>Central</t>
        </is>
      </c>
      <c r="B8" s="37" t="inlineStr">
        <is>
          <t>REMCL</t>
        </is>
      </c>
      <c r="C8" s="37" t="inlineStr">
        <is>
          <t>All India</t>
        </is>
      </c>
      <c r="D8" s="37" t="inlineStr">
        <is>
          <t>Yes</t>
        </is>
      </c>
      <c r="E8" s="37" t="inlineStr">
        <is>
          <t>https://www.remcl.in/</t>
        </is>
      </c>
      <c r="F8" s="37" t="str"/>
      <c r="G8" s="37" t="inlineStr">
        <is>
          <t>HTML/PDF</t>
        </is>
      </c>
      <c r="H8" s="37" t="str"/>
    </row>
    <row r="9">
      <c r="A9" s="37" t="inlineStr">
        <is>
          <t>Rajasthan</t>
        </is>
      </c>
      <c r="B9" s="37" t="inlineStr">
        <is>
          <t>RUVNL</t>
        </is>
      </c>
      <c r="C9" s="37" t="inlineStr">
        <is>
          <t>Rajasthan</t>
        </is>
      </c>
      <c r="D9" s="37" t="inlineStr">
        <is>
          <t>Yes</t>
        </is>
      </c>
      <c r="E9" s="37" t="str"/>
      <c r="F9" s="37" t="str"/>
      <c r="G9" s="37" t="inlineStr">
        <is>
          <t>HTML/PDF</t>
        </is>
      </c>
      <c r="H9" s="37" t="inlineStr">
        <is>
          <t>Verify current official tender page</t>
        </is>
      </c>
    </row>
    <row r="10">
      <c r="A10" s="37" t="inlineStr">
        <is>
          <t>Rajasthan</t>
        </is>
      </c>
      <c r="B10" s="37" t="inlineStr">
        <is>
          <t>RVPN</t>
        </is>
      </c>
      <c r="C10" s="37" t="inlineStr">
        <is>
          <t>Rajasthan</t>
        </is>
      </c>
      <c r="D10" s="37" t="inlineStr">
        <is>
          <t>Yes</t>
        </is>
      </c>
      <c r="E10" s="37" t="inlineStr">
        <is>
          <t>https://energy.rajasthan.gov.in/rvpnl</t>
        </is>
      </c>
      <c r="F10" s="37" t="str"/>
      <c r="G10" s="37" t="inlineStr">
        <is>
          <t>HTML/PDF</t>
        </is>
      </c>
      <c r="H10" s="37" t="str"/>
    </row>
    <row r="11">
      <c r="A11" s="37" t="inlineStr">
        <is>
          <t>Karnataka</t>
        </is>
      </c>
      <c r="B11" s="37" t="inlineStr">
        <is>
          <t>KREDL</t>
        </is>
      </c>
      <c r="C11" s="37" t="inlineStr">
        <is>
          <t>Karnataka</t>
        </is>
      </c>
      <c r="D11" s="37" t="inlineStr">
        <is>
          <t>Yes</t>
        </is>
      </c>
      <c r="E11" s="37" t="inlineStr">
        <is>
          <t>https://kredl.karnataka.gov.in/</t>
        </is>
      </c>
      <c r="F11" s="37" t="str"/>
      <c r="G11" s="37" t="inlineStr">
        <is>
          <t>HTML/PDF</t>
        </is>
      </c>
      <c r="H11" s="37" t="str"/>
    </row>
    <row r="12">
      <c r="A12" s="37" t="inlineStr">
        <is>
          <t>Karnataka</t>
        </is>
      </c>
      <c r="B12" s="37" t="inlineStr">
        <is>
          <t>KPTCL</t>
        </is>
      </c>
      <c r="C12" s="37" t="inlineStr">
        <is>
          <t>Karnataka</t>
        </is>
      </c>
      <c r="D12" s="37" t="inlineStr">
        <is>
          <t>Yes</t>
        </is>
      </c>
      <c r="E12" s="37" t="inlineStr">
        <is>
          <t>https://kptcl.karnataka.gov.in/</t>
        </is>
      </c>
      <c r="F12" s="37" t="str"/>
      <c r="G12" s="37" t="inlineStr">
        <is>
          <t>HTML/PDF</t>
        </is>
      </c>
      <c r="H12" s="37" t="str"/>
    </row>
    <row r="13">
      <c r="A13" s="37" t="inlineStr">
        <is>
          <t>Karnataka</t>
        </is>
      </c>
      <c r="B13" s="37" t="inlineStr">
        <is>
          <t>KPCL</t>
        </is>
      </c>
      <c r="C13" s="37" t="inlineStr">
        <is>
          <t>Karnataka</t>
        </is>
      </c>
      <c r="D13" s="37" t="inlineStr">
        <is>
          <t>Yes</t>
        </is>
      </c>
      <c r="E13" s="37" t="inlineStr">
        <is>
          <t>https://karnatakapower.com/</t>
        </is>
      </c>
      <c r="F13" s="37" t="str"/>
      <c r="G13" s="37" t="inlineStr">
        <is>
          <t>HTML/PDF</t>
        </is>
      </c>
      <c r="H13" s="37" t="str"/>
    </row>
    <row r="14">
      <c r="A14" s="37" t="inlineStr">
        <is>
          <t>Madhya Pradesh</t>
        </is>
      </c>
      <c r="B14" s="37" t="inlineStr">
        <is>
          <t>MPUVNL</t>
        </is>
      </c>
      <c r="C14" s="37" t="inlineStr">
        <is>
          <t>Madhya Pradesh</t>
        </is>
      </c>
      <c r="D14" s="37" t="inlineStr">
        <is>
          <t>Yes</t>
        </is>
      </c>
      <c r="E14" s="37" t="inlineStr">
        <is>
          <t>https://www.mprenewable.nic.in/</t>
        </is>
      </c>
      <c r="F14" s="37" t="str"/>
      <c r="G14" s="37" t="inlineStr">
        <is>
          <t>HTML/PDF</t>
        </is>
      </c>
      <c r="H14" s="37" t="str"/>
    </row>
    <row r="15">
      <c r="A15" s="37" t="inlineStr">
        <is>
          <t>Madhya Pradesh</t>
        </is>
      </c>
      <c r="B15" s="37" t="inlineStr">
        <is>
          <t>MPPMCL</t>
        </is>
      </c>
      <c r="C15" s="37" t="inlineStr">
        <is>
          <t>Madhya Pradesh</t>
        </is>
      </c>
      <c r="D15" s="37" t="inlineStr">
        <is>
          <t>Yes</t>
        </is>
      </c>
      <c r="E15" s="37" t="inlineStr">
        <is>
          <t>https://mppmcl.com/</t>
        </is>
      </c>
      <c r="F15" s="37" t="str"/>
      <c r="G15" s="37" t="inlineStr">
        <is>
          <t>HTML/PDF</t>
        </is>
      </c>
      <c r="H15" s="37" t="str"/>
    </row>
    <row r="16">
      <c r="A16" s="37" t="inlineStr">
        <is>
          <t>Madhya Pradesh</t>
        </is>
      </c>
      <c r="B16" s="37" t="inlineStr">
        <is>
          <t>MP Urja Vikas Nigam</t>
        </is>
      </c>
      <c r="C16" s="37" t="inlineStr">
        <is>
          <t>Madhya Pradesh</t>
        </is>
      </c>
      <c r="D16" s="37" t="inlineStr">
        <is>
          <t>Yes</t>
        </is>
      </c>
      <c r="E16" s="37" t="inlineStr">
        <is>
          <t>https://www.mprenewable.nic.in/</t>
        </is>
      </c>
      <c r="F16" s="37" t="str"/>
      <c r="G16" s="37" t="inlineStr">
        <is>
          <t>HTML/PDF</t>
        </is>
      </c>
      <c r="H16" s="37" t="str"/>
    </row>
    <row r="17">
      <c r="A17" s="37" t="inlineStr">
        <is>
          <t>Maharashtra</t>
        </is>
      </c>
      <c r="B17" s="37" t="inlineStr">
        <is>
          <t>MSEDCL</t>
        </is>
      </c>
      <c r="C17" s="37" t="inlineStr">
        <is>
          <t>Maharashtra</t>
        </is>
      </c>
      <c r="D17" s="37" t="inlineStr">
        <is>
          <t>Yes</t>
        </is>
      </c>
      <c r="E17" s="37" t="inlineStr">
        <is>
          <t>https://www.mahadiscom.in/</t>
        </is>
      </c>
      <c r="F17" s="37" t="str"/>
      <c r="G17" s="37" t="inlineStr">
        <is>
          <t>HTML/PDF</t>
        </is>
      </c>
      <c r="H17" s="37" t="str"/>
    </row>
    <row r="18">
      <c r="A18" s="37" t="inlineStr">
        <is>
          <t>Maharashtra</t>
        </is>
      </c>
      <c r="B18" s="37" t="inlineStr">
        <is>
          <t>MAHAGENCO</t>
        </is>
      </c>
      <c r="C18" s="37" t="inlineStr">
        <is>
          <t>Maharashtra</t>
        </is>
      </c>
      <c r="D18" s="37" t="inlineStr">
        <is>
          <t>Yes</t>
        </is>
      </c>
      <c r="E18" s="37" t="inlineStr">
        <is>
          <t>https://www.mahagenco.in/</t>
        </is>
      </c>
      <c r="F18" s="37" t="str"/>
      <c r="G18" s="37" t="inlineStr">
        <is>
          <t>HTML/PDF</t>
        </is>
      </c>
      <c r="H18" s="37" t="str"/>
    </row>
    <row r="19">
      <c r="A19" s="37" t="inlineStr">
        <is>
          <t>Gujarat</t>
        </is>
      </c>
      <c r="B19" s="37" t="inlineStr">
        <is>
          <t>GUVNL</t>
        </is>
      </c>
      <c r="C19" s="37" t="inlineStr">
        <is>
          <t>Gujarat</t>
        </is>
      </c>
      <c r="D19" s="37" t="inlineStr">
        <is>
          <t>Yes</t>
        </is>
      </c>
      <c r="E19" s="37" t="inlineStr">
        <is>
          <t>https://www.guvnl.com/</t>
        </is>
      </c>
      <c r="F19" s="37" t="str"/>
      <c r="G19" s="37" t="inlineStr">
        <is>
          <t>HTML/PDF</t>
        </is>
      </c>
      <c r="H19" s="37" t="str"/>
    </row>
    <row r="20">
      <c r="A20" s="37" t="inlineStr">
        <is>
          <t>Gujarat</t>
        </is>
      </c>
      <c r="B20" s="37" t="inlineStr">
        <is>
          <t>GPCL</t>
        </is>
      </c>
      <c r="C20" s="37" t="inlineStr">
        <is>
          <t>Gujarat</t>
        </is>
      </c>
      <c r="D20" s="37" t="inlineStr">
        <is>
          <t>Yes</t>
        </is>
      </c>
      <c r="E20" s="37" t="inlineStr">
        <is>
          <t>https://gpcl.gujarat.gov.in/</t>
        </is>
      </c>
      <c r="F20" s="37" t="str"/>
      <c r="G20" s="37" t="inlineStr">
        <is>
          <t>HTML/PDF</t>
        </is>
      </c>
      <c r="H20" s="37" t="str"/>
    </row>
    <row r="21">
      <c r="A21" s="37" t="inlineStr">
        <is>
          <t>Andhra Pradesh</t>
        </is>
      </c>
      <c r="B21" s="37" t="inlineStr">
        <is>
          <t>APSPDCL</t>
        </is>
      </c>
      <c r="C21" s="37" t="inlineStr">
        <is>
          <t>Andhra Pradesh</t>
        </is>
      </c>
      <c r="D21" s="37" t="inlineStr">
        <is>
          <t>Yes</t>
        </is>
      </c>
      <c r="E21" s="37" t="inlineStr">
        <is>
          <t>https://www.apspdcl.in/</t>
        </is>
      </c>
      <c r="F21" s="37" t="str"/>
      <c r="G21" s="37" t="inlineStr">
        <is>
          <t>HTML/PDF</t>
        </is>
      </c>
      <c r="H21" s="37" t="str"/>
    </row>
    <row r="22">
      <c r="A22" s="37" t="inlineStr">
        <is>
          <t>Andhra Pradesh</t>
        </is>
      </c>
      <c r="B22" s="37" t="inlineStr">
        <is>
          <t>APGENCO</t>
        </is>
      </c>
      <c r="C22" s="37" t="inlineStr">
        <is>
          <t>Andhra Pradesh</t>
        </is>
      </c>
      <c r="D22" s="37" t="inlineStr">
        <is>
          <t>Yes</t>
        </is>
      </c>
      <c r="E22" s="37" t="inlineStr">
        <is>
          <t>https://apgenco.gov.in/</t>
        </is>
      </c>
      <c r="F22" s="37" t="str"/>
      <c r="G22" s="37" t="inlineStr">
        <is>
          <t>HTML/PDF</t>
        </is>
      </c>
      <c r="H22" s="37" t="str"/>
    </row>
    <row r="23">
      <c r="A23" s="37" t="inlineStr">
        <is>
          <t>Andhra Pradesh</t>
        </is>
      </c>
      <c r="B23" s="37" t="inlineStr">
        <is>
          <t>NREDCAP</t>
        </is>
      </c>
      <c r="C23" s="37" t="inlineStr">
        <is>
          <t>Andhra Pradesh</t>
        </is>
      </c>
      <c r="D23" s="37" t="inlineStr">
        <is>
          <t>Yes</t>
        </is>
      </c>
      <c r="E23" s="37" t="inlineStr">
        <is>
          <t>https://nredcap.in/</t>
        </is>
      </c>
      <c r="F23" s="37" t="str"/>
      <c r="G23" s="37" t="inlineStr">
        <is>
          <t>HTML/PDF</t>
        </is>
      </c>
      <c r="H23" s="37" t="str"/>
    </row>
    <row r="24">
      <c r="A24" s="37" t="inlineStr">
        <is>
          <t>Telangana</t>
        </is>
      </c>
      <c r="B24" s="37" t="inlineStr">
        <is>
          <t>TGNPDCL</t>
        </is>
      </c>
      <c r="C24" s="37" t="inlineStr">
        <is>
          <t>Telangana</t>
        </is>
      </c>
      <c r="D24" s="37" t="inlineStr">
        <is>
          <t>Yes</t>
        </is>
      </c>
      <c r="E24" s="37" t="str"/>
      <c r="F24" s="37" t="str"/>
      <c r="G24" s="37" t="inlineStr">
        <is>
          <t>HTML/PDF</t>
        </is>
      </c>
      <c r="H24" s="37" t="inlineStr">
        <is>
          <t>Verify current official tender page</t>
        </is>
      </c>
    </row>
    <row r="25">
      <c r="A25" s="37" t="inlineStr">
        <is>
          <t>Telangana</t>
        </is>
      </c>
      <c r="B25" s="37" t="inlineStr">
        <is>
          <t>TSSPDCL</t>
        </is>
      </c>
      <c r="C25" s="37" t="inlineStr">
        <is>
          <t>Telangana</t>
        </is>
      </c>
      <c r="D25" s="37" t="inlineStr">
        <is>
          <t>Yes</t>
        </is>
      </c>
      <c r="E25" s="37" t="inlineStr">
        <is>
          <t>https://www.tssouthernpower.com/</t>
        </is>
      </c>
      <c r="F25" s="37" t="str"/>
      <c r="G25" s="37" t="inlineStr">
        <is>
          <t>HTML/PDF</t>
        </is>
      </c>
      <c r="H25" s="37" t="str"/>
    </row>
    <row r="26">
      <c r="A26" s="37" t="inlineStr">
        <is>
          <t>Tamil Nadu</t>
        </is>
      </c>
      <c r="B26" s="37" t="inlineStr">
        <is>
          <t>TNGECL</t>
        </is>
      </c>
      <c r="C26" s="37" t="inlineStr">
        <is>
          <t>Tamil Nadu</t>
        </is>
      </c>
      <c r="D26" s="37" t="inlineStr">
        <is>
          <t>Yes</t>
        </is>
      </c>
      <c r="E26" s="37" t="str"/>
      <c r="F26" s="37" t="str"/>
      <c r="G26" s="37" t="inlineStr">
        <is>
          <t>HTML/PDF</t>
        </is>
      </c>
      <c r="H26" s="37" t="inlineStr">
        <is>
          <t>Verify current official tender page</t>
        </is>
      </c>
    </row>
    <row r="27">
      <c r="A27" s="37" t="inlineStr">
        <is>
          <t>Tamil Nadu</t>
        </is>
      </c>
      <c r="B27" s="37" t="inlineStr">
        <is>
          <t>TANTRANSCO</t>
        </is>
      </c>
      <c r="C27" s="37" t="inlineStr">
        <is>
          <t>Tamil Nadu</t>
        </is>
      </c>
      <c r="D27" s="37" t="inlineStr">
        <is>
          <t>Yes</t>
        </is>
      </c>
      <c r="E27" s="37" t="inlineStr">
        <is>
          <t>https://www.tantransco.gov.in/</t>
        </is>
      </c>
      <c r="F27" s="37" t="str"/>
      <c r="G27" s="37" t="inlineStr">
        <is>
          <t>HTML/PDF</t>
        </is>
      </c>
      <c r="H27" s="37" t="str"/>
    </row>
    <row r="28">
      <c r="A28" s="37" t="inlineStr">
        <is>
          <t>Odisha</t>
        </is>
      </c>
      <c r="B28" s="37" t="inlineStr">
        <is>
          <t>GRIDCO</t>
        </is>
      </c>
      <c r="C28" s="37" t="inlineStr">
        <is>
          <t>Odisha</t>
        </is>
      </c>
      <c r="D28" s="37" t="inlineStr">
        <is>
          <t>Yes</t>
        </is>
      </c>
      <c r="E28" s="37" t="inlineStr">
        <is>
          <t>https://www.gridco.co.in/</t>
        </is>
      </c>
      <c r="F28" s="37" t="str"/>
      <c r="G28" s="37" t="inlineStr">
        <is>
          <t>HTML/PDF</t>
        </is>
      </c>
      <c r="H28" s="37" t="str"/>
    </row>
    <row r="29">
      <c r="A29" s="37" t="inlineStr">
        <is>
          <t>Haryana</t>
        </is>
      </c>
      <c r="B29" s="37" t="inlineStr">
        <is>
          <t>HAREDA</t>
        </is>
      </c>
      <c r="C29" s="37" t="inlineStr">
        <is>
          <t>Haryana</t>
        </is>
      </c>
      <c r="D29" s="37" t="inlineStr">
        <is>
          <t>Yes</t>
        </is>
      </c>
      <c r="E29" s="37" t="inlineStr">
        <is>
          <t>https://hareda.gov.in/</t>
        </is>
      </c>
      <c r="F29" s="37" t="str"/>
      <c r="G29" s="37" t="inlineStr">
        <is>
          <t>HTML/PDF</t>
        </is>
      </c>
      <c r="H29" s="37" t="str"/>
    </row>
    <row r="30">
      <c r="A30" s="37" t="inlineStr">
        <is>
          <t>Punjab</t>
        </is>
      </c>
      <c r="B30" s="37" t="inlineStr">
        <is>
          <t>PSPCL</t>
        </is>
      </c>
      <c r="C30" s="37" t="inlineStr">
        <is>
          <t>Punjab</t>
        </is>
      </c>
      <c r="D30" s="37" t="inlineStr">
        <is>
          <t>Yes</t>
        </is>
      </c>
      <c r="E30" s="37" t="inlineStr">
        <is>
          <t>https://www.pspcl.in/</t>
        </is>
      </c>
      <c r="F30" s="37" t="str"/>
      <c r="G30" s="37" t="inlineStr">
        <is>
          <t>HTML/PDF</t>
        </is>
      </c>
      <c r="H30" s="37" t="str"/>
    </row>
    <row r="31">
      <c r="A31" s="37" t="inlineStr">
        <is>
          <t>Uttar Pradesh</t>
        </is>
      </c>
      <c r="B31" s="37" t="inlineStr">
        <is>
          <t>UPNEDA</t>
        </is>
      </c>
      <c r="C31" s="37" t="inlineStr">
        <is>
          <t>Uttar Pradesh</t>
        </is>
      </c>
      <c r="D31" s="37" t="inlineStr">
        <is>
          <t>Yes</t>
        </is>
      </c>
      <c r="E31" s="37" t="inlineStr">
        <is>
          <t>https://upneda.org.in/</t>
        </is>
      </c>
      <c r="F31" s="37" t="str"/>
      <c r="G31" s="37" t="inlineStr">
        <is>
          <t>HTML/PDF</t>
        </is>
      </c>
      <c r="H31" s="37" t="str"/>
    </row>
    <row r="32">
      <c r="A32" s="37" t="inlineStr">
        <is>
          <t>Bihar</t>
        </is>
      </c>
      <c r="B32" s="37" t="inlineStr">
        <is>
          <t>BSPHCL</t>
        </is>
      </c>
      <c r="C32" s="37" t="inlineStr">
        <is>
          <t>Bihar</t>
        </is>
      </c>
      <c r="D32" s="37" t="inlineStr">
        <is>
          <t>Yes</t>
        </is>
      </c>
      <c r="E32" s="37" t="inlineStr">
        <is>
          <t>https://www.bsphcl.co.in/</t>
        </is>
      </c>
      <c r="F32" s="37" t="str"/>
      <c r="G32" s="37" t="inlineStr">
        <is>
          <t>HTML/PDF</t>
        </is>
      </c>
      <c r="H32" s="37" t="str"/>
    </row>
    <row r="33">
      <c r="A33" s="37" t="inlineStr">
        <is>
          <t>Others</t>
        </is>
      </c>
      <c r="B33" s="37" t="inlineStr">
        <is>
          <t>Central Public Procurement Portal</t>
        </is>
      </c>
      <c r="C33" s="37" t="inlineStr">
        <is>
          <t>All India</t>
        </is>
      </c>
      <c r="D33" s="37" t="inlineStr">
        <is>
          <t>Yes</t>
        </is>
      </c>
      <c r="E33" s="37" t="inlineStr">
        <is>
          <t>https://eprocure.gov.in/eprocure/app</t>
        </is>
      </c>
      <c r="F33" s="37" t="str"/>
      <c r="G33" s="37" t="inlineStr">
        <is>
          <t>Portal</t>
        </is>
      </c>
      <c r="H33" s="37" t="str"/>
    </row>
    <row r="34">
      <c r="A34" s="37" t="inlineStr">
        <is>
          <t>Others</t>
        </is>
      </c>
      <c r="B34" s="37" t="inlineStr">
        <is>
          <t>Government e-Marketplace</t>
        </is>
      </c>
      <c r="C34" s="37" t="inlineStr">
        <is>
          <t>All India</t>
        </is>
      </c>
      <c r="D34" s="37" t="inlineStr">
        <is>
          <t>No</t>
        </is>
      </c>
      <c r="E34" s="37" t="inlineStr">
        <is>
          <t>https://gem.gov.in/</t>
        </is>
      </c>
      <c r="F34" s="37" t="str"/>
      <c r="G34" s="37" t="inlineStr">
        <is>
          <t>Portal</t>
        </is>
      </c>
      <c r="H34" s="37" t="inlineStr">
        <is>
          <t>Enable where relevant</t>
        </is>
      </c>
    </row>
  </sheetData>
  <dataValidations count="1">
    <dataValidation sqref="D2:D34"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cols>
    <col width="22" customWidth="1" style="64" min="1" max="1"/>
    <col width="22" customWidth="1" style="64" min="2" max="2"/>
    <col width="22" customWidth="1" style="64" min="3" max="3"/>
    <col width="22" customWidth="1" style="64" min="4" max="4"/>
    <col width="22" customWidth="1" style="64" min="5" max="5"/>
    <col width="22" customWidth="1" style="64" min="6" max="6"/>
    <col width="22" customWidth="1" style="64" min="7" max="7"/>
    <col width="22" customWidth="1" style="64" min="8" max="8"/>
  </cols>
  <sheetData>
    <row r="1">
      <c r="A1" s="44" t="inlineStr">
        <is>
          <t>Timestamp</t>
        </is>
      </c>
      <c r="B1" s="44" t="inlineStr">
        <is>
          <t>Agency</t>
        </is>
      </c>
      <c r="C1" s="44" t="inlineStr">
        <is>
          <t>Tender ID</t>
        </is>
      </c>
      <c r="D1" s="44" t="inlineStr">
        <is>
          <t>Action</t>
        </is>
      </c>
      <c r="E1" s="44" t="inlineStr">
        <is>
          <t>Previous Value</t>
        </is>
      </c>
      <c r="F1" s="44" t="inlineStr">
        <is>
          <t>New Value</t>
        </is>
      </c>
      <c r="G1" s="44" t="inlineStr">
        <is>
          <t>Result</t>
        </is>
      </c>
      <c r="H1" s="44" t="inlineStr">
        <is>
          <t>Error / Notes</t>
        </is>
      </c>
      <c r="I1" s="62" t="n"/>
      <c r="J1" s="62" t="n"/>
      <c r="K1" s="62" t="n"/>
      <c r="L1" s="62" t="n"/>
      <c r="M1" s="62" t="n"/>
      <c r="N1" s="62" t="n"/>
      <c r="O1" s="62" t="n"/>
      <c r="P1" s="62" t="n"/>
      <c r="Q1" s="62" t="n"/>
      <c r="R1" s="62" t="n"/>
      <c r="S1" s="62" t="n"/>
      <c r="T1" s="62" t="n"/>
      <c r="U1" s="62" t="n"/>
      <c r="V1" s="62" t="n"/>
    </row>
    <row r="2">
      <c r="A2" s="283" t="n"/>
    </row>
    <row r="3">
      <c r="A3" s="283" t="n"/>
    </row>
    <row r="4">
      <c r="A4" s="283" t="n"/>
    </row>
    <row r="5">
      <c r="A5" s="283" t="n"/>
    </row>
    <row r="6">
      <c r="A6" s="283" t="n"/>
    </row>
    <row r="7">
      <c r="A7" s="283" t="n"/>
    </row>
    <row r="8">
      <c r="A8" s="283" t="n"/>
    </row>
    <row r="9">
      <c r="A9" s="283" t="n"/>
    </row>
    <row r="10">
      <c r="A10" s="283" t="n"/>
    </row>
    <row r="11">
      <c r="A11" s="283" t="n"/>
    </row>
    <row r="12">
      <c r="A12" s="283" t="n"/>
    </row>
    <row r="13">
      <c r="A13" s="283" t="n"/>
    </row>
    <row r="14">
      <c r="A14" s="283" t="n"/>
    </row>
    <row r="15">
      <c r="A15" s="283" t="n"/>
    </row>
    <row r="16">
      <c r="A16" s="283" t="n"/>
    </row>
    <row r="17">
      <c r="A17" s="283" t="n"/>
    </row>
    <row r="18">
      <c r="A18" s="283" t="n"/>
    </row>
    <row r="19">
      <c r="A19" s="283" t="n"/>
    </row>
    <row r="20">
      <c r="A20" s="283" t="n"/>
    </row>
    <row r="21">
      <c r="A21" s="283" t="n"/>
    </row>
    <row r="22">
      <c r="A22" s="283" t="n"/>
    </row>
    <row r="23">
      <c r="A23" s="283" t="n"/>
    </row>
    <row r="24">
      <c r="A24" s="283" t="n"/>
    </row>
    <row r="25">
      <c r="A25" s="283" t="n"/>
    </row>
    <row r="26">
      <c r="A26" s="283" t="n"/>
    </row>
    <row r="27">
      <c r="A27" s="283" t="n"/>
    </row>
    <row r="28">
      <c r="A28" s="283" t="n"/>
    </row>
    <row r="29">
      <c r="A29" s="283" t="n"/>
    </row>
    <row r="30">
      <c r="A30" s="283" t="n"/>
    </row>
    <row r="31">
      <c r="A31" s="283" t="n"/>
    </row>
    <row r="32">
      <c r="A32" s="283" t="n"/>
    </row>
    <row r="33">
      <c r="A33" s="283" t="n"/>
    </row>
    <row r="34">
      <c r="A34" s="283" t="n"/>
    </row>
    <row r="35">
      <c r="A35" s="283" t="n"/>
    </row>
    <row r="36">
      <c r="A36" s="283" t="n"/>
    </row>
    <row r="37">
      <c r="A37" s="283" t="n"/>
    </row>
    <row r="38">
      <c r="A38" s="283" t="n"/>
    </row>
    <row r="39">
      <c r="A39" s="283" t="n"/>
    </row>
    <row r="40">
      <c r="A40" s="283" t="n"/>
    </row>
    <row r="41">
      <c r="A41" s="283" t="n"/>
    </row>
    <row r="42">
      <c r="A42" s="283" t="n"/>
    </row>
    <row r="43">
      <c r="A43" s="283" t="n"/>
    </row>
    <row r="44">
      <c r="A44" s="283" t="n"/>
    </row>
    <row r="45">
      <c r="A45" s="283" t="n"/>
    </row>
    <row r="46">
      <c r="A46" s="283" t="n"/>
    </row>
    <row r="47">
      <c r="A47" s="283" t="n"/>
    </row>
    <row r="48">
      <c r="A48" s="283" t="n"/>
    </row>
    <row r="49">
      <c r="A49" s="283" t="n"/>
    </row>
    <row r="50">
      <c r="A50" s="283" t="n"/>
    </row>
    <row r="51">
      <c r="A51" s="283" t="n"/>
    </row>
    <row r="52">
      <c r="A52" s="283" t="n"/>
    </row>
    <row r="53">
      <c r="A53" s="283" t="n"/>
    </row>
    <row r="54">
      <c r="A54" s="283" t="n"/>
    </row>
    <row r="55">
      <c r="A55" s="283" t="n"/>
    </row>
    <row r="56">
      <c r="A56" s="283" t="n"/>
    </row>
    <row r="57">
      <c r="A57" s="283" t="n"/>
    </row>
    <row r="58">
      <c r="A58" s="283" t="n"/>
    </row>
    <row r="59">
      <c r="A59" s="283" t="n"/>
    </row>
    <row r="60">
      <c r="A60" s="283" t="n"/>
    </row>
    <row r="61">
      <c r="A61" s="283" t="n"/>
    </row>
    <row r="62">
      <c r="A62" s="283" t="n"/>
    </row>
    <row r="63">
      <c r="A63" s="283" t="n"/>
    </row>
    <row r="64">
      <c r="A64" s="283" t="n"/>
    </row>
    <row r="65">
      <c r="A65" s="283" t="n"/>
    </row>
    <row r="66">
      <c r="A66" s="283" t="n"/>
    </row>
    <row r="67">
      <c r="A67" s="283" t="n"/>
    </row>
    <row r="68">
      <c r="A68" s="283" t="n"/>
    </row>
    <row r="69">
      <c r="A69" s="283" t="n"/>
    </row>
    <row r="70">
      <c r="A70" s="283" t="n"/>
    </row>
    <row r="71">
      <c r="A71" s="283" t="n"/>
    </row>
    <row r="72">
      <c r="A72" s="283" t="n"/>
    </row>
    <row r="73">
      <c r="A73" s="283" t="n"/>
    </row>
    <row r="74">
      <c r="A74" s="283" t="n"/>
    </row>
    <row r="75">
      <c r="A75" s="283" t="n"/>
    </row>
    <row r="76">
      <c r="A76" s="283" t="n"/>
    </row>
    <row r="77">
      <c r="A77" s="283" t="n"/>
    </row>
    <row r="78">
      <c r="A78" s="283" t="n"/>
    </row>
    <row r="79">
      <c r="A79" s="283" t="n"/>
    </row>
    <row r="80">
      <c r="A80" s="283" t="n"/>
    </row>
    <row r="81">
      <c r="A81" s="283" t="n"/>
    </row>
    <row r="82">
      <c r="A82" s="283" t="n"/>
    </row>
    <row r="83">
      <c r="A83" s="283" t="n"/>
    </row>
    <row r="84">
      <c r="A84" s="283" t="n"/>
    </row>
    <row r="85">
      <c r="A85" s="283" t="n"/>
    </row>
    <row r="86">
      <c r="A86" s="283" t="n"/>
    </row>
    <row r="87">
      <c r="A87" s="283" t="n"/>
    </row>
    <row r="88">
      <c r="A88" s="283" t="n"/>
    </row>
    <row r="89">
      <c r="A89" s="283" t="n"/>
    </row>
    <row r="90">
      <c r="A90" s="283" t="n"/>
    </row>
    <row r="91">
      <c r="A91" s="283" t="n"/>
    </row>
    <row r="92">
      <c r="A92" s="283" t="n"/>
    </row>
    <row r="93">
      <c r="A93" s="283" t="n"/>
    </row>
    <row r="94">
      <c r="A94" s="283" t="n"/>
    </row>
    <row r="95">
      <c r="A95" s="283" t="n"/>
    </row>
    <row r="96">
      <c r="A96" s="283" t="n"/>
    </row>
    <row r="97">
      <c r="A97" s="283" t="n"/>
    </row>
    <row r="98">
      <c r="A98" s="283" t="n"/>
    </row>
    <row r="99">
      <c r="A99" s="283" t="n"/>
    </row>
    <row r="100">
      <c r="A100" s="283" t="n"/>
    </row>
    <row r="101">
      <c r="A101" s="283" t="n"/>
    </row>
    <row r="102">
      <c r="A102" s="283" t="n"/>
    </row>
    <row r="103">
      <c r="A103" s="283" t="n"/>
    </row>
    <row r="104">
      <c r="A104" s="283" t="n"/>
    </row>
    <row r="105">
      <c r="A105" s="283" t="n"/>
    </row>
    <row r="106">
      <c r="A106" s="283" t="n"/>
    </row>
    <row r="107">
      <c r="A107" s="283" t="n"/>
    </row>
    <row r="108">
      <c r="A108" s="283" t="n"/>
    </row>
    <row r="109">
      <c r="A109" s="283" t="n"/>
    </row>
    <row r="110">
      <c r="A110" s="283" t="n"/>
    </row>
    <row r="111">
      <c r="A111" s="283" t="n"/>
    </row>
    <row r="112">
      <c r="A112" s="283" t="n"/>
    </row>
    <row r="113">
      <c r="A113" s="283" t="n"/>
    </row>
    <row r="114">
      <c r="A114" s="283" t="n"/>
    </row>
    <row r="115">
      <c r="A115" s="283" t="n"/>
    </row>
    <row r="116">
      <c r="A116" s="283" t="n"/>
    </row>
    <row r="117">
      <c r="A117" s="283" t="n"/>
    </row>
    <row r="118">
      <c r="A118" s="283" t="n"/>
    </row>
    <row r="119">
      <c r="A119" s="283" t="n"/>
    </row>
    <row r="120">
      <c r="A120" s="283" t="n"/>
    </row>
    <row r="121">
      <c r="A121" s="283" t="n"/>
    </row>
    <row r="122">
      <c r="A122" s="283" t="n"/>
    </row>
    <row r="123">
      <c r="A123" s="283" t="n"/>
    </row>
    <row r="124">
      <c r="A124" s="283" t="n"/>
    </row>
    <row r="125">
      <c r="A125" s="283" t="n"/>
    </row>
    <row r="126">
      <c r="A126" s="283" t="n"/>
    </row>
    <row r="127">
      <c r="A127" s="283" t="n"/>
    </row>
    <row r="128">
      <c r="A128" s="283" t="n"/>
    </row>
    <row r="129">
      <c r="A129" s="283" t="n"/>
    </row>
    <row r="130">
      <c r="A130" s="283" t="n"/>
    </row>
    <row r="131">
      <c r="A131" s="283" t="n"/>
    </row>
    <row r="132">
      <c r="A132" s="283" t="n"/>
    </row>
    <row r="133">
      <c r="A133" s="283" t="n"/>
    </row>
    <row r="134">
      <c r="A134" s="283" t="n"/>
    </row>
    <row r="135">
      <c r="A135" s="283" t="n"/>
    </row>
    <row r="136">
      <c r="A136" s="283" t="n"/>
    </row>
    <row r="137">
      <c r="A137" s="283" t="n"/>
    </row>
    <row r="138">
      <c r="A138" s="283" t="n"/>
    </row>
    <row r="139">
      <c r="A139" s="283" t="n"/>
    </row>
    <row r="140">
      <c r="A140" s="283" t="n"/>
    </row>
    <row r="141">
      <c r="A141" s="283" t="n"/>
    </row>
    <row r="142">
      <c r="A142" s="283" t="n"/>
    </row>
    <row r="143">
      <c r="A143" s="283" t="n"/>
    </row>
    <row r="144">
      <c r="A144" s="283" t="n"/>
    </row>
    <row r="145">
      <c r="A145" s="283" t="n"/>
    </row>
    <row r="146">
      <c r="A146" s="283" t="n"/>
    </row>
    <row r="147">
      <c r="A147" s="283" t="n"/>
    </row>
    <row r="148">
      <c r="A148" s="283" t="n"/>
    </row>
    <row r="149">
      <c r="A149" s="283" t="n"/>
    </row>
    <row r="150">
      <c r="A150" s="283" t="n"/>
    </row>
    <row r="151">
      <c r="A151" s="283" t="n"/>
    </row>
    <row r="152">
      <c r="A152" s="283" t="n"/>
    </row>
    <row r="153">
      <c r="A153" s="283" t="n"/>
    </row>
    <row r="154">
      <c r="A154" s="283" t="n"/>
    </row>
    <row r="155">
      <c r="A155" s="283" t="n"/>
    </row>
    <row r="156">
      <c r="A156" s="283" t="n"/>
    </row>
    <row r="157">
      <c r="A157" s="283" t="n"/>
    </row>
    <row r="158">
      <c r="A158" s="283" t="n"/>
    </row>
    <row r="159">
      <c r="A159" s="283" t="n"/>
    </row>
    <row r="160">
      <c r="A160" s="283" t="n"/>
    </row>
    <row r="161">
      <c r="A161" s="283" t="n"/>
    </row>
    <row r="162">
      <c r="A162" s="283" t="n"/>
    </row>
    <row r="163">
      <c r="A163" s="283" t="n"/>
    </row>
    <row r="164">
      <c r="A164" s="283" t="n"/>
    </row>
    <row r="165">
      <c r="A165" s="283" t="n"/>
    </row>
    <row r="166">
      <c r="A166" s="283" t="n"/>
    </row>
    <row r="167">
      <c r="A167" s="283" t="n"/>
    </row>
    <row r="168">
      <c r="A168" s="283" t="n"/>
    </row>
    <row r="169">
      <c r="A169" s="283" t="n"/>
    </row>
    <row r="170">
      <c r="A170" s="283" t="n"/>
    </row>
    <row r="171">
      <c r="A171" s="283" t="n"/>
    </row>
    <row r="172">
      <c r="A172" s="283" t="n"/>
    </row>
    <row r="173">
      <c r="A173" s="283" t="n"/>
    </row>
    <row r="174">
      <c r="A174" s="283" t="n"/>
    </row>
    <row r="175">
      <c r="A175" s="283" t="n"/>
    </row>
    <row r="176">
      <c r="A176" s="283" t="n"/>
    </row>
    <row r="177">
      <c r="A177" s="283" t="n"/>
    </row>
    <row r="178">
      <c r="A178" s="283" t="n"/>
    </row>
    <row r="179">
      <c r="A179" s="283" t="n"/>
    </row>
    <row r="180">
      <c r="A180" s="283" t="n"/>
    </row>
    <row r="181">
      <c r="A181" s="283" t="n"/>
    </row>
    <row r="182">
      <c r="A182" s="283" t="n"/>
    </row>
    <row r="183">
      <c r="A183" s="283" t="n"/>
    </row>
    <row r="184">
      <c r="A184" s="283" t="n"/>
    </row>
    <row r="185">
      <c r="A185" s="283" t="n"/>
    </row>
    <row r="186">
      <c r="A186" s="283" t="n"/>
    </row>
    <row r="187">
      <c r="A187" s="283" t="n"/>
    </row>
    <row r="188">
      <c r="A188" s="283" t="n"/>
    </row>
    <row r="189">
      <c r="A189" s="283" t="n"/>
    </row>
    <row r="190">
      <c r="A190" s="283" t="n"/>
    </row>
    <row r="191">
      <c r="A191" s="283" t="n"/>
    </row>
    <row r="192">
      <c r="A192" s="283" t="n"/>
    </row>
    <row r="193">
      <c r="A193" s="283" t="n"/>
    </row>
    <row r="194">
      <c r="A194" s="283" t="n"/>
    </row>
    <row r="195">
      <c r="A195" s="283" t="n"/>
    </row>
    <row r="196">
      <c r="A196" s="283" t="n"/>
    </row>
    <row r="197">
      <c r="A197" s="283" t="n"/>
    </row>
    <row r="198">
      <c r="A198" s="283" t="n"/>
    </row>
    <row r="199">
      <c r="A199" s="283" t="n"/>
    </row>
    <row r="200">
      <c r="A200" s="283" t="n"/>
    </row>
    <row r="201">
      <c r="A201" s="283" t="n"/>
    </row>
    <row r="202">
      <c r="A202" s="283" t="n"/>
    </row>
    <row r="203">
      <c r="A203" s="283" t="n"/>
    </row>
    <row r="204">
      <c r="A204" s="283" t="n"/>
    </row>
    <row r="205">
      <c r="A205" s="283" t="n"/>
    </row>
    <row r="206">
      <c r="A206" s="283" t="n"/>
    </row>
    <row r="207">
      <c r="A207" s="283" t="n"/>
    </row>
    <row r="208">
      <c r="A208" s="283" t="n"/>
    </row>
    <row r="209">
      <c r="A209" s="283" t="n"/>
    </row>
    <row r="210">
      <c r="A210" s="283" t="n"/>
    </row>
    <row r="211">
      <c r="A211" s="283" t="n"/>
    </row>
    <row r="212">
      <c r="A212" s="283" t="n"/>
    </row>
    <row r="213">
      <c r="A213" s="283" t="n"/>
    </row>
    <row r="214">
      <c r="A214" s="283" t="n"/>
    </row>
    <row r="215">
      <c r="A215" s="283" t="n"/>
    </row>
    <row r="216">
      <c r="A216" s="283" t="n"/>
    </row>
    <row r="217">
      <c r="A217" s="283" t="n"/>
    </row>
    <row r="218">
      <c r="A218" s="283" t="n"/>
    </row>
    <row r="219">
      <c r="A219" s="283" t="n"/>
    </row>
    <row r="220">
      <c r="A220" s="283" t="n"/>
    </row>
    <row r="221">
      <c r="A221" s="283" t="n"/>
    </row>
    <row r="222">
      <c r="A222" s="283" t="n"/>
    </row>
    <row r="223">
      <c r="A223" s="283" t="n"/>
    </row>
    <row r="224">
      <c r="A224" s="283" t="n"/>
    </row>
    <row r="225">
      <c r="A225" s="283" t="n"/>
    </row>
    <row r="226">
      <c r="A226" s="283" t="n"/>
    </row>
    <row r="227">
      <c r="A227" s="283" t="n"/>
    </row>
    <row r="228">
      <c r="A228" s="283" t="n"/>
    </row>
    <row r="229">
      <c r="A229" s="283" t="n"/>
    </row>
    <row r="230">
      <c r="A230" s="283" t="n"/>
    </row>
    <row r="231">
      <c r="A231" s="283" t="n"/>
    </row>
    <row r="232">
      <c r="A232" s="283" t="n"/>
    </row>
    <row r="233">
      <c r="A233" s="283" t="n"/>
    </row>
    <row r="234">
      <c r="A234" s="283" t="n"/>
    </row>
    <row r="235">
      <c r="A235" s="283" t="n"/>
    </row>
    <row r="236">
      <c r="A236" s="283" t="n"/>
    </row>
    <row r="237">
      <c r="A237" s="283" t="n"/>
    </row>
    <row r="238">
      <c r="A238" s="283" t="n"/>
    </row>
    <row r="239">
      <c r="A239" s="283" t="n"/>
    </row>
    <row r="240">
      <c r="A240" s="283" t="n"/>
    </row>
    <row r="241">
      <c r="A241" s="283" t="n"/>
    </row>
    <row r="242">
      <c r="A242" s="283" t="n"/>
    </row>
    <row r="243">
      <c r="A243" s="283" t="n"/>
    </row>
    <row r="244">
      <c r="A244" s="283" t="n"/>
    </row>
    <row r="245">
      <c r="A245" s="283" t="n"/>
    </row>
    <row r="246">
      <c r="A246" s="283" t="n"/>
    </row>
    <row r="247">
      <c r="A247" s="283" t="n"/>
    </row>
    <row r="248">
      <c r="A248" s="283" t="n"/>
    </row>
    <row r="249">
      <c r="A249" s="283" t="n"/>
    </row>
    <row r="250">
      <c r="A250" s="283" t="n"/>
    </row>
    <row r="251">
      <c r="A251" s="283" t="n"/>
    </row>
    <row r="252">
      <c r="A252" s="283" t="n"/>
    </row>
    <row r="253">
      <c r="A253" s="283" t="n"/>
    </row>
    <row r="254">
      <c r="A254" s="283" t="n"/>
    </row>
    <row r="255">
      <c r="A255" s="283" t="n"/>
    </row>
    <row r="256">
      <c r="A256" s="283" t="n"/>
    </row>
    <row r="257">
      <c r="A257" s="283" t="n"/>
    </row>
    <row r="258">
      <c r="A258" s="283" t="n"/>
    </row>
    <row r="259">
      <c r="A259" s="283" t="n"/>
    </row>
    <row r="260">
      <c r="A260" s="283" t="n"/>
    </row>
    <row r="261">
      <c r="A261" s="283" t="n"/>
    </row>
    <row r="262">
      <c r="A262" s="283" t="n"/>
    </row>
    <row r="263">
      <c r="A263" s="283" t="n"/>
    </row>
    <row r="264">
      <c r="A264" s="283" t="n"/>
    </row>
    <row r="265">
      <c r="A265" s="283" t="n"/>
    </row>
    <row r="266">
      <c r="A266" s="283" t="n"/>
    </row>
    <row r="267">
      <c r="A267" s="283" t="n"/>
    </row>
    <row r="268">
      <c r="A268" s="283" t="n"/>
    </row>
    <row r="269">
      <c r="A269" s="283" t="n"/>
    </row>
    <row r="270">
      <c r="A270" s="283" t="n"/>
    </row>
    <row r="271">
      <c r="A271" s="283" t="n"/>
    </row>
    <row r="272">
      <c r="A272" s="283" t="n"/>
    </row>
    <row r="273">
      <c r="A273" s="283" t="n"/>
    </row>
    <row r="274">
      <c r="A274" s="283" t="n"/>
    </row>
    <row r="275">
      <c r="A275" s="283" t="n"/>
    </row>
    <row r="276">
      <c r="A276" s="283" t="n"/>
    </row>
    <row r="277">
      <c r="A277" s="283" t="n"/>
    </row>
    <row r="278">
      <c r="A278" s="283" t="n"/>
    </row>
    <row r="279">
      <c r="A279" s="283" t="n"/>
    </row>
    <row r="280">
      <c r="A280" s="283" t="n"/>
    </row>
    <row r="281">
      <c r="A281" s="283" t="n"/>
    </row>
    <row r="282">
      <c r="A282" s="283" t="n"/>
    </row>
    <row r="283">
      <c r="A283" s="283" t="n"/>
    </row>
    <row r="284">
      <c r="A284" s="283" t="n"/>
    </row>
    <row r="285">
      <c r="A285" s="283" t="n"/>
    </row>
    <row r="286">
      <c r="A286" s="283" t="n"/>
    </row>
    <row r="287">
      <c r="A287" s="283" t="n"/>
    </row>
    <row r="288">
      <c r="A288" s="283" t="n"/>
    </row>
    <row r="289">
      <c r="A289" s="283" t="n"/>
    </row>
    <row r="290">
      <c r="A290" s="283" t="n"/>
    </row>
    <row r="291">
      <c r="A291" s="283" t="n"/>
    </row>
    <row r="292">
      <c r="A292" s="283" t="n"/>
    </row>
    <row r="293">
      <c r="A293" s="283" t="n"/>
    </row>
    <row r="294">
      <c r="A294" s="283" t="n"/>
    </row>
    <row r="295">
      <c r="A295" s="283" t="n"/>
    </row>
    <row r="296">
      <c r="A296" s="283" t="n"/>
    </row>
    <row r="297">
      <c r="A297" s="283" t="n"/>
    </row>
    <row r="298">
      <c r="A298" s="283" t="n"/>
    </row>
    <row r="299">
      <c r="A299" s="283" t="n"/>
    </row>
    <row r="300">
      <c r="A300" s="283" t="n"/>
    </row>
    <row r="301">
      <c r="A301" s="283" t="n"/>
    </row>
    <row r="302">
      <c r="A302" s="283" t="n"/>
    </row>
    <row r="303">
      <c r="A303" s="283" t="n"/>
    </row>
    <row r="304">
      <c r="A304" s="283" t="n"/>
    </row>
    <row r="305">
      <c r="A305" s="283" t="n"/>
    </row>
    <row r="306">
      <c r="A306" s="283" t="n"/>
    </row>
    <row r="307">
      <c r="A307" s="283" t="n"/>
    </row>
    <row r="308">
      <c r="A308" s="283" t="n"/>
    </row>
    <row r="309">
      <c r="A309" s="283" t="n"/>
    </row>
    <row r="310">
      <c r="A310" s="283" t="n"/>
    </row>
    <row r="311">
      <c r="A311" s="283" t="n"/>
    </row>
    <row r="312">
      <c r="A312" s="283" t="n"/>
    </row>
    <row r="313">
      <c r="A313" s="283" t="n"/>
    </row>
    <row r="314">
      <c r="A314" s="283" t="n"/>
    </row>
    <row r="315">
      <c r="A315" s="283" t="n"/>
    </row>
    <row r="316">
      <c r="A316" s="283" t="n"/>
    </row>
    <row r="317">
      <c r="A317" s="283" t="n"/>
    </row>
    <row r="318">
      <c r="A318" s="283" t="n"/>
    </row>
    <row r="319">
      <c r="A319" s="283" t="n"/>
    </row>
    <row r="320">
      <c r="A320" s="283" t="n"/>
    </row>
    <row r="321">
      <c r="A321" s="283" t="n"/>
    </row>
    <row r="322">
      <c r="A322" s="283" t="n"/>
    </row>
    <row r="323">
      <c r="A323" s="283" t="n"/>
    </row>
    <row r="324">
      <c r="A324" s="283" t="n"/>
    </row>
    <row r="325">
      <c r="A325" s="283" t="n"/>
    </row>
    <row r="326">
      <c r="A326" s="283" t="n"/>
    </row>
    <row r="327">
      <c r="A327" s="283" t="n"/>
    </row>
    <row r="328">
      <c r="A328" s="283" t="n"/>
    </row>
    <row r="329">
      <c r="A329" s="283" t="n"/>
    </row>
    <row r="330">
      <c r="A330" s="283" t="n"/>
    </row>
    <row r="331">
      <c r="A331" s="283" t="n"/>
    </row>
    <row r="332">
      <c r="A332" s="283" t="n"/>
    </row>
    <row r="333">
      <c r="A333" s="283" t="n"/>
    </row>
    <row r="334">
      <c r="A334" s="283" t="n"/>
    </row>
    <row r="335">
      <c r="A335" s="283" t="n"/>
    </row>
    <row r="336">
      <c r="A336" s="283" t="n"/>
    </row>
    <row r="337">
      <c r="A337" s="283" t="n"/>
    </row>
    <row r="338">
      <c r="A338" s="283" t="n"/>
    </row>
    <row r="339">
      <c r="A339" s="283" t="n"/>
    </row>
    <row r="340">
      <c r="A340" s="283" t="n"/>
    </row>
    <row r="341">
      <c r="A341" s="283" t="n"/>
    </row>
    <row r="342">
      <c r="A342" s="283" t="n"/>
    </row>
    <row r="343">
      <c r="A343" s="283" t="n"/>
    </row>
    <row r="344">
      <c r="A344" s="283" t="n"/>
    </row>
    <row r="345">
      <c r="A345" s="283" t="n"/>
    </row>
    <row r="346">
      <c r="A346" s="283" t="n"/>
    </row>
    <row r="347">
      <c r="A347" s="283" t="n"/>
    </row>
    <row r="348">
      <c r="A348" s="283" t="n"/>
    </row>
    <row r="349">
      <c r="A349" s="283" t="n"/>
    </row>
    <row r="350">
      <c r="A350" s="283" t="n"/>
    </row>
    <row r="351">
      <c r="A351" s="283" t="n"/>
    </row>
    <row r="352">
      <c r="A352" s="283" t="n"/>
    </row>
    <row r="353">
      <c r="A353" s="283" t="n"/>
    </row>
    <row r="354">
      <c r="A354" s="283" t="n"/>
    </row>
    <row r="355">
      <c r="A355" s="283" t="n"/>
    </row>
    <row r="356">
      <c r="A356" s="283" t="n"/>
    </row>
    <row r="357">
      <c r="A357" s="283" t="n"/>
    </row>
    <row r="358">
      <c r="A358" s="283" t="n"/>
    </row>
    <row r="359">
      <c r="A359" s="283" t="n"/>
    </row>
    <row r="360">
      <c r="A360" s="283" t="n"/>
    </row>
    <row r="361">
      <c r="A361" s="283" t="n"/>
    </row>
    <row r="362">
      <c r="A362" s="283" t="n"/>
    </row>
    <row r="363">
      <c r="A363" s="283" t="n"/>
    </row>
    <row r="364">
      <c r="A364" s="283" t="n"/>
    </row>
    <row r="365">
      <c r="A365" s="283" t="n"/>
    </row>
    <row r="366">
      <c r="A366" s="283" t="n"/>
    </row>
    <row r="367">
      <c r="A367" s="283" t="n"/>
    </row>
    <row r="368">
      <c r="A368" s="283" t="n"/>
    </row>
    <row r="369">
      <c r="A369" s="283" t="n"/>
    </row>
    <row r="370">
      <c r="A370" s="283" t="n"/>
    </row>
    <row r="371">
      <c r="A371" s="283" t="n"/>
    </row>
    <row r="372">
      <c r="A372" s="283" t="n"/>
    </row>
    <row r="373">
      <c r="A373" s="283" t="n"/>
    </row>
    <row r="374">
      <c r="A374" s="283" t="n"/>
    </row>
    <row r="375">
      <c r="A375" s="283" t="n"/>
    </row>
    <row r="376">
      <c r="A376" s="283" t="n"/>
    </row>
    <row r="377">
      <c r="A377" s="283" t="n"/>
    </row>
    <row r="378">
      <c r="A378" s="283" t="n"/>
    </row>
    <row r="379">
      <c r="A379" s="283" t="n"/>
    </row>
    <row r="380">
      <c r="A380" s="283" t="n"/>
    </row>
    <row r="381">
      <c r="A381" s="283" t="n"/>
    </row>
    <row r="382">
      <c r="A382" s="283" t="n"/>
    </row>
    <row r="383">
      <c r="A383" s="283" t="n"/>
    </row>
    <row r="384">
      <c r="A384" s="283" t="n"/>
    </row>
    <row r="385">
      <c r="A385" s="283" t="n"/>
    </row>
    <row r="386">
      <c r="A386" s="283" t="n"/>
    </row>
    <row r="387">
      <c r="A387" s="283" t="n"/>
    </row>
    <row r="388">
      <c r="A388" s="283" t="n"/>
    </row>
    <row r="389">
      <c r="A389" s="283" t="n"/>
    </row>
    <row r="390">
      <c r="A390" s="283" t="n"/>
    </row>
    <row r="391">
      <c r="A391" s="283" t="n"/>
    </row>
    <row r="392">
      <c r="A392" s="283" t="n"/>
    </row>
    <row r="393">
      <c r="A393" s="283" t="n"/>
    </row>
    <row r="394">
      <c r="A394" s="283" t="n"/>
    </row>
    <row r="395">
      <c r="A395" s="283" t="n"/>
    </row>
    <row r="396">
      <c r="A396" s="283" t="n"/>
    </row>
    <row r="397">
      <c r="A397" s="283" t="n"/>
    </row>
    <row r="398">
      <c r="A398" s="283" t="n"/>
    </row>
    <row r="399">
      <c r="A399" s="283" t="n"/>
    </row>
    <row r="400">
      <c r="A400" s="283" t="n"/>
    </row>
    <row r="401">
      <c r="A401" s="283" t="n"/>
    </row>
    <row r="402">
      <c r="A402" s="283" t="n"/>
    </row>
    <row r="403">
      <c r="A403" s="283" t="n"/>
    </row>
    <row r="404">
      <c r="A404" s="283" t="n"/>
    </row>
    <row r="405">
      <c r="A405" s="283" t="n"/>
    </row>
    <row r="406">
      <c r="A406" s="283" t="n"/>
    </row>
    <row r="407">
      <c r="A407" s="283" t="n"/>
    </row>
    <row r="408">
      <c r="A408" s="283" t="n"/>
    </row>
    <row r="409">
      <c r="A409" s="283" t="n"/>
    </row>
    <row r="410">
      <c r="A410" s="283" t="n"/>
    </row>
    <row r="411">
      <c r="A411" s="283" t="n"/>
    </row>
    <row r="412">
      <c r="A412" s="283" t="n"/>
    </row>
    <row r="413">
      <c r="A413" s="283" t="n"/>
    </row>
    <row r="414">
      <c r="A414" s="283" t="n"/>
    </row>
    <row r="415">
      <c r="A415" s="283" t="n"/>
    </row>
    <row r="416">
      <c r="A416" s="283" t="n"/>
    </row>
    <row r="417">
      <c r="A417" s="283" t="n"/>
    </row>
    <row r="418">
      <c r="A418" s="283" t="n"/>
    </row>
    <row r="419">
      <c r="A419" s="283" t="n"/>
    </row>
    <row r="420">
      <c r="A420" s="283" t="n"/>
    </row>
    <row r="421">
      <c r="A421" s="283" t="n"/>
    </row>
    <row r="422">
      <c r="A422" s="283" t="n"/>
    </row>
    <row r="423">
      <c r="A423" s="283" t="n"/>
    </row>
    <row r="424">
      <c r="A424" s="283" t="n"/>
    </row>
    <row r="425">
      <c r="A425" s="283" t="n"/>
    </row>
    <row r="426">
      <c r="A426" s="283" t="n"/>
    </row>
    <row r="427">
      <c r="A427" s="283" t="n"/>
    </row>
    <row r="428">
      <c r="A428" s="283" t="n"/>
    </row>
    <row r="429">
      <c r="A429" s="283" t="n"/>
    </row>
    <row r="430">
      <c r="A430" s="283" t="n"/>
    </row>
    <row r="431">
      <c r="A431" s="283" t="n"/>
    </row>
    <row r="432">
      <c r="A432" s="283" t="n"/>
    </row>
    <row r="433">
      <c r="A433" s="283" t="n"/>
    </row>
    <row r="434">
      <c r="A434" s="283" t="n"/>
    </row>
    <row r="435">
      <c r="A435" s="283" t="n"/>
    </row>
    <row r="436">
      <c r="A436" s="283" t="n"/>
    </row>
    <row r="437">
      <c r="A437" s="283" t="n"/>
    </row>
    <row r="438">
      <c r="A438" s="283" t="n"/>
    </row>
    <row r="439">
      <c r="A439" s="283" t="n"/>
    </row>
    <row r="440">
      <c r="A440" s="283" t="n"/>
    </row>
    <row r="441">
      <c r="A441" s="283" t="n"/>
    </row>
    <row r="442">
      <c r="A442" s="283" t="n"/>
    </row>
    <row r="443">
      <c r="A443" s="283" t="n"/>
    </row>
    <row r="444">
      <c r="A444" s="283" t="n"/>
    </row>
    <row r="445">
      <c r="A445" s="283" t="n"/>
    </row>
    <row r="446">
      <c r="A446" s="283" t="n"/>
    </row>
    <row r="447">
      <c r="A447" s="283" t="n"/>
    </row>
    <row r="448">
      <c r="A448" s="283" t="n"/>
    </row>
    <row r="449">
      <c r="A449" s="283" t="n"/>
    </row>
    <row r="450">
      <c r="A450" s="283" t="n"/>
    </row>
    <row r="451">
      <c r="A451" s="283" t="n"/>
    </row>
    <row r="452">
      <c r="A452" s="283" t="n"/>
    </row>
    <row r="453">
      <c r="A453" s="283" t="n"/>
    </row>
    <row r="454">
      <c r="A454" s="283" t="n"/>
    </row>
    <row r="455">
      <c r="A455" s="283" t="n"/>
    </row>
    <row r="456">
      <c r="A456" s="283" t="n"/>
    </row>
    <row r="457">
      <c r="A457" s="283" t="n"/>
    </row>
    <row r="458">
      <c r="A458" s="283" t="n"/>
    </row>
    <row r="459">
      <c r="A459" s="283" t="n"/>
    </row>
    <row r="460">
      <c r="A460" s="283" t="n"/>
    </row>
    <row r="461">
      <c r="A461" s="283" t="n"/>
    </row>
    <row r="462">
      <c r="A462" s="283" t="n"/>
    </row>
    <row r="463">
      <c r="A463" s="283" t="n"/>
    </row>
    <row r="464">
      <c r="A464" s="283" t="n"/>
    </row>
    <row r="465">
      <c r="A465" s="283" t="n"/>
    </row>
    <row r="466">
      <c r="A466" s="283" t="n"/>
    </row>
    <row r="467">
      <c r="A467" s="283" t="n"/>
    </row>
    <row r="468">
      <c r="A468" s="283" t="n"/>
    </row>
    <row r="469">
      <c r="A469" s="283" t="n"/>
    </row>
    <row r="470">
      <c r="A470" s="283" t="n"/>
    </row>
    <row r="471">
      <c r="A471" s="283" t="n"/>
    </row>
    <row r="472">
      <c r="A472" s="283" t="n"/>
    </row>
    <row r="473">
      <c r="A473" s="283" t="n"/>
    </row>
    <row r="474">
      <c r="A474" s="283" t="n"/>
    </row>
    <row r="475">
      <c r="A475" s="283" t="n"/>
    </row>
    <row r="476">
      <c r="A476" s="283" t="n"/>
    </row>
    <row r="477">
      <c r="A477" s="283" t="n"/>
    </row>
    <row r="478">
      <c r="A478" s="283" t="n"/>
    </row>
    <row r="479">
      <c r="A479" s="283" t="n"/>
    </row>
    <row r="480">
      <c r="A480" s="283" t="n"/>
    </row>
    <row r="481">
      <c r="A481" s="283" t="n"/>
    </row>
    <row r="482">
      <c r="A482" s="283" t="n"/>
    </row>
    <row r="483">
      <c r="A483" s="283" t="n"/>
    </row>
    <row r="484">
      <c r="A484" s="283" t="n"/>
    </row>
    <row r="485">
      <c r="A485" s="283" t="n"/>
    </row>
    <row r="486">
      <c r="A486" s="283" t="n"/>
    </row>
    <row r="487">
      <c r="A487" s="283" t="n"/>
    </row>
    <row r="488">
      <c r="A488" s="283" t="n"/>
    </row>
    <row r="489">
      <c r="A489" s="283" t="n"/>
    </row>
    <row r="490">
      <c r="A490" s="283" t="n"/>
    </row>
    <row r="491">
      <c r="A491" s="283" t="n"/>
    </row>
    <row r="492">
      <c r="A492" s="283" t="n"/>
    </row>
    <row r="493">
      <c r="A493" s="283" t="n"/>
    </row>
    <row r="494">
      <c r="A494" s="283" t="n"/>
    </row>
    <row r="495">
      <c r="A495" s="283" t="n"/>
    </row>
    <row r="496">
      <c r="A496" s="283" t="n"/>
    </row>
    <row r="497">
      <c r="A497" s="283" t="n"/>
    </row>
    <row r="498">
      <c r="A498" s="283" t="n"/>
    </row>
    <row r="499">
      <c r="A499" s="283" t="n"/>
    </row>
    <row r="500">
      <c r="A500" s="283" t="n"/>
    </row>
    <row r="501">
      <c r="A501" s="283"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V5"/>
  <sheetViews>
    <sheetView workbookViewId="0">
      <selection activeCell="A1" sqref="A1"/>
    </sheetView>
  </sheetViews>
  <sheetFormatPr baseColWidth="8" defaultRowHeight="15"/>
  <sheetData>
    <row r="1">
      <c r="A1" s="9" t="inlineStr">
        <is>
          <t>New Tenders</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4">
      <c r="A4" s="44" t="inlineStr">
        <is>
          <t>Tender ID</t>
        </is>
      </c>
      <c r="B4" s="44" t="inlineStr">
        <is>
          <t>Category</t>
        </is>
      </c>
      <c r="C4" s="44" t="inlineStr">
        <is>
          <t>Agency</t>
        </is>
      </c>
      <c r="D4" s="44" t="inlineStr">
        <is>
          <t>State</t>
        </is>
      </c>
      <c r="E4" s="44" t="inlineStr">
        <is>
          <t>Tender Number</t>
        </is>
      </c>
      <c r="F4" s="44" t="inlineStr">
        <is>
          <t>Technology</t>
        </is>
      </c>
      <c r="G4" s="44" t="inlineStr">
        <is>
          <t>Capacity MW</t>
        </is>
      </c>
      <c r="H4" s="44" t="inlineStr">
        <is>
          <t>Storage Required</t>
        </is>
      </c>
      <c r="I4" s="44" t="inlineStr">
        <is>
          <t>Storage Hours</t>
        </is>
      </c>
      <c r="J4" s="44" t="inlineStr">
        <is>
          <t>Dispatch Condition</t>
        </is>
      </c>
      <c r="K4" s="44" t="inlineStr">
        <is>
          <t>Minimum PLF %</t>
        </is>
      </c>
      <c r="L4" s="44" t="inlineStr">
        <is>
          <t>EMD</t>
        </is>
      </c>
      <c r="M4" s="44" t="inlineStr">
        <is>
          <t>BG / PBG Conditions</t>
        </is>
      </c>
      <c r="N4" s="44" t="inlineStr">
        <is>
          <t>Bid Submission Date</t>
        </is>
      </c>
      <c r="O4" s="44" t="inlineStr">
        <is>
          <t>Technical Opening</t>
        </is>
      </c>
      <c r="P4" s="44" t="inlineStr">
        <is>
          <t>Financial Opening</t>
        </is>
      </c>
      <c r="Q4" s="44" t="inlineStr">
        <is>
          <t>Status</t>
        </is>
      </c>
      <c r="R4" s="44" t="inlineStr">
        <is>
          <t>Last Updated</t>
        </is>
      </c>
      <c r="S4" s="44" t="inlineStr">
        <is>
          <t>Corrigendum Count</t>
        </is>
      </c>
      <c r="T4" s="44" t="inlineStr">
        <is>
          <t>Tender URL</t>
        </is>
      </c>
      <c r="U4" s="44" t="inlineStr">
        <is>
          <t>Document URL</t>
        </is>
      </c>
      <c r="V4" s="44" t="inlineStr">
        <is>
          <t>Remarks</t>
        </is>
      </c>
    </row>
    <row r="5">
      <c r="A5">
        <f>FILTER('Master Tenders'!A2:V501,'Master Tenders'!Q2:Q501="New","No new tenders")</f>
        <v/>
      </c>
    </row>
  </sheetData>
  <mergeCells count="1">
    <mergeCell ref="A1:V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4" customWidth="1" style="64" min="1" max="1"/>
    <col width="24" customWidth="1" style="64" min="2" max="2"/>
    <col width="24" customWidth="1" style="64" min="3" max="3"/>
    <col width="24" customWidth="1" style="64" min="4" max="4"/>
    <col width="24" customWidth="1" style="64" min="5" max="5"/>
    <col width="24" customWidth="1" style="64" min="6" max="6"/>
    <col width="28" customWidth="1" style="64" min="8" max="8"/>
    <col width="20" customWidth="1" style="64" min="9" max="9"/>
    <col width="34" customWidth="1" style="64" min="10" max="10"/>
  </cols>
  <sheetData>
    <row r="1">
      <c r="A1" s="9" t="inlineStr">
        <is>
          <t>Tracker Settings &amp; Classification Rules</t>
        </is>
      </c>
      <c r="B1" s="1" t="n"/>
      <c r="C1" s="1" t="n"/>
      <c r="D1" s="1" t="n"/>
      <c r="E1" s="1" t="n"/>
      <c r="F1" s="1" t="n"/>
      <c r="G1" s="62" t="n"/>
      <c r="H1" s="62" t="n"/>
      <c r="I1" s="62" t="n"/>
      <c r="J1" s="62" t="n"/>
      <c r="K1" s="62" t="n"/>
      <c r="L1" s="62" t="n"/>
      <c r="M1" s="62" t="n"/>
      <c r="N1" s="62" t="n"/>
      <c r="O1" s="62" t="n"/>
      <c r="P1" s="62" t="n"/>
      <c r="Q1" s="62" t="n"/>
      <c r="R1" s="62" t="n"/>
      <c r="S1" s="62" t="n"/>
      <c r="T1" s="62" t="n"/>
      <c r="U1" s="62" t="n"/>
      <c r="V1" s="62" t="n"/>
    </row>
    <row r="2">
      <c r="A2" s="1" t="n"/>
      <c r="B2" s="1" t="n"/>
      <c r="C2" s="1" t="n"/>
      <c r="D2" s="1" t="n"/>
      <c r="E2" s="1" t="n"/>
      <c r="F2" s="1" t="n"/>
    </row>
    <row r="4">
      <c r="A4" s="44" t="inlineStr">
        <is>
          <t>Setting</t>
        </is>
      </c>
      <c r="B4" s="44" t="inlineStr">
        <is>
          <t>Value</t>
        </is>
      </c>
      <c r="D4" s="44" t="inlineStr">
        <is>
          <t>Keyword</t>
        </is>
      </c>
      <c r="E4" s="44" t="inlineStr">
        <is>
          <t>Mapped Technology</t>
        </is>
      </c>
      <c r="F4" s="44" t="inlineStr">
        <is>
          <t>Priority</t>
        </is>
      </c>
      <c r="H4" s="151" t="inlineStr">
        <is>
          <t>Execution Setting</t>
        </is>
      </c>
      <c r="I4" s="151" t="inlineStr">
        <is>
          <t>Value</t>
        </is>
      </c>
      <c r="J4" s="151" t="inlineStr">
        <is>
          <t>Notes</t>
        </is>
      </c>
    </row>
    <row r="5">
      <c r="A5" t="inlineStr">
        <is>
          <t>Default lookback days</t>
        </is>
      </c>
      <c r="B5" t="n">
        <v>30</v>
      </c>
      <c r="D5" t="inlineStr">
        <is>
          <t>solar + bess</t>
        </is>
      </c>
      <c r="E5" t="inlineStr">
        <is>
          <t>Solar + BESS</t>
        </is>
      </c>
      <c r="F5" t="n">
        <v>1</v>
      </c>
      <c r="H5" t="inlineStr">
        <is>
          <t>Direct XLSX write-back</t>
        </is>
      </c>
      <c r="I5" t="inlineStr">
        <is>
          <t>Yes</t>
        </is>
      </c>
      <c r="J5" t="inlineStr">
        <is>
          <t>Uses Python openpyxl in package</t>
        </is>
      </c>
    </row>
    <row r="6">
      <c r="A6" t="inlineStr">
        <is>
          <t>Request timeout seconds</t>
        </is>
      </c>
      <c r="B6" t="n">
        <v>45</v>
      </c>
      <c r="D6" t="inlineStr">
        <is>
          <t>battery energy storage</t>
        </is>
      </c>
      <c r="E6" t="inlineStr">
        <is>
          <t>BESS</t>
        </is>
      </c>
      <c r="F6" t="n">
        <v>1</v>
      </c>
      <c r="H6" t="inlineStr">
        <is>
          <t>Create timestamped backup</t>
        </is>
      </c>
      <c r="I6" t="inlineStr">
        <is>
          <t>Yes</t>
        </is>
      </c>
      <c r="J6" t="inlineStr">
        <is>
          <t>Before any live write</t>
        </is>
      </c>
    </row>
    <row r="7">
      <c r="A7" t="inlineStr">
        <is>
          <t>Download PDFs</t>
        </is>
      </c>
      <c r="B7" t="inlineStr">
        <is>
          <t>Yes</t>
        </is>
      </c>
      <c r="D7" t="inlineStr">
        <is>
          <t>firm and dispatchable renewable energy</t>
        </is>
      </c>
      <c r="E7" t="inlineStr">
        <is>
          <t>FDRE</t>
        </is>
      </c>
      <c r="F7" t="n">
        <v>1</v>
      </c>
      <c r="H7" t="inlineStr">
        <is>
          <t>Default dry-run</t>
        </is>
      </c>
      <c r="I7" t="inlineStr">
        <is>
          <t>Yes</t>
        </is>
      </c>
      <c r="J7" t="inlineStr">
        <is>
          <t>Recommended until tested</t>
        </is>
      </c>
    </row>
    <row r="8">
      <c r="A8" t="inlineStr">
        <is>
          <t>Update existing tenders</t>
        </is>
      </c>
      <c r="B8" t="inlineStr">
        <is>
          <t>Yes</t>
        </is>
      </c>
      <c r="D8" t="inlineStr">
        <is>
          <t>fdre</t>
        </is>
      </c>
      <c r="E8" t="inlineStr">
        <is>
          <t>FDRE</t>
        </is>
      </c>
      <c r="F8" t="n">
        <v>1</v>
      </c>
      <c r="H8" t="inlineStr">
        <is>
          <t>Update formulas after write</t>
        </is>
      </c>
      <c r="I8" t="inlineStr">
        <is>
          <t>Yes</t>
        </is>
      </c>
      <c r="J8" t="inlineStr">
        <is>
          <t>Excel recalculates on open</t>
        </is>
      </c>
    </row>
    <row r="9">
      <c r="A9" t="inlineStr">
        <is>
          <t>Close expired tenders automatically</t>
        </is>
      </c>
      <c r="B9" t="inlineStr">
        <is>
          <t>No</t>
        </is>
      </c>
      <c r="D9" t="inlineStr">
        <is>
          <t>wind solar hybrid</t>
        </is>
      </c>
      <c r="E9" t="inlineStr">
        <is>
          <t>Hybrid</t>
        </is>
      </c>
      <c r="F9" t="n">
        <v>2</v>
      </c>
      <c r="H9" t="inlineStr">
        <is>
          <t>Daily summary enabled</t>
        </is>
      </c>
      <c r="I9" t="inlineStr">
        <is>
          <t>Yes</t>
        </is>
      </c>
      <c r="J9" t="inlineStr">
        <is>
          <t>Writes run-level totals</t>
        </is>
      </c>
    </row>
    <row r="10">
      <c r="A10" t="inlineStr">
        <is>
          <t>Output workbook name</t>
        </is>
      </c>
      <c r="B10" t="inlineStr">
        <is>
          <t>Renewable_Tender_Tracker.xlsx</t>
        </is>
      </c>
      <c r="D10" t="inlineStr">
        <is>
          <t>hybrid renewable</t>
        </is>
      </c>
      <c r="E10" t="inlineStr">
        <is>
          <t>Hybrid</t>
        </is>
      </c>
      <c r="F10" t="n">
        <v>2</v>
      </c>
      <c r="H10" t="inlineStr">
        <is>
          <t>Export management report</t>
        </is>
      </c>
      <c r="I10" t="inlineStr">
        <is>
          <t>Yes</t>
        </is>
      </c>
      <c r="J10" t="inlineStr">
        <is>
          <t>Workbook sheet</t>
        </is>
      </c>
    </row>
    <row r="11">
      <c r="D11" t="inlineStr">
        <is>
          <t>wind</t>
        </is>
      </c>
      <c r="E11" t="inlineStr">
        <is>
          <t>Wind</t>
        </is>
      </c>
      <c r="F11" t="n">
        <v>3</v>
      </c>
      <c r="H11" t="inlineStr">
        <is>
          <t>Scheduled cloud execution</t>
        </is>
      </c>
      <c r="I11" t="inlineStr">
        <is>
          <t>Optional</t>
        </is>
      </c>
      <c r="J11" t="inlineStr">
        <is>
          <t>Templates included</t>
        </is>
      </c>
    </row>
    <row r="12">
      <c r="A12" s="69" t="inlineStr">
        <is>
          <t>Automation Parameter</t>
        </is>
      </c>
      <c r="B12" s="69" t="inlineStr">
        <is>
          <t>Value</t>
        </is>
      </c>
      <c r="D12" t="inlineStr">
        <is>
          <t>solar</t>
        </is>
      </c>
      <c r="E12" t="inlineStr">
        <is>
          <t>Solar</t>
        </is>
      </c>
      <c r="F12" t="n">
        <v>4</v>
      </c>
      <c r="H12" t="inlineStr">
        <is>
          <t>Email notifications</t>
        </is>
      </c>
      <c r="I12" t="inlineStr">
        <is>
          <t>Not configured</t>
        </is>
      </c>
      <c r="J12" t="inlineStr">
        <is>
          <t>Requires mail provider</t>
        </is>
      </c>
    </row>
    <row r="13">
      <c r="A13" t="inlineStr">
        <is>
          <t>Auto-close expired records</t>
        </is>
      </c>
      <c r="B13" t="inlineStr">
        <is>
          <t>No</t>
        </is>
      </c>
      <c r="D13" t="inlineStr">
        <is>
          <t>pumped storage</t>
        </is>
      </c>
      <c r="E13" t="inlineStr">
        <is>
          <t>Pumped Storage</t>
        </is>
      </c>
      <c r="F13" t="n">
        <v>1</v>
      </c>
      <c r="H13" t="inlineStr">
        <is>
          <t>Maximum input rows per run</t>
        </is>
      </c>
      <c r="I13" t="n">
        <v>2000</v>
      </c>
    </row>
    <row r="14">
      <c r="A14" t="inlineStr">
        <is>
          <t>Duplicate handling</t>
        </is>
      </c>
      <c r="B14" t="inlineStr">
        <is>
          <t>Skip and log</t>
        </is>
      </c>
      <c r="D14" t="inlineStr">
        <is>
          <t>round the clock</t>
        </is>
      </c>
      <c r="E14" t="inlineStr">
        <is>
          <t>RTC</t>
        </is>
      </c>
      <c r="F14" t="n">
        <v>2</v>
      </c>
      <c r="H14" t="inlineStr">
        <is>
          <t>Workbook password</t>
        </is>
      </c>
      <c r="I14" t="inlineStr">
        <is>
          <t>Not configured</t>
        </is>
      </c>
      <c r="J14" t="inlineStr">
        <is>
          <t>Do not store secrets in files</t>
        </is>
      </c>
    </row>
    <row r="15">
      <c r="A15" t="inlineStr">
        <is>
          <t>History retention days</t>
        </is>
      </c>
      <c r="B15" t="n">
        <v>365</v>
      </c>
      <c r="H15" t="inlineStr">
        <is>
          <t>Log retention days</t>
        </is>
      </c>
      <c r="I15" t="n">
        <v>365</v>
      </c>
    </row>
    <row r="16">
      <c r="A16" t="inlineStr">
        <is>
          <t>Deadline alert window</t>
        </is>
      </c>
      <c r="B16" t="n">
        <v>7</v>
      </c>
    </row>
    <row r="17">
      <c r="A17" t="inlineStr">
        <is>
          <t>Urgent alert window</t>
        </is>
      </c>
      <c r="B17" t="n">
        <v>3</v>
      </c>
    </row>
    <row r="18">
      <c r="A18" t="inlineStr">
        <is>
          <t>Preferred output format</t>
        </is>
      </c>
      <c r="B18" t="inlineStr">
        <is>
          <t>xlsx / xlsm-ready</t>
        </is>
      </c>
    </row>
    <row r="20">
      <c r="A20" s="122" t="inlineStr">
        <is>
          <t>Document Processing Setting</t>
        </is>
      </c>
      <c r="B20" s="122" t="inlineStr">
        <is>
          <t>Value</t>
        </is>
      </c>
      <c r="D20" s="137" t="inlineStr">
        <is>
          <t>Import / Writeback Setting</t>
        </is>
      </c>
      <c r="E20" s="137" t="inlineStr">
        <is>
          <t>Value</t>
        </is>
      </c>
      <c r="F20" s="137" t="inlineStr">
        <is>
          <t>Notes</t>
        </is>
      </c>
    </row>
    <row r="21">
      <c r="A21" t="inlineStr">
        <is>
          <t>PDF download folder</t>
        </is>
      </c>
      <c r="B21" t="inlineStr">
        <is>
          <t>downloads</t>
        </is>
      </c>
      <c r="D21" t="inlineStr">
        <is>
          <t>Import batch size</t>
        </is>
      </c>
      <c r="E21" t="n">
        <v>500</v>
      </c>
      <c r="F21" t="inlineStr">
        <is>
          <t>Maximum rows per file</t>
        </is>
      </c>
    </row>
    <row r="22">
      <c r="A22" t="inlineStr">
        <is>
          <t>Extracted text folder</t>
        </is>
      </c>
      <c r="B22" t="inlineStr">
        <is>
          <t>extracted_text</t>
        </is>
      </c>
      <c r="D22" t="inlineStr">
        <is>
          <t>Required duplicate fields</t>
        </is>
      </c>
      <c r="E22" t="inlineStr">
        <is>
          <t>Agency + Tender Number</t>
        </is>
      </c>
    </row>
    <row r="23">
      <c r="A23" t="inlineStr">
        <is>
          <t>Maximum PDF size MB</t>
        </is>
      </c>
      <c r="B23" t="n">
        <v>50</v>
      </c>
      <c r="D23" t="inlineStr">
        <is>
          <t>Reject blank tender number</t>
        </is>
      </c>
      <c r="E23" t="inlineStr">
        <is>
          <t>Yes</t>
        </is>
      </c>
    </row>
    <row r="24">
      <c r="A24" t="inlineStr">
        <is>
          <t>Minimum auto-approval confidence</t>
        </is>
      </c>
      <c r="B24" s="284" t="n">
        <v>0.9</v>
      </c>
      <c r="D24" t="inlineStr">
        <is>
          <t>Reject blank agency</t>
        </is>
      </c>
      <c r="E24" t="inlineStr">
        <is>
          <t>Yes</t>
        </is>
      </c>
    </row>
    <row r="25">
      <c r="A25" t="inlineStr">
        <is>
          <t>OCR fallback enabled</t>
        </is>
      </c>
      <c r="B25" t="inlineStr">
        <is>
          <t>No</t>
        </is>
      </c>
      <c r="D25" t="inlineStr">
        <is>
          <t>Allow unknown technology</t>
        </is>
      </c>
      <c r="E25" t="inlineStr">
        <is>
          <t>Yes</t>
        </is>
      </c>
      <c r="F25" t="inlineStr">
        <is>
          <t>Mapped to Other</t>
        </is>
      </c>
    </row>
    <row r="26">
      <c r="A26" t="inlineStr">
        <is>
          <t>Keep raw snapshots</t>
        </is>
      </c>
      <c r="B26" t="inlineStr">
        <is>
          <t>Yes</t>
        </is>
      </c>
      <c r="D26" t="inlineStr">
        <is>
          <t>Write audit for every change</t>
        </is>
      </c>
      <c r="E26" t="inlineStr">
        <is>
          <t>Yes</t>
        </is>
      </c>
    </row>
    <row r="27">
      <c r="A27" t="inlineStr">
        <is>
          <t>Apply approved changes automatically</t>
        </is>
      </c>
      <c r="B27" t="inlineStr">
        <is>
          <t>No</t>
        </is>
      </c>
      <c r="D27" t="inlineStr">
        <is>
          <t>Archive processed files</t>
        </is>
      </c>
      <c r="E27" t="inlineStr">
        <is>
          <t>Yes</t>
        </is>
      </c>
    </row>
    <row r="28">
      <c r="A28" t="inlineStr">
        <is>
          <t>Document hash algorithm</t>
        </is>
      </c>
      <c r="B28" t="inlineStr">
        <is>
          <t>SHA-256</t>
        </is>
      </c>
      <c r="D28" t="inlineStr">
        <is>
          <t>Auto-create review items</t>
        </is>
      </c>
      <c r="E28" t="inlineStr">
        <is>
          <t>Yes</t>
        </is>
      </c>
      <c r="F28" t="inlineStr">
        <is>
          <t>For conflicting values</t>
        </is>
      </c>
    </row>
    <row r="29">
      <c r="D29" t="inlineStr">
        <is>
          <t>Rollback file enabled</t>
        </is>
      </c>
      <c r="E29" t="inlineStr">
        <is>
          <t>Yes</t>
        </is>
      </c>
      <c r="F29" t="inlineStr">
        <is>
          <t>Creates pre-write snapshot</t>
        </is>
      </c>
    </row>
  </sheetData>
  <mergeCells count="1">
    <mergeCell ref="A1:F2"/>
  </mergeCells>
  <dataValidations count="4">
    <dataValidation sqref="B13:B14" showDropDown="0" showInputMessage="0" showErrorMessage="0" allowBlank="0" type="list">
      <formula1>"Yes,No,Skip and log,Update existing"</formula1>
    </dataValidation>
    <dataValidation sqref="B25:B27" showDropDown="0" showInputMessage="0" showErrorMessage="0" allowBlank="0" type="list">
      <formula1>"Yes,No"</formula1>
    </dataValidation>
    <dataValidation sqref="E23:E29" showDropDown="0" showInputMessage="0" showErrorMessage="0" allowBlank="0" type="list">
      <formula1>"Yes,No"</formula1>
    </dataValidation>
    <dataValidation sqref="I5:I10" showDropDown="0" showInputMessage="0" showErrorMessage="0" allowBlank="0" type="list">
      <formula1>"Yes,No,Optional,Not configured"</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205"/>
  <sheetViews>
    <sheetView workbookViewId="0">
      <selection activeCell="A1" sqref="A1"/>
    </sheetView>
  </sheetViews>
  <sheetFormatPr baseColWidth="8" defaultRowHeight="15"/>
  <cols>
    <col width="16" customWidth="1" style="64" min="1" max="1"/>
    <col width="16" customWidth="1" style="64" min="2" max="2"/>
    <col width="16" customWidth="1" style="64" min="3" max="3"/>
    <col width="16" customWidth="1" style="64" min="4" max="4"/>
    <col width="16" customWidth="1" style="64" min="5" max="5"/>
    <col width="16" customWidth="1" style="64" min="6" max="6"/>
    <col width="16" customWidth="1" style="64" min="7" max="7"/>
    <col width="16" customWidth="1" style="64" min="8" max="8"/>
    <col width="16" customWidth="1" style="64" min="9" max="9"/>
    <col width="28" customWidth="1" style="64" min="10" max="10"/>
    <col width="16" customWidth="1" style="64" min="11" max="11"/>
    <col width="16" customWidth="1" style="64" min="12" max="12"/>
    <col width="32" customWidth="1" style="64" min="13" max="13"/>
    <col width="16" customWidth="1" style="64" min="14" max="14"/>
    <col width="16" customWidth="1" style="64" min="15" max="15"/>
    <col width="16" customWidth="1" style="64" min="16" max="16"/>
    <col width="16" customWidth="1" style="64" min="17" max="17"/>
    <col width="16" customWidth="1" style="64" min="18" max="18"/>
    <col width="16" customWidth="1" style="64" min="19" max="19"/>
    <col width="34" customWidth="1" style="64" min="20" max="20"/>
    <col width="34" customWidth="1" style="64" min="21" max="21"/>
    <col width="34" customWidth="1" style="64" min="22" max="22"/>
  </cols>
  <sheetData>
    <row r="1">
      <c r="A1" s="285" t="inlineStr">
        <is>
          <t>Tender Intake / Import Staging</t>
        </is>
      </c>
      <c r="B1" s="1" t="n"/>
      <c r="C1" s="1" t="n"/>
      <c r="D1" s="1" t="n"/>
      <c r="E1" s="1" t="n"/>
      <c r="F1" s="1" t="n"/>
      <c r="G1" s="1" t="n"/>
      <c r="H1" s="1" t="n"/>
      <c r="I1" s="1" t="n"/>
      <c r="J1" s="1" t="n"/>
      <c r="K1" s="1" t="n"/>
      <c r="L1" s="1" t="n"/>
      <c r="M1" s="1" t="n"/>
      <c r="N1" s="1" t="n"/>
      <c r="O1" s="1" t="n"/>
      <c r="P1" s="1" t="n"/>
      <c r="Q1" s="1" t="n"/>
      <c r="R1" s="1" t="n"/>
      <c r="S1" s="1" t="n"/>
      <c r="T1" s="1" t="n"/>
      <c r="U1" s="1" t="n"/>
      <c r="V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row>
    <row r="3">
      <c r="A3" s="286" t="inlineStr">
        <is>
          <t>Paste newly collected tender data here. The updater framework validates, de-duplicates, and appends approved records to Master Tenders.</t>
        </is>
      </c>
      <c r="B3" s="1" t="n"/>
      <c r="C3" s="1" t="n"/>
      <c r="D3" s="1" t="n"/>
      <c r="E3" s="1" t="n"/>
      <c r="F3" s="1" t="n"/>
      <c r="G3" s="1" t="n"/>
      <c r="H3" s="1" t="n"/>
      <c r="I3" s="1" t="n"/>
      <c r="J3" s="1" t="n"/>
      <c r="K3" s="1" t="n"/>
      <c r="L3" s="1" t="n"/>
      <c r="M3" s="1" t="n"/>
      <c r="N3" s="1" t="n"/>
      <c r="O3" s="1" t="n"/>
      <c r="P3" s="1" t="n"/>
      <c r="Q3" s="1" t="n"/>
      <c r="R3" s="1" t="n"/>
      <c r="S3" s="1" t="n"/>
      <c r="T3" s="1" t="n"/>
      <c r="U3" s="1" t="n"/>
      <c r="V3" s="1" t="n"/>
    </row>
    <row r="5">
      <c r="A5" s="69" t="inlineStr">
        <is>
          <t>Tender ID</t>
        </is>
      </c>
      <c r="B5" s="69" t="inlineStr">
        <is>
          <t>Category</t>
        </is>
      </c>
      <c r="C5" s="69" t="inlineStr">
        <is>
          <t>Agency</t>
        </is>
      </c>
      <c r="D5" s="69" t="inlineStr">
        <is>
          <t>State</t>
        </is>
      </c>
      <c r="E5" s="69" t="inlineStr">
        <is>
          <t>Tender Number</t>
        </is>
      </c>
      <c r="F5" s="69" t="inlineStr">
        <is>
          <t>Technology</t>
        </is>
      </c>
      <c r="G5" s="69" t="inlineStr">
        <is>
          <t>Capacity MW</t>
        </is>
      </c>
      <c r="H5" s="69" t="inlineStr">
        <is>
          <t>Storage Required</t>
        </is>
      </c>
      <c r="I5" s="69" t="inlineStr">
        <is>
          <t>Storage Hours</t>
        </is>
      </c>
      <c r="J5" s="69" t="inlineStr">
        <is>
          <t>Dispatch Condition</t>
        </is>
      </c>
      <c r="K5" s="69" t="inlineStr">
        <is>
          <t>Minimum PLF %</t>
        </is>
      </c>
      <c r="L5" s="69" t="inlineStr">
        <is>
          <t>EMD</t>
        </is>
      </c>
      <c r="M5" s="69" t="inlineStr">
        <is>
          <t>BG / PBG Conditions</t>
        </is>
      </c>
      <c r="N5" s="69" t="inlineStr">
        <is>
          <t>Bid Submission Date</t>
        </is>
      </c>
      <c r="O5" s="69" t="inlineStr">
        <is>
          <t>Technical Opening</t>
        </is>
      </c>
      <c r="P5" s="69" t="inlineStr">
        <is>
          <t>Financial Opening</t>
        </is>
      </c>
      <c r="Q5" s="69" t="inlineStr">
        <is>
          <t>Status</t>
        </is>
      </c>
      <c r="R5" s="69" t="inlineStr">
        <is>
          <t>Last Updated</t>
        </is>
      </c>
      <c r="S5" s="69" t="inlineStr">
        <is>
          <t>Corrigendum Count</t>
        </is>
      </c>
      <c r="T5" s="69" t="inlineStr">
        <is>
          <t>Tender URL</t>
        </is>
      </c>
      <c r="U5" s="69" t="inlineStr">
        <is>
          <t>Document URL</t>
        </is>
      </c>
      <c r="V5" s="69" t="inlineStr">
        <is>
          <t>Remarks</t>
        </is>
      </c>
    </row>
    <row r="6">
      <c r="A6" s="37" t="n"/>
      <c r="B6" s="37" t="n"/>
      <c r="C6" s="37" t="n"/>
      <c r="D6" s="37" t="n"/>
      <c r="E6" s="37" t="n"/>
      <c r="F6" s="37" t="n"/>
      <c r="G6" s="37" t="n"/>
      <c r="H6" s="37" t="n"/>
      <c r="I6" s="37" t="n"/>
      <c r="J6" s="37" t="n"/>
      <c r="K6" s="37" t="n"/>
      <c r="L6" s="37" t="n"/>
      <c r="M6" s="37" t="n"/>
      <c r="N6" s="276" t="n"/>
      <c r="O6" s="276" t="n"/>
      <c r="P6" s="276" t="n"/>
      <c r="Q6" s="276" t="n"/>
      <c r="R6" s="276" t="n"/>
      <c r="S6" s="37" t="n"/>
      <c r="T6" s="37" t="n"/>
      <c r="U6" s="37" t="n"/>
      <c r="V6" s="37" t="n"/>
    </row>
    <row r="7">
      <c r="A7" s="37" t="n"/>
      <c r="B7" s="37" t="n"/>
      <c r="C7" s="37" t="n"/>
      <c r="D7" s="37" t="n"/>
      <c r="E7" s="37" t="n"/>
      <c r="F7" s="37" t="n"/>
      <c r="G7" s="37" t="n"/>
      <c r="H7" s="37" t="n"/>
      <c r="I7" s="37" t="n"/>
      <c r="J7" s="37" t="n"/>
      <c r="K7" s="37" t="n"/>
      <c r="L7" s="37" t="n"/>
      <c r="M7" s="37" t="n"/>
      <c r="N7" s="276" t="n"/>
      <c r="O7" s="276" t="n"/>
      <c r="P7" s="276" t="n"/>
      <c r="Q7" s="276" t="n"/>
      <c r="R7" s="276" t="n"/>
      <c r="S7" s="37" t="n"/>
      <c r="T7" s="37" t="n"/>
      <c r="U7" s="37" t="n"/>
      <c r="V7" s="37" t="n"/>
    </row>
    <row r="8">
      <c r="A8" s="37" t="n"/>
      <c r="B8" s="37" t="n"/>
      <c r="C8" s="37" t="n"/>
      <c r="D8" s="37" t="n"/>
      <c r="E8" s="37" t="n"/>
      <c r="F8" s="37" t="n"/>
      <c r="G8" s="37" t="n"/>
      <c r="H8" s="37" t="n"/>
      <c r="I8" s="37" t="n"/>
      <c r="J8" s="37" t="n"/>
      <c r="K8" s="37" t="n"/>
      <c r="L8" s="37" t="n"/>
      <c r="M8" s="37" t="n"/>
      <c r="N8" s="276" t="n"/>
      <c r="O8" s="276" t="n"/>
      <c r="P8" s="276" t="n"/>
      <c r="Q8" s="276" t="n"/>
      <c r="R8" s="276" t="n"/>
      <c r="S8" s="37" t="n"/>
      <c r="T8" s="37" t="n"/>
      <c r="U8" s="37" t="n"/>
      <c r="V8" s="37" t="n"/>
    </row>
    <row r="9">
      <c r="A9" s="37" t="n"/>
      <c r="B9" s="37" t="n"/>
      <c r="C9" s="37" t="n"/>
      <c r="D9" s="37" t="n"/>
      <c r="E9" s="37" t="n"/>
      <c r="F9" s="37" t="n"/>
      <c r="G9" s="37" t="n"/>
      <c r="H9" s="37" t="n"/>
      <c r="I9" s="37" t="n"/>
      <c r="J9" s="37" t="n"/>
      <c r="K9" s="37" t="n"/>
      <c r="L9" s="37" t="n"/>
      <c r="M9" s="37" t="n"/>
      <c r="N9" s="276" t="n"/>
      <c r="O9" s="276" t="n"/>
      <c r="P9" s="276" t="n"/>
      <c r="Q9" s="276" t="n"/>
      <c r="R9" s="276" t="n"/>
      <c r="S9" s="37" t="n"/>
      <c r="T9" s="37" t="n"/>
      <c r="U9" s="37" t="n"/>
      <c r="V9" s="37" t="n"/>
    </row>
    <row r="10">
      <c r="A10" s="37" t="n"/>
      <c r="B10" s="37" t="n"/>
      <c r="C10" s="37" t="n"/>
      <c r="D10" s="37" t="n"/>
      <c r="E10" s="37" t="n"/>
      <c r="F10" s="37" t="n"/>
      <c r="G10" s="37" t="n"/>
      <c r="H10" s="37" t="n"/>
      <c r="I10" s="37" t="n"/>
      <c r="J10" s="37" t="n"/>
      <c r="K10" s="37" t="n"/>
      <c r="L10" s="37" t="n"/>
      <c r="M10" s="37" t="n"/>
      <c r="N10" s="276" t="n"/>
      <c r="O10" s="276" t="n"/>
      <c r="P10" s="276" t="n"/>
      <c r="Q10" s="276" t="n"/>
      <c r="R10" s="276" t="n"/>
      <c r="S10" s="37" t="n"/>
      <c r="T10" s="37" t="n"/>
      <c r="U10" s="37" t="n"/>
      <c r="V10" s="37" t="n"/>
    </row>
    <row r="11">
      <c r="A11" s="37" t="n"/>
      <c r="B11" s="37" t="n"/>
      <c r="C11" s="37" t="n"/>
      <c r="D11" s="37" t="n"/>
      <c r="E11" s="37" t="n"/>
      <c r="F11" s="37" t="n"/>
      <c r="G11" s="37" t="n"/>
      <c r="H11" s="37" t="n"/>
      <c r="I11" s="37" t="n"/>
      <c r="J11" s="37" t="n"/>
      <c r="K11" s="37" t="n"/>
      <c r="L11" s="37" t="n"/>
      <c r="M11" s="37" t="n"/>
      <c r="N11" s="276" t="n"/>
      <c r="O11" s="276" t="n"/>
      <c r="P11" s="276" t="n"/>
      <c r="Q11" s="276" t="n"/>
      <c r="R11" s="276" t="n"/>
      <c r="S11" s="37" t="n"/>
      <c r="T11" s="37" t="n"/>
      <c r="U11" s="37" t="n"/>
      <c r="V11" s="37" t="n"/>
    </row>
    <row r="12">
      <c r="A12" s="37" t="n"/>
      <c r="B12" s="37" t="n"/>
      <c r="C12" s="37" t="n"/>
      <c r="D12" s="37" t="n"/>
      <c r="E12" s="37" t="n"/>
      <c r="F12" s="37" t="n"/>
      <c r="G12" s="37" t="n"/>
      <c r="H12" s="37" t="n"/>
      <c r="I12" s="37" t="n"/>
      <c r="J12" s="37" t="n"/>
      <c r="K12" s="37" t="n"/>
      <c r="L12" s="37" t="n"/>
      <c r="M12" s="37" t="n"/>
      <c r="N12" s="276" t="n"/>
      <c r="O12" s="276" t="n"/>
      <c r="P12" s="276" t="n"/>
      <c r="Q12" s="276" t="n"/>
      <c r="R12" s="276" t="n"/>
      <c r="S12" s="37" t="n"/>
      <c r="T12" s="37" t="n"/>
      <c r="U12" s="37" t="n"/>
      <c r="V12" s="37" t="n"/>
    </row>
    <row r="13">
      <c r="A13" s="37" t="n"/>
      <c r="B13" s="37" t="n"/>
      <c r="C13" s="37" t="n"/>
      <c r="D13" s="37" t="n"/>
      <c r="E13" s="37" t="n"/>
      <c r="F13" s="37" t="n"/>
      <c r="G13" s="37" t="n"/>
      <c r="H13" s="37" t="n"/>
      <c r="I13" s="37" t="n"/>
      <c r="J13" s="37" t="n"/>
      <c r="K13" s="37" t="n"/>
      <c r="L13" s="37" t="n"/>
      <c r="M13" s="37" t="n"/>
      <c r="N13" s="276" t="n"/>
      <c r="O13" s="276" t="n"/>
      <c r="P13" s="276" t="n"/>
      <c r="Q13" s="276" t="n"/>
      <c r="R13" s="276" t="n"/>
      <c r="S13" s="37" t="n"/>
      <c r="T13" s="37" t="n"/>
      <c r="U13" s="37" t="n"/>
      <c r="V13" s="37" t="n"/>
    </row>
    <row r="14">
      <c r="A14" s="37" t="n"/>
      <c r="B14" s="37" t="n"/>
      <c r="C14" s="37" t="n"/>
      <c r="D14" s="37" t="n"/>
      <c r="E14" s="37" t="n"/>
      <c r="F14" s="37" t="n"/>
      <c r="G14" s="37" t="n"/>
      <c r="H14" s="37" t="n"/>
      <c r="I14" s="37" t="n"/>
      <c r="J14" s="37" t="n"/>
      <c r="K14" s="37" t="n"/>
      <c r="L14" s="37" t="n"/>
      <c r="M14" s="37" t="n"/>
      <c r="N14" s="276" t="n"/>
      <c r="O14" s="276" t="n"/>
      <c r="P14" s="276" t="n"/>
      <c r="Q14" s="276" t="n"/>
      <c r="R14" s="276" t="n"/>
      <c r="S14" s="37" t="n"/>
      <c r="T14" s="37" t="n"/>
      <c r="U14" s="37" t="n"/>
      <c r="V14" s="37" t="n"/>
    </row>
    <row r="15">
      <c r="A15" s="37" t="n"/>
      <c r="B15" s="37" t="n"/>
      <c r="C15" s="37" t="n"/>
      <c r="D15" s="37" t="n"/>
      <c r="E15" s="37" t="n"/>
      <c r="F15" s="37" t="n"/>
      <c r="G15" s="37" t="n"/>
      <c r="H15" s="37" t="n"/>
      <c r="I15" s="37" t="n"/>
      <c r="J15" s="37" t="n"/>
      <c r="K15" s="37" t="n"/>
      <c r="L15" s="37" t="n"/>
      <c r="M15" s="37" t="n"/>
      <c r="N15" s="276" t="n"/>
      <c r="O15" s="276" t="n"/>
      <c r="P15" s="276" t="n"/>
      <c r="Q15" s="276" t="n"/>
      <c r="R15" s="276" t="n"/>
      <c r="S15" s="37" t="n"/>
      <c r="T15" s="37" t="n"/>
      <c r="U15" s="37" t="n"/>
      <c r="V15" s="37" t="n"/>
    </row>
    <row r="16">
      <c r="A16" s="37" t="n"/>
      <c r="B16" s="37" t="n"/>
      <c r="C16" s="37" t="n"/>
      <c r="D16" s="37" t="n"/>
      <c r="E16" s="37" t="n"/>
      <c r="F16" s="37" t="n"/>
      <c r="G16" s="37" t="n"/>
      <c r="H16" s="37" t="n"/>
      <c r="I16" s="37" t="n"/>
      <c r="J16" s="37" t="n"/>
      <c r="K16" s="37" t="n"/>
      <c r="L16" s="37" t="n"/>
      <c r="M16" s="37" t="n"/>
      <c r="N16" s="276" t="n"/>
      <c r="O16" s="276" t="n"/>
      <c r="P16" s="276" t="n"/>
      <c r="Q16" s="276" t="n"/>
      <c r="R16" s="276" t="n"/>
      <c r="S16" s="37" t="n"/>
      <c r="T16" s="37" t="n"/>
      <c r="U16" s="37" t="n"/>
      <c r="V16" s="37" t="n"/>
    </row>
    <row r="17">
      <c r="A17" s="37" t="n"/>
      <c r="B17" s="37" t="n"/>
      <c r="C17" s="37" t="n"/>
      <c r="D17" s="37" t="n"/>
      <c r="E17" s="37" t="n"/>
      <c r="F17" s="37" t="n"/>
      <c r="G17" s="37" t="n"/>
      <c r="H17" s="37" t="n"/>
      <c r="I17" s="37" t="n"/>
      <c r="J17" s="37" t="n"/>
      <c r="K17" s="37" t="n"/>
      <c r="L17" s="37" t="n"/>
      <c r="M17" s="37" t="n"/>
      <c r="N17" s="276" t="n"/>
      <c r="O17" s="276" t="n"/>
      <c r="P17" s="276" t="n"/>
      <c r="Q17" s="276" t="n"/>
      <c r="R17" s="276" t="n"/>
      <c r="S17" s="37" t="n"/>
      <c r="T17" s="37" t="n"/>
      <c r="U17" s="37" t="n"/>
      <c r="V17" s="37" t="n"/>
    </row>
    <row r="18">
      <c r="A18" s="37" t="n"/>
      <c r="B18" s="37" t="n"/>
      <c r="C18" s="37" t="n"/>
      <c r="D18" s="37" t="n"/>
      <c r="E18" s="37" t="n"/>
      <c r="F18" s="37" t="n"/>
      <c r="G18" s="37" t="n"/>
      <c r="H18" s="37" t="n"/>
      <c r="I18" s="37" t="n"/>
      <c r="J18" s="37" t="n"/>
      <c r="K18" s="37" t="n"/>
      <c r="L18" s="37" t="n"/>
      <c r="M18" s="37" t="n"/>
      <c r="N18" s="276" t="n"/>
      <c r="O18" s="276" t="n"/>
      <c r="P18" s="276" t="n"/>
      <c r="Q18" s="276" t="n"/>
      <c r="R18" s="276" t="n"/>
      <c r="S18" s="37" t="n"/>
      <c r="T18" s="37" t="n"/>
      <c r="U18" s="37" t="n"/>
      <c r="V18" s="37" t="n"/>
    </row>
    <row r="19">
      <c r="A19" s="37" t="n"/>
      <c r="B19" s="37" t="n"/>
      <c r="C19" s="37" t="n"/>
      <c r="D19" s="37" t="n"/>
      <c r="E19" s="37" t="n"/>
      <c r="F19" s="37" t="n"/>
      <c r="G19" s="37" t="n"/>
      <c r="H19" s="37" t="n"/>
      <c r="I19" s="37" t="n"/>
      <c r="J19" s="37" t="n"/>
      <c r="K19" s="37" t="n"/>
      <c r="L19" s="37" t="n"/>
      <c r="M19" s="37" t="n"/>
      <c r="N19" s="276" t="n"/>
      <c r="O19" s="276" t="n"/>
      <c r="P19" s="276" t="n"/>
      <c r="Q19" s="276" t="n"/>
      <c r="R19" s="276" t="n"/>
      <c r="S19" s="37" t="n"/>
      <c r="T19" s="37" t="n"/>
      <c r="U19" s="37" t="n"/>
      <c r="V19" s="37" t="n"/>
    </row>
    <row r="20">
      <c r="A20" s="37" t="n"/>
      <c r="B20" s="37" t="n"/>
      <c r="C20" s="37" t="n"/>
      <c r="D20" s="37" t="n"/>
      <c r="E20" s="37" t="n"/>
      <c r="F20" s="37" t="n"/>
      <c r="G20" s="37" t="n"/>
      <c r="H20" s="37" t="n"/>
      <c r="I20" s="37" t="n"/>
      <c r="J20" s="37" t="n"/>
      <c r="K20" s="37" t="n"/>
      <c r="L20" s="37" t="n"/>
      <c r="M20" s="37" t="n"/>
      <c r="N20" s="276" t="n"/>
      <c r="O20" s="276" t="n"/>
      <c r="P20" s="276" t="n"/>
      <c r="Q20" s="276" t="n"/>
      <c r="R20" s="276" t="n"/>
      <c r="S20" s="37" t="n"/>
      <c r="T20" s="37" t="n"/>
      <c r="U20" s="37" t="n"/>
      <c r="V20" s="37" t="n"/>
    </row>
    <row r="21">
      <c r="A21" s="37" t="n"/>
      <c r="B21" s="37" t="n"/>
      <c r="C21" s="37" t="n"/>
      <c r="D21" s="37" t="n"/>
      <c r="E21" s="37" t="n"/>
      <c r="F21" s="37" t="n"/>
      <c r="G21" s="37" t="n"/>
      <c r="H21" s="37" t="n"/>
      <c r="I21" s="37" t="n"/>
      <c r="J21" s="37" t="n"/>
      <c r="K21" s="37" t="n"/>
      <c r="L21" s="37" t="n"/>
      <c r="M21" s="37" t="n"/>
      <c r="N21" s="276" t="n"/>
      <c r="O21" s="276" t="n"/>
      <c r="P21" s="276" t="n"/>
      <c r="Q21" s="276" t="n"/>
      <c r="R21" s="276" t="n"/>
      <c r="S21" s="37" t="n"/>
      <c r="T21" s="37" t="n"/>
      <c r="U21" s="37" t="n"/>
      <c r="V21" s="37" t="n"/>
    </row>
    <row r="22">
      <c r="A22" s="37" t="n"/>
      <c r="B22" s="37" t="n"/>
      <c r="C22" s="37" t="n"/>
      <c r="D22" s="37" t="n"/>
      <c r="E22" s="37" t="n"/>
      <c r="F22" s="37" t="n"/>
      <c r="G22" s="37" t="n"/>
      <c r="H22" s="37" t="n"/>
      <c r="I22" s="37" t="n"/>
      <c r="J22" s="37" t="n"/>
      <c r="K22" s="37" t="n"/>
      <c r="L22" s="37" t="n"/>
      <c r="M22" s="37" t="n"/>
      <c r="N22" s="276" t="n"/>
      <c r="O22" s="276" t="n"/>
      <c r="P22" s="276" t="n"/>
      <c r="Q22" s="276" t="n"/>
      <c r="R22" s="276" t="n"/>
      <c r="S22" s="37" t="n"/>
      <c r="T22" s="37" t="n"/>
      <c r="U22" s="37" t="n"/>
      <c r="V22" s="37" t="n"/>
    </row>
    <row r="23">
      <c r="A23" s="37" t="n"/>
      <c r="B23" s="37" t="n"/>
      <c r="C23" s="37" t="n"/>
      <c r="D23" s="37" t="n"/>
      <c r="E23" s="37" t="n"/>
      <c r="F23" s="37" t="n"/>
      <c r="G23" s="37" t="n"/>
      <c r="H23" s="37" t="n"/>
      <c r="I23" s="37" t="n"/>
      <c r="J23" s="37" t="n"/>
      <c r="K23" s="37" t="n"/>
      <c r="L23" s="37" t="n"/>
      <c r="M23" s="37" t="n"/>
      <c r="N23" s="276" t="n"/>
      <c r="O23" s="276" t="n"/>
      <c r="P23" s="276" t="n"/>
      <c r="Q23" s="276" t="n"/>
      <c r="R23" s="276" t="n"/>
      <c r="S23" s="37" t="n"/>
      <c r="T23" s="37" t="n"/>
      <c r="U23" s="37" t="n"/>
      <c r="V23" s="37" t="n"/>
    </row>
    <row r="24">
      <c r="A24" s="37" t="n"/>
      <c r="B24" s="37" t="n"/>
      <c r="C24" s="37" t="n"/>
      <c r="D24" s="37" t="n"/>
      <c r="E24" s="37" t="n"/>
      <c r="F24" s="37" t="n"/>
      <c r="G24" s="37" t="n"/>
      <c r="H24" s="37" t="n"/>
      <c r="I24" s="37" t="n"/>
      <c r="J24" s="37" t="n"/>
      <c r="K24" s="37" t="n"/>
      <c r="L24" s="37" t="n"/>
      <c r="M24" s="37" t="n"/>
      <c r="N24" s="276" t="n"/>
      <c r="O24" s="276" t="n"/>
      <c r="P24" s="276" t="n"/>
      <c r="Q24" s="276" t="n"/>
      <c r="R24" s="276" t="n"/>
      <c r="S24" s="37" t="n"/>
      <c r="T24" s="37" t="n"/>
      <c r="U24" s="37" t="n"/>
      <c r="V24" s="37" t="n"/>
    </row>
    <row r="25">
      <c r="A25" s="37" t="n"/>
      <c r="B25" s="37" t="n"/>
      <c r="C25" s="37" t="n"/>
      <c r="D25" s="37" t="n"/>
      <c r="E25" s="37" t="n"/>
      <c r="F25" s="37" t="n"/>
      <c r="G25" s="37" t="n"/>
      <c r="H25" s="37" t="n"/>
      <c r="I25" s="37" t="n"/>
      <c r="J25" s="37" t="n"/>
      <c r="K25" s="37" t="n"/>
      <c r="L25" s="37" t="n"/>
      <c r="M25" s="37" t="n"/>
      <c r="N25" s="276" t="n"/>
      <c r="O25" s="276" t="n"/>
      <c r="P25" s="276" t="n"/>
      <c r="Q25" s="276" t="n"/>
      <c r="R25" s="276" t="n"/>
      <c r="S25" s="37" t="n"/>
      <c r="T25" s="37" t="n"/>
      <c r="U25" s="37" t="n"/>
      <c r="V25" s="37" t="n"/>
    </row>
    <row r="26">
      <c r="A26" s="37" t="n"/>
      <c r="B26" s="37" t="n"/>
      <c r="C26" s="37" t="n"/>
      <c r="D26" s="37" t="n"/>
      <c r="E26" s="37" t="n"/>
      <c r="F26" s="37" t="n"/>
      <c r="G26" s="37" t="n"/>
      <c r="H26" s="37" t="n"/>
      <c r="I26" s="37" t="n"/>
      <c r="J26" s="37" t="n"/>
      <c r="K26" s="37" t="n"/>
      <c r="L26" s="37" t="n"/>
      <c r="M26" s="37" t="n"/>
      <c r="N26" s="276" t="n"/>
      <c r="O26" s="276" t="n"/>
      <c r="P26" s="276" t="n"/>
      <c r="Q26" s="276" t="n"/>
      <c r="R26" s="276" t="n"/>
      <c r="S26" s="37" t="n"/>
      <c r="T26" s="37" t="n"/>
      <c r="U26" s="37" t="n"/>
      <c r="V26" s="37" t="n"/>
    </row>
    <row r="27">
      <c r="A27" s="37" t="n"/>
      <c r="B27" s="37" t="n"/>
      <c r="C27" s="37" t="n"/>
      <c r="D27" s="37" t="n"/>
      <c r="E27" s="37" t="n"/>
      <c r="F27" s="37" t="n"/>
      <c r="G27" s="37" t="n"/>
      <c r="H27" s="37" t="n"/>
      <c r="I27" s="37" t="n"/>
      <c r="J27" s="37" t="n"/>
      <c r="K27" s="37" t="n"/>
      <c r="L27" s="37" t="n"/>
      <c r="M27" s="37" t="n"/>
      <c r="N27" s="276" t="n"/>
      <c r="O27" s="276" t="n"/>
      <c r="P27" s="276" t="n"/>
      <c r="Q27" s="276" t="n"/>
      <c r="R27" s="276" t="n"/>
      <c r="S27" s="37" t="n"/>
      <c r="T27" s="37" t="n"/>
      <c r="U27" s="37" t="n"/>
      <c r="V27" s="37" t="n"/>
    </row>
    <row r="28">
      <c r="A28" s="37" t="n"/>
      <c r="B28" s="37" t="n"/>
      <c r="C28" s="37" t="n"/>
      <c r="D28" s="37" t="n"/>
      <c r="E28" s="37" t="n"/>
      <c r="F28" s="37" t="n"/>
      <c r="G28" s="37" t="n"/>
      <c r="H28" s="37" t="n"/>
      <c r="I28" s="37" t="n"/>
      <c r="J28" s="37" t="n"/>
      <c r="K28" s="37" t="n"/>
      <c r="L28" s="37" t="n"/>
      <c r="M28" s="37" t="n"/>
      <c r="N28" s="276" t="n"/>
      <c r="O28" s="276" t="n"/>
      <c r="P28" s="276" t="n"/>
      <c r="Q28" s="276" t="n"/>
      <c r="R28" s="276" t="n"/>
      <c r="S28" s="37" t="n"/>
      <c r="T28" s="37" t="n"/>
      <c r="U28" s="37" t="n"/>
      <c r="V28" s="37" t="n"/>
    </row>
    <row r="29">
      <c r="A29" s="37" t="n"/>
      <c r="B29" s="37" t="n"/>
      <c r="C29" s="37" t="n"/>
      <c r="D29" s="37" t="n"/>
      <c r="E29" s="37" t="n"/>
      <c r="F29" s="37" t="n"/>
      <c r="G29" s="37" t="n"/>
      <c r="H29" s="37" t="n"/>
      <c r="I29" s="37" t="n"/>
      <c r="J29" s="37" t="n"/>
      <c r="K29" s="37" t="n"/>
      <c r="L29" s="37" t="n"/>
      <c r="M29" s="37" t="n"/>
      <c r="N29" s="276" t="n"/>
      <c r="O29" s="276" t="n"/>
      <c r="P29" s="276" t="n"/>
      <c r="Q29" s="276" t="n"/>
      <c r="R29" s="276" t="n"/>
      <c r="S29" s="37" t="n"/>
      <c r="T29" s="37" t="n"/>
      <c r="U29" s="37" t="n"/>
      <c r="V29" s="37" t="n"/>
    </row>
    <row r="30">
      <c r="A30" s="37" t="n"/>
      <c r="B30" s="37" t="n"/>
      <c r="C30" s="37" t="n"/>
      <c r="D30" s="37" t="n"/>
      <c r="E30" s="37" t="n"/>
      <c r="F30" s="37" t="n"/>
      <c r="G30" s="37" t="n"/>
      <c r="H30" s="37" t="n"/>
      <c r="I30" s="37" t="n"/>
      <c r="J30" s="37" t="n"/>
      <c r="K30" s="37" t="n"/>
      <c r="L30" s="37" t="n"/>
      <c r="M30" s="37" t="n"/>
      <c r="N30" s="276" t="n"/>
      <c r="O30" s="276" t="n"/>
      <c r="P30" s="276" t="n"/>
      <c r="Q30" s="276" t="n"/>
      <c r="R30" s="276" t="n"/>
      <c r="S30" s="37" t="n"/>
      <c r="T30" s="37" t="n"/>
      <c r="U30" s="37" t="n"/>
      <c r="V30" s="37" t="n"/>
    </row>
    <row r="31">
      <c r="A31" s="37" t="n"/>
      <c r="B31" s="37" t="n"/>
      <c r="C31" s="37" t="n"/>
      <c r="D31" s="37" t="n"/>
      <c r="E31" s="37" t="n"/>
      <c r="F31" s="37" t="n"/>
      <c r="G31" s="37" t="n"/>
      <c r="H31" s="37" t="n"/>
      <c r="I31" s="37" t="n"/>
      <c r="J31" s="37" t="n"/>
      <c r="K31" s="37" t="n"/>
      <c r="L31" s="37" t="n"/>
      <c r="M31" s="37" t="n"/>
      <c r="N31" s="276" t="n"/>
      <c r="O31" s="276" t="n"/>
      <c r="P31" s="276" t="n"/>
      <c r="Q31" s="276" t="n"/>
      <c r="R31" s="276" t="n"/>
      <c r="S31" s="37" t="n"/>
      <c r="T31" s="37" t="n"/>
      <c r="U31" s="37" t="n"/>
      <c r="V31" s="37" t="n"/>
    </row>
    <row r="32">
      <c r="A32" s="37" t="n"/>
      <c r="B32" s="37" t="n"/>
      <c r="C32" s="37" t="n"/>
      <c r="D32" s="37" t="n"/>
      <c r="E32" s="37" t="n"/>
      <c r="F32" s="37" t="n"/>
      <c r="G32" s="37" t="n"/>
      <c r="H32" s="37" t="n"/>
      <c r="I32" s="37" t="n"/>
      <c r="J32" s="37" t="n"/>
      <c r="K32" s="37" t="n"/>
      <c r="L32" s="37" t="n"/>
      <c r="M32" s="37" t="n"/>
      <c r="N32" s="276" t="n"/>
      <c r="O32" s="276" t="n"/>
      <c r="P32" s="276" t="n"/>
      <c r="Q32" s="276" t="n"/>
      <c r="R32" s="276" t="n"/>
      <c r="S32" s="37" t="n"/>
      <c r="T32" s="37" t="n"/>
      <c r="U32" s="37" t="n"/>
      <c r="V32" s="37" t="n"/>
    </row>
    <row r="33">
      <c r="A33" s="37" t="n"/>
      <c r="B33" s="37" t="n"/>
      <c r="C33" s="37" t="n"/>
      <c r="D33" s="37" t="n"/>
      <c r="E33" s="37" t="n"/>
      <c r="F33" s="37" t="n"/>
      <c r="G33" s="37" t="n"/>
      <c r="H33" s="37" t="n"/>
      <c r="I33" s="37" t="n"/>
      <c r="J33" s="37" t="n"/>
      <c r="K33" s="37" t="n"/>
      <c r="L33" s="37" t="n"/>
      <c r="M33" s="37" t="n"/>
      <c r="N33" s="276" t="n"/>
      <c r="O33" s="276" t="n"/>
      <c r="P33" s="276" t="n"/>
      <c r="Q33" s="276" t="n"/>
      <c r="R33" s="276" t="n"/>
      <c r="S33" s="37" t="n"/>
      <c r="T33" s="37" t="n"/>
      <c r="U33" s="37" t="n"/>
      <c r="V33" s="37" t="n"/>
    </row>
    <row r="34">
      <c r="A34" s="37" t="n"/>
      <c r="B34" s="37" t="n"/>
      <c r="C34" s="37" t="n"/>
      <c r="D34" s="37" t="n"/>
      <c r="E34" s="37" t="n"/>
      <c r="F34" s="37" t="n"/>
      <c r="G34" s="37" t="n"/>
      <c r="H34" s="37" t="n"/>
      <c r="I34" s="37" t="n"/>
      <c r="J34" s="37" t="n"/>
      <c r="K34" s="37" t="n"/>
      <c r="L34" s="37" t="n"/>
      <c r="M34" s="37" t="n"/>
      <c r="N34" s="276" t="n"/>
      <c r="O34" s="276" t="n"/>
      <c r="P34" s="276" t="n"/>
      <c r="Q34" s="276" t="n"/>
      <c r="R34" s="276" t="n"/>
      <c r="S34" s="37" t="n"/>
      <c r="T34" s="37" t="n"/>
      <c r="U34" s="37" t="n"/>
      <c r="V34" s="37" t="n"/>
    </row>
    <row r="35">
      <c r="A35" s="37" t="n"/>
      <c r="B35" s="37" t="n"/>
      <c r="C35" s="37" t="n"/>
      <c r="D35" s="37" t="n"/>
      <c r="E35" s="37" t="n"/>
      <c r="F35" s="37" t="n"/>
      <c r="G35" s="37" t="n"/>
      <c r="H35" s="37" t="n"/>
      <c r="I35" s="37" t="n"/>
      <c r="J35" s="37" t="n"/>
      <c r="K35" s="37" t="n"/>
      <c r="L35" s="37" t="n"/>
      <c r="M35" s="37" t="n"/>
      <c r="N35" s="276" t="n"/>
      <c r="O35" s="276" t="n"/>
      <c r="P35" s="276" t="n"/>
      <c r="Q35" s="276" t="n"/>
      <c r="R35" s="276" t="n"/>
      <c r="S35" s="37" t="n"/>
      <c r="T35" s="37" t="n"/>
      <c r="U35" s="37" t="n"/>
      <c r="V35" s="37" t="n"/>
    </row>
    <row r="36">
      <c r="A36" s="37" t="n"/>
      <c r="B36" s="37" t="n"/>
      <c r="C36" s="37" t="n"/>
      <c r="D36" s="37" t="n"/>
      <c r="E36" s="37" t="n"/>
      <c r="F36" s="37" t="n"/>
      <c r="G36" s="37" t="n"/>
      <c r="H36" s="37" t="n"/>
      <c r="I36" s="37" t="n"/>
      <c r="J36" s="37" t="n"/>
      <c r="K36" s="37" t="n"/>
      <c r="L36" s="37" t="n"/>
      <c r="M36" s="37" t="n"/>
      <c r="N36" s="276" t="n"/>
      <c r="O36" s="276" t="n"/>
      <c r="P36" s="276" t="n"/>
      <c r="Q36" s="276" t="n"/>
      <c r="R36" s="276" t="n"/>
      <c r="S36" s="37" t="n"/>
      <c r="T36" s="37" t="n"/>
      <c r="U36" s="37" t="n"/>
      <c r="V36" s="37" t="n"/>
    </row>
    <row r="37">
      <c r="A37" s="37" t="n"/>
      <c r="B37" s="37" t="n"/>
      <c r="C37" s="37" t="n"/>
      <c r="D37" s="37" t="n"/>
      <c r="E37" s="37" t="n"/>
      <c r="F37" s="37" t="n"/>
      <c r="G37" s="37" t="n"/>
      <c r="H37" s="37" t="n"/>
      <c r="I37" s="37" t="n"/>
      <c r="J37" s="37" t="n"/>
      <c r="K37" s="37" t="n"/>
      <c r="L37" s="37" t="n"/>
      <c r="M37" s="37" t="n"/>
      <c r="N37" s="276" t="n"/>
      <c r="O37" s="276" t="n"/>
      <c r="P37" s="276" t="n"/>
      <c r="Q37" s="276" t="n"/>
      <c r="R37" s="276" t="n"/>
      <c r="S37" s="37" t="n"/>
      <c r="T37" s="37" t="n"/>
      <c r="U37" s="37" t="n"/>
      <c r="V37" s="37" t="n"/>
    </row>
    <row r="38">
      <c r="A38" s="37" t="n"/>
      <c r="B38" s="37" t="n"/>
      <c r="C38" s="37" t="n"/>
      <c r="D38" s="37" t="n"/>
      <c r="E38" s="37" t="n"/>
      <c r="F38" s="37" t="n"/>
      <c r="G38" s="37" t="n"/>
      <c r="H38" s="37" t="n"/>
      <c r="I38" s="37" t="n"/>
      <c r="J38" s="37" t="n"/>
      <c r="K38" s="37" t="n"/>
      <c r="L38" s="37" t="n"/>
      <c r="M38" s="37" t="n"/>
      <c r="N38" s="276" t="n"/>
      <c r="O38" s="276" t="n"/>
      <c r="P38" s="276" t="n"/>
      <c r="Q38" s="276" t="n"/>
      <c r="R38" s="276" t="n"/>
      <c r="S38" s="37" t="n"/>
      <c r="T38" s="37" t="n"/>
      <c r="U38" s="37" t="n"/>
      <c r="V38" s="37" t="n"/>
    </row>
    <row r="39">
      <c r="A39" s="37" t="n"/>
      <c r="B39" s="37" t="n"/>
      <c r="C39" s="37" t="n"/>
      <c r="D39" s="37" t="n"/>
      <c r="E39" s="37" t="n"/>
      <c r="F39" s="37" t="n"/>
      <c r="G39" s="37" t="n"/>
      <c r="H39" s="37" t="n"/>
      <c r="I39" s="37" t="n"/>
      <c r="J39" s="37" t="n"/>
      <c r="K39" s="37" t="n"/>
      <c r="L39" s="37" t="n"/>
      <c r="M39" s="37" t="n"/>
      <c r="N39" s="276" t="n"/>
      <c r="O39" s="276" t="n"/>
      <c r="P39" s="276" t="n"/>
      <c r="Q39" s="276" t="n"/>
      <c r="R39" s="276" t="n"/>
      <c r="S39" s="37" t="n"/>
      <c r="T39" s="37" t="n"/>
      <c r="U39" s="37" t="n"/>
      <c r="V39" s="37" t="n"/>
    </row>
    <row r="40">
      <c r="A40" s="37" t="n"/>
      <c r="B40" s="37" t="n"/>
      <c r="C40" s="37" t="n"/>
      <c r="D40" s="37" t="n"/>
      <c r="E40" s="37" t="n"/>
      <c r="F40" s="37" t="n"/>
      <c r="G40" s="37" t="n"/>
      <c r="H40" s="37" t="n"/>
      <c r="I40" s="37" t="n"/>
      <c r="J40" s="37" t="n"/>
      <c r="K40" s="37" t="n"/>
      <c r="L40" s="37" t="n"/>
      <c r="M40" s="37" t="n"/>
      <c r="N40" s="276" t="n"/>
      <c r="O40" s="276" t="n"/>
      <c r="P40" s="276" t="n"/>
      <c r="Q40" s="276" t="n"/>
      <c r="R40" s="276" t="n"/>
      <c r="S40" s="37" t="n"/>
      <c r="T40" s="37" t="n"/>
      <c r="U40" s="37" t="n"/>
      <c r="V40" s="37" t="n"/>
    </row>
    <row r="41">
      <c r="A41" s="37" t="n"/>
      <c r="B41" s="37" t="n"/>
      <c r="C41" s="37" t="n"/>
      <c r="D41" s="37" t="n"/>
      <c r="E41" s="37" t="n"/>
      <c r="F41" s="37" t="n"/>
      <c r="G41" s="37" t="n"/>
      <c r="H41" s="37" t="n"/>
      <c r="I41" s="37" t="n"/>
      <c r="J41" s="37" t="n"/>
      <c r="K41" s="37" t="n"/>
      <c r="L41" s="37" t="n"/>
      <c r="M41" s="37" t="n"/>
      <c r="N41" s="276" t="n"/>
      <c r="O41" s="276" t="n"/>
      <c r="P41" s="276" t="n"/>
      <c r="Q41" s="276" t="n"/>
      <c r="R41" s="276" t="n"/>
      <c r="S41" s="37" t="n"/>
      <c r="T41" s="37" t="n"/>
      <c r="U41" s="37" t="n"/>
      <c r="V41" s="37" t="n"/>
    </row>
    <row r="42">
      <c r="A42" s="37" t="n"/>
      <c r="B42" s="37" t="n"/>
      <c r="C42" s="37" t="n"/>
      <c r="D42" s="37" t="n"/>
      <c r="E42" s="37" t="n"/>
      <c r="F42" s="37" t="n"/>
      <c r="G42" s="37" t="n"/>
      <c r="H42" s="37" t="n"/>
      <c r="I42" s="37" t="n"/>
      <c r="J42" s="37" t="n"/>
      <c r="K42" s="37" t="n"/>
      <c r="L42" s="37" t="n"/>
      <c r="M42" s="37" t="n"/>
      <c r="N42" s="276" t="n"/>
      <c r="O42" s="276" t="n"/>
      <c r="P42" s="276" t="n"/>
      <c r="Q42" s="276" t="n"/>
      <c r="R42" s="276" t="n"/>
      <c r="S42" s="37" t="n"/>
      <c r="T42" s="37" t="n"/>
      <c r="U42" s="37" t="n"/>
      <c r="V42" s="37" t="n"/>
    </row>
    <row r="43">
      <c r="A43" s="37" t="n"/>
      <c r="B43" s="37" t="n"/>
      <c r="C43" s="37" t="n"/>
      <c r="D43" s="37" t="n"/>
      <c r="E43" s="37" t="n"/>
      <c r="F43" s="37" t="n"/>
      <c r="G43" s="37" t="n"/>
      <c r="H43" s="37" t="n"/>
      <c r="I43" s="37" t="n"/>
      <c r="J43" s="37" t="n"/>
      <c r="K43" s="37" t="n"/>
      <c r="L43" s="37" t="n"/>
      <c r="M43" s="37" t="n"/>
      <c r="N43" s="276" t="n"/>
      <c r="O43" s="276" t="n"/>
      <c r="P43" s="276" t="n"/>
      <c r="Q43" s="276" t="n"/>
      <c r="R43" s="276" t="n"/>
      <c r="S43" s="37" t="n"/>
      <c r="T43" s="37" t="n"/>
      <c r="U43" s="37" t="n"/>
      <c r="V43" s="37" t="n"/>
    </row>
    <row r="44">
      <c r="A44" s="37" t="n"/>
      <c r="B44" s="37" t="n"/>
      <c r="C44" s="37" t="n"/>
      <c r="D44" s="37" t="n"/>
      <c r="E44" s="37" t="n"/>
      <c r="F44" s="37" t="n"/>
      <c r="G44" s="37" t="n"/>
      <c r="H44" s="37" t="n"/>
      <c r="I44" s="37" t="n"/>
      <c r="J44" s="37" t="n"/>
      <c r="K44" s="37" t="n"/>
      <c r="L44" s="37" t="n"/>
      <c r="M44" s="37" t="n"/>
      <c r="N44" s="276" t="n"/>
      <c r="O44" s="276" t="n"/>
      <c r="P44" s="276" t="n"/>
      <c r="Q44" s="276" t="n"/>
      <c r="R44" s="276" t="n"/>
      <c r="S44" s="37" t="n"/>
      <c r="T44" s="37" t="n"/>
      <c r="U44" s="37" t="n"/>
      <c r="V44" s="37" t="n"/>
    </row>
    <row r="45">
      <c r="A45" s="37" t="n"/>
      <c r="B45" s="37" t="n"/>
      <c r="C45" s="37" t="n"/>
      <c r="D45" s="37" t="n"/>
      <c r="E45" s="37" t="n"/>
      <c r="F45" s="37" t="n"/>
      <c r="G45" s="37" t="n"/>
      <c r="H45" s="37" t="n"/>
      <c r="I45" s="37" t="n"/>
      <c r="J45" s="37" t="n"/>
      <c r="K45" s="37" t="n"/>
      <c r="L45" s="37" t="n"/>
      <c r="M45" s="37" t="n"/>
      <c r="N45" s="276" t="n"/>
      <c r="O45" s="276" t="n"/>
      <c r="P45" s="276" t="n"/>
      <c r="Q45" s="276" t="n"/>
      <c r="R45" s="276" t="n"/>
      <c r="S45" s="37" t="n"/>
      <c r="T45" s="37" t="n"/>
      <c r="U45" s="37" t="n"/>
      <c r="V45" s="37" t="n"/>
    </row>
    <row r="46">
      <c r="A46" s="37" t="n"/>
      <c r="B46" s="37" t="n"/>
      <c r="C46" s="37" t="n"/>
      <c r="D46" s="37" t="n"/>
      <c r="E46" s="37" t="n"/>
      <c r="F46" s="37" t="n"/>
      <c r="G46" s="37" t="n"/>
      <c r="H46" s="37" t="n"/>
      <c r="I46" s="37" t="n"/>
      <c r="J46" s="37" t="n"/>
      <c r="K46" s="37" t="n"/>
      <c r="L46" s="37" t="n"/>
      <c r="M46" s="37" t="n"/>
      <c r="N46" s="276" t="n"/>
      <c r="O46" s="276" t="n"/>
      <c r="P46" s="276" t="n"/>
      <c r="Q46" s="276" t="n"/>
      <c r="R46" s="276" t="n"/>
      <c r="S46" s="37" t="n"/>
      <c r="T46" s="37" t="n"/>
      <c r="U46" s="37" t="n"/>
      <c r="V46" s="37" t="n"/>
    </row>
    <row r="47">
      <c r="A47" s="37" t="n"/>
      <c r="B47" s="37" t="n"/>
      <c r="C47" s="37" t="n"/>
      <c r="D47" s="37" t="n"/>
      <c r="E47" s="37" t="n"/>
      <c r="F47" s="37" t="n"/>
      <c r="G47" s="37" t="n"/>
      <c r="H47" s="37" t="n"/>
      <c r="I47" s="37" t="n"/>
      <c r="J47" s="37" t="n"/>
      <c r="K47" s="37" t="n"/>
      <c r="L47" s="37" t="n"/>
      <c r="M47" s="37" t="n"/>
      <c r="N47" s="276" t="n"/>
      <c r="O47" s="276" t="n"/>
      <c r="P47" s="276" t="n"/>
      <c r="Q47" s="276" t="n"/>
      <c r="R47" s="276" t="n"/>
      <c r="S47" s="37" t="n"/>
      <c r="T47" s="37" t="n"/>
      <c r="U47" s="37" t="n"/>
      <c r="V47" s="37" t="n"/>
    </row>
    <row r="48">
      <c r="A48" s="37" t="n"/>
      <c r="B48" s="37" t="n"/>
      <c r="C48" s="37" t="n"/>
      <c r="D48" s="37" t="n"/>
      <c r="E48" s="37" t="n"/>
      <c r="F48" s="37" t="n"/>
      <c r="G48" s="37" t="n"/>
      <c r="H48" s="37" t="n"/>
      <c r="I48" s="37" t="n"/>
      <c r="J48" s="37" t="n"/>
      <c r="K48" s="37" t="n"/>
      <c r="L48" s="37" t="n"/>
      <c r="M48" s="37" t="n"/>
      <c r="N48" s="276" t="n"/>
      <c r="O48" s="276" t="n"/>
      <c r="P48" s="276" t="n"/>
      <c r="Q48" s="276" t="n"/>
      <c r="R48" s="276" t="n"/>
      <c r="S48" s="37" t="n"/>
      <c r="T48" s="37" t="n"/>
      <c r="U48" s="37" t="n"/>
      <c r="V48" s="37" t="n"/>
    </row>
    <row r="49">
      <c r="A49" s="37" t="n"/>
      <c r="B49" s="37" t="n"/>
      <c r="C49" s="37" t="n"/>
      <c r="D49" s="37" t="n"/>
      <c r="E49" s="37" t="n"/>
      <c r="F49" s="37" t="n"/>
      <c r="G49" s="37" t="n"/>
      <c r="H49" s="37" t="n"/>
      <c r="I49" s="37" t="n"/>
      <c r="J49" s="37" t="n"/>
      <c r="K49" s="37" t="n"/>
      <c r="L49" s="37" t="n"/>
      <c r="M49" s="37" t="n"/>
      <c r="N49" s="276" t="n"/>
      <c r="O49" s="276" t="n"/>
      <c r="P49" s="276" t="n"/>
      <c r="Q49" s="276" t="n"/>
      <c r="R49" s="276" t="n"/>
      <c r="S49" s="37" t="n"/>
      <c r="T49" s="37" t="n"/>
      <c r="U49" s="37" t="n"/>
      <c r="V49" s="37" t="n"/>
    </row>
    <row r="50">
      <c r="A50" s="37" t="n"/>
      <c r="B50" s="37" t="n"/>
      <c r="C50" s="37" t="n"/>
      <c r="D50" s="37" t="n"/>
      <c r="E50" s="37" t="n"/>
      <c r="F50" s="37" t="n"/>
      <c r="G50" s="37" t="n"/>
      <c r="H50" s="37" t="n"/>
      <c r="I50" s="37" t="n"/>
      <c r="J50" s="37" t="n"/>
      <c r="K50" s="37" t="n"/>
      <c r="L50" s="37" t="n"/>
      <c r="M50" s="37" t="n"/>
      <c r="N50" s="276" t="n"/>
      <c r="O50" s="276" t="n"/>
      <c r="P50" s="276" t="n"/>
      <c r="Q50" s="276" t="n"/>
      <c r="R50" s="276" t="n"/>
      <c r="S50" s="37" t="n"/>
      <c r="T50" s="37" t="n"/>
      <c r="U50" s="37" t="n"/>
      <c r="V50" s="37" t="n"/>
    </row>
    <row r="51">
      <c r="A51" s="37" t="n"/>
      <c r="B51" s="37" t="n"/>
      <c r="C51" s="37" t="n"/>
      <c r="D51" s="37" t="n"/>
      <c r="E51" s="37" t="n"/>
      <c r="F51" s="37" t="n"/>
      <c r="G51" s="37" t="n"/>
      <c r="H51" s="37" t="n"/>
      <c r="I51" s="37" t="n"/>
      <c r="J51" s="37" t="n"/>
      <c r="K51" s="37" t="n"/>
      <c r="L51" s="37" t="n"/>
      <c r="M51" s="37" t="n"/>
      <c r="N51" s="276" t="n"/>
      <c r="O51" s="276" t="n"/>
      <c r="P51" s="276" t="n"/>
      <c r="Q51" s="276" t="n"/>
      <c r="R51" s="276" t="n"/>
      <c r="S51" s="37" t="n"/>
      <c r="T51" s="37" t="n"/>
      <c r="U51" s="37" t="n"/>
      <c r="V51" s="37" t="n"/>
    </row>
    <row r="52">
      <c r="A52" s="37" t="n"/>
      <c r="B52" s="37" t="n"/>
      <c r="C52" s="37" t="n"/>
      <c r="D52" s="37" t="n"/>
      <c r="E52" s="37" t="n"/>
      <c r="F52" s="37" t="n"/>
      <c r="G52" s="37" t="n"/>
      <c r="H52" s="37" t="n"/>
      <c r="I52" s="37" t="n"/>
      <c r="J52" s="37" t="n"/>
      <c r="K52" s="37" t="n"/>
      <c r="L52" s="37" t="n"/>
      <c r="M52" s="37" t="n"/>
      <c r="N52" s="276" t="n"/>
      <c r="O52" s="276" t="n"/>
      <c r="P52" s="276" t="n"/>
      <c r="Q52" s="276" t="n"/>
      <c r="R52" s="276" t="n"/>
      <c r="S52" s="37" t="n"/>
      <c r="T52" s="37" t="n"/>
      <c r="U52" s="37" t="n"/>
      <c r="V52" s="37" t="n"/>
    </row>
    <row r="53">
      <c r="A53" s="37" t="n"/>
      <c r="B53" s="37" t="n"/>
      <c r="C53" s="37" t="n"/>
      <c r="D53" s="37" t="n"/>
      <c r="E53" s="37" t="n"/>
      <c r="F53" s="37" t="n"/>
      <c r="G53" s="37" t="n"/>
      <c r="H53" s="37" t="n"/>
      <c r="I53" s="37" t="n"/>
      <c r="J53" s="37" t="n"/>
      <c r="K53" s="37" t="n"/>
      <c r="L53" s="37" t="n"/>
      <c r="M53" s="37" t="n"/>
      <c r="N53" s="276" t="n"/>
      <c r="O53" s="276" t="n"/>
      <c r="P53" s="276" t="n"/>
      <c r="Q53" s="276" t="n"/>
      <c r="R53" s="276" t="n"/>
      <c r="S53" s="37" t="n"/>
      <c r="T53" s="37" t="n"/>
      <c r="U53" s="37" t="n"/>
      <c r="V53" s="37" t="n"/>
    </row>
    <row r="54">
      <c r="A54" s="37" t="n"/>
      <c r="B54" s="37" t="n"/>
      <c r="C54" s="37" t="n"/>
      <c r="D54" s="37" t="n"/>
      <c r="E54" s="37" t="n"/>
      <c r="F54" s="37" t="n"/>
      <c r="G54" s="37" t="n"/>
      <c r="H54" s="37" t="n"/>
      <c r="I54" s="37" t="n"/>
      <c r="J54" s="37" t="n"/>
      <c r="K54" s="37" t="n"/>
      <c r="L54" s="37" t="n"/>
      <c r="M54" s="37" t="n"/>
      <c r="N54" s="276" t="n"/>
      <c r="O54" s="276" t="n"/>
      <c r="P54" s="276" t="n"/>
      <c r="Q54" s="276" t="n"/>
      <c r="R54" s="276" t="n"/>
      <c r="S54" s="37" t="n"/>
      <c r="T54" s="37" t="n"/>
      <c r="U54" s="37" t="n"/>
      <c r="V54" s="37" t="n"/>
    </row>
    <row r="55">
      <c r="A55" s="37" t="n"/>
      <c r="B55" s="37" t="n"/>
      <c r="C55" s="37" t="n"/>
      <c r="D55" s="37" t="n"/>
      <c r="E55" s="37" t="n"/>
      <c r="F55" s="37" t="n"/>
      <c r="G55" s="37" t="n"/>
      <c r="H55" s="37" t="n"/>
      <c r="I55" s="37" t="n"/>
      <c r="J55" s="37" t="n"/>
      <c r="K55" s="37" t="n"/>
      <c r="L55" s="37" t="n"/>
      <c r="M55" s="37" t="n"/>
      <c r="N55" s="276" t="n"/>
      <c r="O55" s="276" t="n"/>
      <c r="P55" s="276" t="n"/>
      <c r="Q55" s="276" t="n"/>
      <c r="R55" s="276" t="n"/>
      <c r="S55" s="37" t="n"/>
      <c r="T55" s="37" t="n"/>
      <c r="U55" s="37" t="n"/>
      <c r="V55" s="37" t="n"/>
    </row>
    <row r="56">
      <c r="A56" s="37" t="n"/>
      <c r="B56" s="37" t="n"/>
      <c r="C56" s="37" t="n"/>
      <c r="D56" s="37" t="n"/>
      <c r="E56" s="37" t="n"/>
      <c r="F56" s="37" t="n"/>
      <c r="G56" s="37" t="n"/>
      <c r="H56" s="37" t="n"/>
      <c r="I56" s="37" t="n"/>
      <c r="J56" s="37" t="n"/>
      <c r="K56" s="37" t="n"/>
      <c r="L56" s="37" t="n"/>
      <c r="M56" s="37" t="n"/>
      <c r="N56" s="276" t="n"/>
      <c r="O56" s="276" t="n"/>
      <c r="P56" s="276" t="n"/>
      <c r="Q56" s="276" t="n"/>
      <c r="R56" s="276" t="n"/>
      <c r="S56" s="37" t="n"/>
      <c r="T56" s="37" t="n"/>
      <c r="U56" s="37" t="n"/>
      <c r="V56" s="37" t="n"/>
    </row>
    <row r="57">
      <c r="A57" s="37" t="n"/>
      <c r="B57" s="37" t="n"/>
      <c r="C57" s="37" t="n"/>
      <c r="D57" s="37" t="n"/>
      <c r="E57" s="37" t="n"/>
      <c r="F57" s="37" t="n"/>
      <c r="G57" s="37" t="n"/>
      <c r="H57" s="37" t="n"/>
      <c r="I57" s="37" t="n"/>
      <c r="J57" s="37" t="n"/>
      <c r="K57" s="37" t="n"/>
      <c r="L57" s="37" t="n"/>
      <c r="M57" s="37" t="n"/>
      <c r="N57" s="276" t="n"/>
      <c r="O57" s="276" t="n"/>
      <c r="P57" s="276" t="n"/>
      <c r="Q57" s="276" t="n"/>
      <c r="R57" s="276" t="n"/>
      <c r="S57" s="37" t="n"/>
      <c r="T57" s="37" t="n"/>
      <c r="U57" s="37" t="n"/>
      <c r="V57" s="37" t="n"/>
    </row>
    <row r="58">
      <c r="A58" s="37" t="n"/>
      <c r="B58" s="37" t="n"/>
      <c r="C58" s="37" t="n"/>
      <c r="D58" s="37" t="n"/>
      <c r="E58" s="37" t="n"/>
      <c r="F58" s="37" t="n"/>
      <c r="G58" s="37" t="n"/>
      <c r="H58" s="37" t="n"/>
      <c r="I58" s="37" t="n"/>
      <c r="J58" s="37" t="n"/>
      <c r="K58" s="37" t="n"/>
      <c r="L58" s="37" t="n"/>
      <c r="M58" s="37" t="n"/>
      <c r="N58" s="276" t="n"/>
      <c r="O58" s="276" t="n"/>
      <c r="P58" s="276" t="n"/>
      <c r="Q58" s="276" t="n"/>
      <c r="R58" s="276" t="n"/>
      <c r="S58" s="37" t="n"/>
      <c r="T58" s="37" t="n"/>
      <c r="U58" s="37" t="n"/>
      <c r="V58" s="37" t="n"/>
    </row>
    <row r="59">
      <c r="A59" s="37" t="n"/>
      <c r="B59" s="37" t="n"/>
      <c r="C59" s="37" t="n"/>
      <c r="D59" s="37" t="n"/>
      <c r="E59" s="37" t="n"/>
      <c r="F59" s="37" t="n"/>
      <c r="G59" s="37" t="n"/>
      <c r="H59" s="37" t="n"/>
      <c r="I59" s="37" t="n"/>
      <c r="J59" s="37" t="n"/>
      <c r="K59" s="37" t="n"/>
      <c r="L59" s="37" t="n"/>
      <c r="M59" s="37" t="n"/>
      <c r="N59" s="276" t="n"/>
      <c r="O59" s="276" t="n"/>
      <c r="P59" s="276" t="n"/>
      <c r="Q59" s="276" t="n"/>
      <c r="R59" s="276" t="n"/>
      <c r="S59" s="37" t="n"/>
      <c r="T59" s="37" t="n"/>
      <c r="U59" s="37" t="n"/>
      <c r="V59" s="37" t="n"/>
    </row>
    <row r="60">
      <c r="A60" s="37" t="n"/>
      <c r="B60" s="37" t="n"/>
      <c r="C60" s="37" t="n"/>
      <c r="D60" s="37" t="n"/>
      <c r="E60" s="37" t="n"/>
      <c r="F60" s="37" t="n"/>
      <c r="G60" s="37" t="n"/>
      <c r="H60" s="37" t="n"/>
      <c r="I60" s="37" t="n"/>
      <c r="J60" s="37" t="n"/>
      <c r="K60" s="37" t="n"/>
      <c r="L60" s="37" t="n"/>
      <c r="M60" s="37" t="n"/>
      <c r="N60" s="276" t="n"/>
      <c r="O60" s="276" t="n"/>
      <c r="P60" s="276" t="n"/>
      <c r="Q60" s="276" t="n"/>
      <c r="R60" s="276" t="n"/>
      <c r="S60" s="37" t="n"/>
      <c r="T60" s="37" t="n"/>
      <c r="U60" s="37" t="n"/>
      <c r="V60" s="37" t="n"/>
    </row>
    <row r="61">
      <c r="A61" s="37" t="n"/>
      <c r="B61" s="37" t="n"/>
      <c r="C61" s="37" t="n"/>
      <c r="D61" s="37" t="n"/>
      <c r="E61" s="37" t="n"/>
      <c r="F61" s="37" t="n"/>
      <c r="G61" s="37" t="n"/>
      <c r="H61" s="37" t="n"/>
      <c r="I61" s="37" t="n"/>
      <c r="J61" s="37" t="n"/>
      <c r="K61" s="37" t="n"/>
      <c r="L61" s="37" t="n"/>
      <c r="M61" s="37" t="n"/>
      <c r="N61" s="276" t="n"/>
      <c r="O61" s="276" t="n"/>
      <c r="P61" s="276" t="n"/>
      <c r="Q61" s="276" t="n"/>
      <c r="R61" s="276" t="n"/>
      <c r="S61" s="37" t="n"/>
      <c r="T61" s="37" t="n"/>
      <c r="U61" s="37" t="n"/>
      <c r="V61" s="37" t="n"/>
    </row>
    <row r="62">
      <c r="A62" s="37" t="n"/>
      <c r="B62" s="37" t="n"/>
      <c r="C62" s="37" t="n"/>
      <c r="D62" s="37" t="n"/>
      <c r="E62" s="37" t="n"/>
      <c r="F62" s="37" t="n"/>
      <c r="G62" s="37" t="n"/>
      <c r="H62" s="37" t="n"/>
      <c r="I62" s="37" t="n"/>
      <c r="J62" s="37" t="n"/>
      <c r="K62" s="37" t="n"/>
      <c r="L62" s="37" t="n"/>
      <c r="M62" s="37" t="n"/>
      <c r="N62" s="276" t="n"/>
      <c r="O62" s="276" t="n"/>
      <c r="P62" s="276" t="n"/>
      <c r="Q62" s="276" t="n"/>
      <c r="R62" s="276" t="n"/>
      <c r="S62" s="37" t="n"/>
      <c r="T62" s="37" t="n"/>
      <c r="U62" s="37" t="n"/>
      <c r="V62" s="37" t="n"/>
    </row>
    <row r="63">
      <c r="A63" s="37" t="n"/>
      <c r="B63" s="37" t="n"/>
      <c r="C63" s="37" t="n"/>
      <c r="D63" s="37" t="n"/>
      <c r="E63" s="37" t="n"/>
      <c r="F63" s="37" t="n"/>
      <c r="G63" s="37" t="n"/>
      <c r="H63" s="37" t="n"/>
      <c r="I63" s="37" t="n"/>
      <c r="J63" s="37" t="n"/>
      <c r="K63" s="37" t="n"/>
      <c r="L63" s="37" t="n"/>
      <c r="M63" s="37" t="n"/>
      <c r="N63" s="276" t="n"/>
      <c r="O63" s="276" t="n"/>
      <c r="P63" s="276" t="n"/>
      <c r="Q63" s="276" t="n"/>
      <c r="R63" s="276" t="n"/>
      <c r="S63" s="37" t="n"/>
      <c r="T63" s="37" t="n"/>
      <c r="U63" s="37" t="n"/>
      <c r="V63" s="37" t="n"/>
    </row>
    <row r="64">
      <c r="A64" s="37" t="n"/>
      <c r="B64" s="37" t="n"/>
      <c r="C64" s="37" t="n"/>
      <c r="D64" s="37" t="n"/>
      <c r="E64" s="37" t="n"/>
      <c r="F64" s="37" t="n"/>
      <c r="G64" s="37" t="n"/>
      <c r="H64" s="37" t="n"/>
      <c r="I64" s="37" t="n"/>
      <c r="J64" s="37" t="n"/>
      <c r="K64" s="37" t="n"/>
      <c r="L64" s="37" t="n"/>
      <c r="M64" s="37" t="n"/>
      <c r="N64" s="276" t="n"/>
      <c r="O64" s="276" t="n"/>
      <c r="P64" s="276" t="n"/>
      <c r="Q64" s="276" t="n"/>
      <c r="R64" s="276" t="n"/>
      <c r="S64" s="37" t="n"/>
      <c r="T64" s="37" t="n"/>
      <c r="U64" s="37" t="n"/>
      <c r="V64" s="37" t="n"/>
    </row>
    <row r="65">
      <c r="A65" s="37" t="n"/>
      <c r="B65" s="37" t="n"/>
      <c r="C65" s="37" t="n"/>
      <c r="D65" s="37" t="n"/>
      <c r="E65" s="37" t="n"/>
      <c r="F65" s="37" t="n"/>
      <c r="G65" s="37" t="n"/>
      <c r="H65" s="37" t="n"/>
      <c r="I65" s="37" t="n"/>
      <c r="J65" s="37" t="n"/>
      <c r="K65" s="37" t="n"/>
      <c r="L65" s="37" t="n"/>
      <c r="M65" s="37" t="n"/>
      <c r="N65" s="276" t="n"/>
      <c r="O65" s="276" t="n"/>
      <c r="P65" s="276" t="n"/>
      <c r="Q65" s="276" t="n"/>
      <c r="R65" s="276" t="n"/>
      <c r="S65" s="37" t="n"/>
      <c r="T65" s="37" t="n"/>
      <c r="U65" s="37" t="n"/>
      <c r="V65" s="37" t="n"/>
    </row>
    <row r="66">
      <c r="A66" s="37" t="n"/>
      <c r="B66" s="37" t="n"/>
      <c r="C66" s="37" t="n"/>
      <c r="D66" s="37" t="n"/>
      <c r="E66" s="37" t="n"/>
      <c r="F66" s="37" t="n"/>
      <c r="G66" s="37" t="n"/>
      <c r="H66" s="37" t="n"/>
      <c r="I66" s="37" t="n"/>
      <c r="J66" s="37" t="n"/>
      <c r="K66" s="37" t="n"/>
      <c r="L66" s="37" t="n"/>
      <c r="M66" s="37" t="n"/>
      <c r="N66" s="276" t="n"/>
      <c r="O66" s="276" t="n"/>
      <c r="P66" s="276" t="n"/>
      <c r="Q66" s="276" t="n"/>
      <c r="R66" s="276" t="n"/>
      <c r="S66" s="37" t="n"/>
      <c r="T66" s="37" t="n"/>
      <c r="U66" s="37" t="n"/>
      <c r="V66" s="37" t="n"/>
    </row>
    <row r="67">
      <c r="A67" s="37" t="n"/>
      <c r="B67" s="37" t="n"/>
      <c r="C67" s="37" t="n"/>
      <c r="D67" s="37" t="n"/>
      <c r="E67" s="37" t="n"/>
      <c r="F67" s="37" t="n"/>
      <c r="G67" s="37" t="n"/>
      <c r="H67" s="37" t="n"/>
      <c r="I67" s="37" t="n"/>
      <c r="J67" s="37" t="n"/>
      <c r="K67" s="37" t="n"/>
      <c r="L67" s="37" t="n"/>
      <c r="M67" s="37" t="n"/>
      <c r="N67" s="276" t="n"/>
      <c r="O67" s="276" t="n"/>
      <c r="P67" s="276" t="n"/>
      <c r="Q67" s="276" t="n"/>
      <c r="R67" s="276" t="n"/>
      <c r="S67" s="37" t="n"/>
      <c r="T67" s="37" t="n"/>
      <c r="U67" s="37" t="n"/>
      <c r="V67" s="37" t="n"/>
    </row>
    <row r="68">
      <c r="A68" s="37" t="n"/>
      <c r="B68" s="37" t="n"/>
      <c r="C68" s="37" t="n"/>
      <c r="D68" s="37" t="n"/>
      <c r="E68" s="37" t="n"/>
      <c r="F68" s="37" t="n"/>
      <c r="G68" s="37" t="n"/>
      <c r="H68" s="37" t="n"/>
      <c r="I68" s="37" t="n"/>
      <c r="J68" s="37" t="n"/>
      <c r="K68" s="37" t="n"/>
      <c r="L68" s="37" t="n"/>
      <c r="M68" s="37" t="n"/>
      <c r="N68" s="276" t="n"/>
      <c r="O68" s="276" t="n"/>
      <c r="P68" s="276" t="n"/>
      <c r="Q68" s="276" t="n"/>
      <c r="R68" s="276" t="n"/>
      <c r="S68" s="37" t="n"/>
      <c r="T68" s="37" t="n"/>
      <c r="U68" s="37" t="n"/>
      <c r="V68" s="37" t="n"/>
    </row>
    <row r="69">
      <c r="A69" s="37" t="n"/>
      <c r="B69" s="37" t="n"/>
      <c r="C69" s="37" t="n"/>
      <c r="D69" s="37" t="n"/>
      <c r="E69" s="37" t="n"/>
      <c r="F69" s="37" t="n"/>
      <c r="G69" s="37" t="n"/>
      <c r="H69" s="37" t="n"/>
      <c r="I69" s="37" t="n"/>
      <c r="J69" s="37" t="n"/>
      <c r="K69" s="37" t="n"/>
      <c r="L69" s="37" t="n"/>
      <c r="M69" s="37" t="n"/>
      <c r="N69" s="276" t="n"/>
      <c r="O69" s="276" t="n"/>
      <c r="P69" s="276" t="n"/>
      <c r="Q69" s="276" t="n"/>
      <c r="R69" s="276" t="n"/>
      <c r="S69" s="37" t="n"/>
      <c r="T69" s="37" t="n"/>
      <c r="U69" s="37" t="n"/>
      <c r="V69" s="37" t="n"/>
    </row>
    <row r="70">
      <c r="A70" s="37" t="n"/>
      <c r="B70" s="37" t="n"/>
      <c r="C70" s="37" t="n"/>
      <c r="D70" s="37" t="n"/>
      <c r="E70" s="37" t="n"/>
      <c r="F70" s="37" t="n"/>
      <c r="G70" s="37" t="n"/>
      <c r="H70" s="37" t="n"/>
      <c r="I70" s="37" t="n"/>
      <c r="J70" s="37" t="n"/>
      <c r="K70" s="37" t="n"/>
      <c r="L70" s="37" t="n"/>
      <c r="M70" s="37" t="n"/>
      <c r="N70" s="276" t="n"/>
      <c r="O70" s="276" t="n"/>
      <c r="P70" s="276" t="n"/>
      <c r="Q70" s="276" t="n"/>
      <c r="R70" s="276" t="n"/>
      <c r="S70" s="37" t="n"/>
      <c r="T70" s="37" t="n"/>
      <c r="U70" s="37" t="n"/>
      <c r="V70" s="37" t="n"/>
    </row>
    <row r="71">
      <c r="A71" s="37" t="n"/>
      <c r="B71" s="37" t="n"/>
      <c r="C71" s="37" t="n"/>
      <c r="D71" s="37" t="n"/>
      <c r="E71" s="37" t="n"/>
      <c r="F71" s="37" t="n"/>
      <c r="G71" s="37" t="n"/>
      <c r="H71" s="37" t="n"/>
      <c r="I71" s="37" t="n"/>
      <c r="J71" s="37" t="n"/>
      <c r="K71" s="37" t="n"/>
      <c r="L71" s="37" t="n"/>
      <c r="M71" s="37" t="n"/>
      <c r="N71" s="276" t="n"/>
      <c r="O71" s="276" t="n"/>
      <c r="P71" s="276" t="n"/>
      <c r="Q71" s="276" t="n"/>
      <c r="R71" s="276" t="n"/>
      <c r="S71" s="37" t="n"/>
      <c r="T71" s="37" t="n"/>
      <c r="U71" s="37" t="n"/>
      <c r="V71" s="37" t="n"/>
    </row>
    <row r="72">
      <c r="A72" s="37" t="n"/>
      <c r="B72" s="37" t="n"/>
      <c r="C72" s="37" t="n"/>
      <c r="D72" s="37" t="n"/>
      <c r="E72" s="37" t="n"/>
      <c r="F72" s="37" t="n"/>
      <c r="G72" s="37" t="n"/>
      <c r="H72" s="37" t="n"/>
      <c r="I72" s="37" t="n"/>
      <c r="J72" s="37" t="n"/>
      <c r="K72" s="37" t="n"/>
      <c r="L72" s="37" t="n"/>
      <c r="M72" s="37" t="n"/>
      <c r="N72" s="276" t="n"/>
      <c r="O72" s="276" t="n"/>
      <c r="P72" s="276" t="n"/>
      <c r="Q72" s="276" t="n"/>
      <c r="R72" s="276" t="n"/>
      <c r="S72" s="37" t="n"/>
      <c r="T72" s="37" t="n"/>
      <c r="U72" s="37" t="n"/>
      <c r="V72" s="37" t="n"/>
    </row>
    <row r="73">
      <c r="A73" s="37" t="n"/>
      <c r="B73" s="37" t="n"/>
      <c r="C73" s="37" t="n"/>
      <c r="D73" s="37" t="n"/>
      <c r="E73" s="37" t="n"/>
      <c r="F73" s="37" t="n"/>
      <c r="G73" s="37" t="n"/>
      <c r="H73" s="37" t="n"/>
      <c r="I73" s="37" t="n"/>
      <c r="J73" s="37" t="n"/>
      <c r="K73" s="37" t="n"/>
      <c r="L73" s="37" t="n"/>
      <c r="M73" s="37" t="n"/>
      <c r="N73" s="276" t="n"/>
      <c r="O73" s="276" t="n"/>
      <c r="P73" s="276" t="n"/>
      <c r="Q73" s="276" t="n"/>
      <c r="R73" s="276" t="n"/>
      <c r="S73" s="37" t="n"/>
      <c r="T73" s="37" t="n"/>
      <c r="U73" s="37" t="n"/>
      <c r="V73" s="37" t="n"/>
    </row>
    <row r="74">
      <c r="A74" s="37" t="n"/>
      <c r="B74" s="37" t="n"/>
      <c r="C74" s="37" t="n"/>
      <c r="D74" s="37" t="n"/>
      <c r="E74" s="37" t="n"/>
      <c r="F74" s="37" t="n"/>
      <c r="G74" s="37" t="n"/>
      <c r="H74" s="37" t="n"/>
      <c r="I74" s="37" t="n"/>
      <c r="J74" s="37" t="n"/>
      <c r="K74" s="37" t="n"/>
      <c r="L74" s="37" t="n"/>
      <c r="M74" s="37" t="n"/>
      <c r="N74" s="276" t="n"/>
      <c r="O74" s="276" t="n"/>
      <c r="P74" s="276" t="n"/>
      <c r="Q74" s="276" t="n"/>
      <c r="R74" s="276" t="n"/>
      <c r="S74" s="37" t="n"/>
      <c r="T74" s="37" t="n"/>
      <c r="U74" s="37" t="n"/>
      <c r="V74" s="37" t="n"/>
    </row>
    <row r="75">
      <c r="A75" s="37" t="n"/>
      <c r="B75" s="37" t="n"/>
      <c r="C75" s="37" t="n"/>
      <c r="D75" s="37" t="n"/>
      <c r="E75" s="37" t="n"/>
      <c r="F75" s="37" t="n"/>
      <c r="G75" s="37" t="n"/>
      <c r="H75" s="37" t="n"/>
      <c r="I75" s="37" t="n"/>
      <c r="J75" s="37" t="n"/>
      <c r="K75" s="37" t="n"/>
      <c r="L75" s="37" t="n"/>
      <c r="M75" s="37" t="n"/>
      <c r="N75" s="276" t="n"/>
      <c r="O75" s="276" t="n"/>
      <c r="P75" s="276" t="n"/>
      <c r="Q75" s="276" t="n"/>
      <c r="R75" s="276" t="n"/>
      <c r="S75" s="37" t="n"/>
      <c r="T75" s="37" t="n"/>
      <c r="U75" s="37" t="n"/>
      <c r="V75" s="37" t="n"/>
    </row>
    <row r="76">
      <c r="A76" s="37" t="n"/>
      <c r="B76" s="37" t="n"/>
      <c r="C76" s="37" t="n"/>
      <c r="D76" s="37" t="n"/>
      <c r="E76" s="37" t="n"/>
      <c r="F76" s="37" t="n"/>
      <c r="G76" s="37" t="n"/>
      <c r="H76" s="37" t="n"/>
      <c r="I76" s="37" t="n"/>
      <c r="J76" s="37" t="n"/>
      <c r="K76" s="37" t="n"/>
      <c r="L76" s="37" t="n"/>
      <c r="M76" s="37" t="n"/>
      <c r="N76" s="276" t="n"/>
      <c r="O76" s="276" t="n"/>
      <c r="P76" s="276" t="n"/>
      <c r="Q76" s="276" t="n"/>
      <c r="R76" s="276" t="n"/>
      <c r="S76" s="37" t="n"/>
      <c r="T76" s="37" t="n"/>
      <c r="U76" s="37" t="n"/>
      <c r="V76" s="37" t="n"/>
    </row>
    <row r="77">
      <c r="A77" s="37" t="n"/>
      <c r="B77" s="37" t="n"/>
      <c r="C77" s="37" t="n"/>
      <c r="D77" s="37" t="n"/>
      <c r="E77" s="37" t="n"/>
      <c r="F77" s="37" t="n"/>
      <c r="G77" s="37" t="n"/>
      <c r="H77" s="37" t="n"/>
      <c r="I77" s="37" t="n"/>
      <c r="J77" s="37" t="n"/>
      <c r="K77" s="37" t="n"/>
      <c r="L77" s="37" t="n"/>
      <c r="M77" s="37" t="n"/>
      <c r="N77" s="276" t="n"/>
      <c r="O77" s="276" t="n"/>
      <c r="P77" s="276" t="n"/>
      <c r="Q77" s="276" t="n"/>
      <c r="R77" s="276" t="n"/>
      <c r="S77" s="37" t="n"/>
      <c r="T77" s="37" t="n"/>
      <c r="U77" s="37" t="n"/>
      <c r="V77" s="37" t="n"/>
    </row>
    <row r="78">
      <c r="A78" s="37" t="n"/>
      <c r="B78" s="37" t="n"/>
      <c r="C78" s="37" t="n"/>
      <c r="D78" s="37" t="n"/>
      <c r="E78" s="37" t="n"/>
      <c r="F78" s="37" t="n"/>
      <c r="G78" s="37" t="n"/>
      <c r="H78" s="37" t="n"/>
      <c r="I78" s="37" t="n"/>
      <c r="J78" s="37" t="n"/>
      <c r="K78" s="37" t="n"/>
      <c r="L78" s="37" t="n"/>
      <c r="M78" s="37" t="n"/>
      <c r="N78" s="276" t="n"/>
      <c r="O78" s="276" t="n"/>
      <c r="P78" s="276" t="n"/>
      <c r="Q78" s="276" t="n"/>
      <c r="R78" s="276" t="n"/>
      <c r="S78" s="37" t="n"/>
      <c r="T78" s="37" t="n"/>
      <c r="U78" s="37" t="n"/>
      <c r="V78" s="37" t="n"/>
    </row>
    <row r="79">
      <c r="A79" s="37" t="n"/>
      <c r="B79" s="37" t="n"/>
      <c r="C79" s="37" t="n"/>
      <c r="D79" s="37" t="n"/>
      <c r="E79" s="37" t="n"/>
      <c r="F79" s="37" t="n"/>
      <c r="G79" s="37" t="n"/>
      <c r="H79" s="37" t="n"/>
      <c r="I79" s="37" t="n"/>
      <c r="J79" s="37" t="n"/>
      <c r="K79" s="37" t="n"/>
      <c r="L79" s="37" t="n"/>
      <c r="M79" s="37" t="n"/>
      <c r="N79" s="276" t="n"/>
      <c r="O79" s="276" t="n"/>
      <c r="P79" s="276" t="n"/>
      <c r="Q79" s="276" t="n"/>
      <c r="R79" s="276" t="n"/>
      <c r="S79" s="37" t="n"/>
      <c r="T79" s="37" t="n"/>
      <c r="U79" s="37" t="n"/>
      <c r="V79" s="37" t="n"/>
    </row>
    <row r="80">
      <c r="A80" s="37" t="n"/>
      <c r="B80" s="37" t="n"/>
      <c r="C80" s="37" t="n"/>
      <c r="D80" s="37" t="n"/>
      <c r="E80" s="37" t="n"/>
      <c r="F80" s="37" t="n"/>
      <c r="G80" s="37" t="n"/>
      <c r="H80" s="37" t="n"/>
      <c r="I80" s="37" t="n"/>
      <c r="J80" s="37" t="n"/>
      <c r="K80" s="37" t="n"/>
      <c r="L80" s="37" t="n"/>
      <c r="M80" s="37" t="n"/>
      <c r="N80" s="276" t="n"/>
      <c r="O80" s="276" t="n"/>
      <c r="P80" s="276" t="n"/>
      <c r="Q80" s="276" t="n"/>
      <c r="R80" s="276" t="n"/>
      <c r="S80" s="37" t="n"/>
      <c r="T80" s="37" t="n"/>
      <c r="U80" s="37" t="n"/>
      <c r="V80" s="37" t="n"/>
    </row>
    <row r="81">
      <c r="A81" s="37" t="n"/>
      <c r="B81" s="37" t="n"/>
      <c r="C81" s="37" t="n"/>
      <c r="D81" s="37" t="n"/>
      <c r="E81" s="37" t="n"/>
      <c r="F81" s="37" t="n"/>
      <c r="G81" s="37" t="n"/>
      <c r="H81" s="37" t="n"/>
      <c r="I81" s="37" t="n"/>
      <c r="J81" s="37" t="n"/>
      <c r="K81" s="37" t="n"/>
      <c r="L81" s="37" t="n"/>
      <c r="M81" s="37" t="n"/>
      <c r="N81" s="276" t="n"/>
      <c r="O81" s="276" t="n"/>
      <c r="P81" s="276" t="n"/>
      <c r="Q81" s="276" t="n"/>
      <c r="R81" s="276" t="n"/>
      <c r="S81" s="37" t="n"/>
      <c r="T81" s="37" t="n"/>
      <c r="U81" s="37" t="n"/>
      <c r="V81" s="37" t="n"/>
    </row>
    <row r="82">
      <c r="A82" s="37" t="n"/>
      <c r="B82" s="37" t="n"/>
      <c r="C82" s="37" t="n"/>
      <c r="D82" s="37" t="n"/>
      <c r="E82" s="37" t="n"/>
      <c r="F82" s="37" t="n"/>
      <c r="G82" s="37" t="n"/>
      <c r="H82" s="37" t="n"/>
      <c r="I82" s="37" t="n"/>
      <c r="J82" s="37" t="n"/>
      <c r="K82" s="37" t="n"/>
      <c r="L82" s="37" t="n"/>
      <c r="M82" s="37" t="n"/>
      <c r="N82" s="276" t="n"/>
      <c r="O82" s="276" t="n"/>
      <c r="P82" s="276" t="n"/>
      <c r="Q82" s="276" t="n"/>
      <c r="R82" s="276" t="n"/>
      <c r="S82" s="37" t="n"/>
      <c r="T82" s="37" t="n"/>
      <c r="U82" s="37" t="n"/>
      <c r="V82" s="37" t="n"/>
    </row>
    <row r="83">
      <c r="A83" s="37" t="n"/>
      <c r="B83" s="37" t="n"/>
      <c r="C83" s="37" t="n"/>
      <c r="D83" s="37" t="n"/>
      <c r="E83" s="37" t="n"/>
      <c r="F83" s="37" t="n"/>
      <c r="G83" s="37" t="n"/>
      <c r="H83" s="37" t="n"/>
      <c r="I83" s="37" t="n"/>
      <c r="J83" s="37" t="n"/>
      <c r="K83" s="37" t="n"/>
      <c r="L83" s="37" t="n"/>
      <c r="M83" s="37" t="n"/>
      <c r="N83" s="276" t="n"/>
      <c r="O83" s="276" t="n"/>
      <c r="P83" s="276" t="n"/>
      <c r="Q83" s="276" t="n"/>
      <c r="R83" s="276" t="n"/>
      <c r="S83" s="37" t="n"/>
      <c r="T83" s="37" t="n"/>
      <c r="U83" s="37" t="n"/>
      <c r="V83" s="37" t="n"/>
    </row>
    <row r="84">
      <c r="A84" s="37" t="n"/>
      <c r="B84" s="37" t="n"/>
      <c r="C84" s="37" t="n"/>
      <c r="D84" s="37" t="n"/>
      <c r="E84" s="37" t="n"/>
      <c r="F84" s="37" t="n"/>
      <c r="G84" s="37" t="n"/>
      <c r="H84" s="37" t="n"/>
      <c r="I84" s="37" t="n"/>
      <c r="J84" s="37" t="n"/>
      <c r="K84" s="37" t="n"/>
      <c r="L84" s="37" t="n"/>
      <c r="M84" s="37" t="n"/>
      <c r="N84" s="276" t="n"/>
      <c r="O84" s="276" t="n"/>
      <c r="P84" s="276" t="n"/>
      <c r="Q84" s="276" t="n"/>
      <c r="R84" s="276" t="n"/>
      <c r="S84" s="37" t="n"/>
      <c r="T84" s="37" t="n"/>
      <c r="U84" s="37" t="n"/>
      <c r="V84" s="37" t="n"/>
    </row>
    <row r="85">
      <c r="A85" s="37" t="n"/>
      <c r="B85" s="37" t="n"/>
      <c r="C85" s="37" t="n"/>
      <c r="D85" s="37" t="n"/>
      <c r="E85" s="37" t="n"/>
      <c r="F85" s="37" t="n"/>
      <c r="G85" s="37" t="n"/>
      <c r="H85" s="37" t="n"/>
      <c r="I85" s="37" t="n"/>
      <c r="J85" s="37" t="n"/>
      <c r="K85" s="37" t="n"/>
      <c r="L85" s="37" t="n"/>
      <c r="M85" s="37" t="n"/>
      <c r="N85" s="276" t="n"/>
      <c r="O85" s="276" t="n"/>
      <c r="P85" s="276" t="n"/>
      <c r="Q85" s="276" t="n"/>
      <c r="R85" s="276" t="n"/>
      <c r="S85" s="37" t="n"/>
      <c r="T85" s="37" t="n"/>
      <c r="U85" s="37" t="n"/>
      <c r="V85" s="37" t="n"/>
    </row>
    <row r="86">
      <c r="A86" s="37" t="n"/>
      <c r="B86" s="37" t="n"/>
      <c r="C86" s="37" t="n"/>
      <c r="D86" s="37" t="n"/>
      <c r="E86" s="37" t="n"/>
      <c r="F86" s="37" t="n"/>
      <c r="G86" s="37" t="n"/>
      <c r="H86" s="37" t="n"/>
      <c r="I86" s="37" t="n"/>
      <c r="J86" s="37" t="n"/>
      <c r="K86" s="37" t="n"/>
      <c r="L86" s="37" t="n"/>
      <c r="M86" s="37" t="n"/>
      <c r="N86" s="276" t="n"/>
      <c r="O86" s="276" t="n"/>
      <c r="P86" s="276" t="n"/>
      <c r="Q86" s="276" t="n"/>
      <c r="R86" s="276" t="n"/>
      <c r="S86" s="37" t="n"/>
      <c r="T86" s="37" t="n"/>
      <c r="U86" s="37" t="n"/>
      <c r="V86" s="37" t="n"/>
    </row>
    <row r="87">
      <c r="A87" s="37" t="n"/>
      <c r="B87" s="37" t="n"/>
      <c r="C87" s="37" t="n"/>
      <c r="D87" s="37" t="n"/>
      <c r="E87" s="37" t="n"/>
      <c r="F87" s="37" t="n"/>
      <c r="G87" s="37" t="n"/>
      <c r="H87" s="37" t="n"/>
      <c r="I87" s="37" t="n"/>
      <c r="J87" s="37" t="n"/>
      <c r="K87" s="37" t="n"/>
      <c r="L87" s="37" t="n"/>
      <c r="M87" s="37" t="n"/>
      <c r="N87" s="276" t="n"/>
      <c r="O87" s="276" t="n"/>
      <c r="P87" s="276" t="n"/>
      <c r="Q87" s="276" t="n"/>
      <c r="R87" s="276" t="n"/>
      <c r="S87" s="37" t="n"/>
      <c r="T87" s="37" t="n"/>
      <c r="U87" s="37" t="n"/>
      <c r="V87" s="37" t="n"/>
    </row>
    <row r="88">
      <c r="A88" s="37" t="n"/>
      <c r="B88" s="37" t="n"/>
      <c r="C88" s="37" t="n"/>
      <c r="D88" s="37" t="n"/>
      <c r="E88" s="37" t="n"/>
      <c r="F88" s="37" t="n"/>
      <c r="G88" s="37" t="n"/>
      <c r="H88" s="37" t="n"/>
      <c r="I88" s="37" t="n"/>
      <c r="J88" s="37" t="n"/>
      <c r="K88" s="37" t="n"/>
      <c r="L88" s="37" t="n"/>
      <c r="M88" s="37" t="n"/>
      <c r="N88" s="276" t="n"/>
      <c r="O88" s="276" t="n"/>
      <c r="P88" s="276" t="n"/>
      <c r="Q88" s="276" t="n"/>
      <c r="R88" s="276" t="n"/>
      <c r="S88" s="37" t="n"/>
      <c r="T88" s="37" t="n"/>
      <c r="U88" s="37" t="n"/>
      <c r="V88" s="37" t="n"/>
    </row>
    <row r="89">
      <c r="A89" s="37" t="n"/>
      <c r="B89" s="37" t="n"/>
      <c r="C89" s="37" t="n"/>
      <c r="D89" s="37" t="n"/>
      <c r="E89" s="37" t="n"/>
      <c r="F89" s="37" t="n"/>
      <c r="G89" s="37" t="n"/>
      <c r="H89" s="37" t="n"/>
      <c r="I89" s="37" t="n"/>
      <c r="J89" s="37" t="n"/>
      <c r="K89" s="37" t="n"/>
      <c r="L89" s="37" t="n"/>
      <c r="M89" s="37" t="n"/>
      <c r="N89" s="276" t="n"/>
      <c r="O89" s="276" t="n"/>
      <c r="P89" s="276" t="n"/>
      <c r="Q89" s="276" t="n"/>
      <c r="R89" s="276" t="n"/>
      <c r="S89" s="37" t="n"/>
      <c r="T89" s="37" t="n"/>
      <c r="U89" s="37" t="n"/>
      <c r="V89" s="37" t="n"/>
    </row>
    <row r="90">
      <c r="A90" s="37" t="n"/>
      <c r="B90" s="37" t="n"/>
      <c r="C90" s="37" t="n"/>
      <c r="D90" s="37" t="n"/>
      <c r="E90" s="37" t="n"/>
      <c r="F90" s="37" t="n"/>
      <c r="G90" s="37" t="n"/>
      <c r="H90" s="37" t="n"/>
      <c r="I90" s="37" t="n"/>
      <c r="J90" s="37" t="n"/>
      <c r="K90" s="37" t="n"/>
      <c r="L90" s="37" t="n"/>
      <c r="M90" s="37" t="n"/>
      <c r="N90" s="276" t="n"/>
      <c r="O90" s="276" t="n"/>
      <c r="P90" s="276" t="n"/>
      <c r="Q90" s="276" t="n"/>
      <c r="R90" s="276" t="n"/>
      <c r="S90" s="37" t="n"/>
      <c r="T90" s="37" t="n"/>
      <c r="U90" s="37" t="n"/>
      <c r="V90" s="37" t="n"/>
    </row>
    <row r="91">
      <c r="A91" s="37" t="n"/>
      <c r="B91" s="37" t="n"/>
      <c r="C91" s="37" t="n"/>
      <c r="D91" s="37" t="n"/>
      <c r="E91" s="37" t="n"/>
      <c r="F91" s="37" t="n"/>
      <c r="G91" s="37" t="n"/>
      <c r="H91" s="37" t="n"/>
      <c r="I91" s="37" t="n"/>
      <c r="J91" s="37" t="n"/>
      <c r="K91" s="37" t="n"/>
      <c r="L91" s="37" t="n"/>
      <c r="M91" s="37" t="n"/>
      <c r="N91" s="276" t="n"/>
      <c r="O91" s="276" t="n"/>
      <c r="P91" s="276" t="n"/>
      <c r="Q91" s="276" t="n"/>
      <c r="R91" s="276" t="n"/>
      <c r="S91" s="37" t="n"/>
      <c r="T91" s="37" t="n"/>
      <c r="U91" s="37" t="n"/>
      <c r="V91" s="37" t="n"/>
    </row>
    <row r="92">
      <c r="A92" s="37" t="n"/>
      <c r="B92" s="37" t="n"/>
      <c r="C92" s="37" t="n"/>
      <c r="D92" s="37" t="n"/>
      <c r="E92" s="37" t="n"/>
      <c r="F92" s="37" t="n"/>
      <c r="G92" s="37" t="n"/>
      <c r="H92" s="37" t="n"/>
      <c r="I92" s="37" t="n"/>
      <c r="J92" s="37" t="n"/>
      <c r="K92" s="37" t="n"/>
      <c r="L92" s="37" t="n"/>
      <c r="M92" s="37" t="n"/>
      <c r="N92" s="276" t="n"/>
      <c r="O92" s="276" t="n"/>
      <c r="P92" s="276" t="n"/>
      <c r="Q92" s="276" t="n"/>
      <c r="R92" s="276" t="n"/>
      <c r="S92" s="37" t="n"/>
      <c r="T92" s="37" t="n"/>
      <c r="U92" s="37" t="n"/>
      <c r="V92" s="37" t="n"/>
    </row>
    <row r="93">
      <c r="A93" s="37" t="n"/>
      <c r="B93" s="37" t="n"/>
      <c r="C93" s="37" t="n"/>
      <c r="D93" s="37" t="n"/>
      <c r="E93" s="37" t="n"/>
      <c r="F93" s="37" t="n"/>
      <c r="G93" s="37" t="n"/>
      <c r="H93" s="37" t="n"/>
      <c r="I93" s="37" t="n"/>
      <c r="J93" s="37" t="n"/>
      <c r="K93" s="37" t="n"/>
      <c r="L93" s="37" t="n"/>
      <c r="M93" s="37" t="n"/>
      <c r="N93" s="276" t="n"/>
      <c r="O93" s="276" t="n"/>
      <c r="P93" s="276" t="n"/>
      <c r="Q93" s="276" t="n"/>
      <c r="R93" s="276" t="n"/>
      <c r="S93" s="37" t="n"/>
      <c r="T93" s="37" t="n"/>
      <c r="U93" s="37" t="n"/>
      <c r="V93" s="37" t="n"/>
    </row>
    <row r="94">
      <c r="A94" s="37" t="n"/>
      <c r="B94" s="37" t="n"/>
      <c r="C94" s="37" t="n"/>
      <c r="D94" s="37" t="n"/>
      <c r="E94" s="37" t="n"/>
      <c r="F94" s="37" t="n"/>
      <c r="G94" s="37" t="n"/>
      <c r="H94" s="37" t="n"/>
      <c r="I94" s="37" t="n"/>
      <c r="J94" s="37" t="n"/>
      <c r="K94" s="37" t="n"/>
      <c r="L94" s="37" t="n"/>
      <c r="M94" s="37" t="n"/>
      <c r="N94" s="276" t="n"/>
      <c r="O94" s="276" t="n"/>
      <c r="P94" s="276" t="n"/>
      <c r="Q94" s="276" t="n"/>
      <c r="R94" s="276" t="n"/>
      <c r="S94" s="37" t="n"/>
      <c r="T94" s="37" t="n"/>
      <c r="U94" s="37" t="n"/>
      <c r="V94" s="37" t="n"/>
    </row>
    <row r="95">
      <c r="A95" s="37" t="n"/>
      <c r="B95" s="37" t="n"/>
      <c r="C95" s="37" t="n"/>
      <c r="D95" s="37" t="n"/>
      <c r="E95" s="37" t="n"/>
      <c r="F95" s="37" t="n"/>
      <c r="G95" s="37" t="n"/>
      <c r="H95" s="37" t="n"/>
      <c r="I95" s="37" t="n"/>
      <c r="J95" s="37" t="n"/>
      <c r="K95" s="37" t="n"/>
      <c r="L95" s="37" t="n"/>
      <c r="M95" s="37" t="n"/>
      <c r="N95" s="276" t="n"/>
      <c r="O95" s="276" t="n"/>
      <c r="P95" s="276" t="n"/>
      <c r="Q95" s="276" t="n"/>
      <c r="R95" s="276" t="n"/>
      <c r="S95" s="37" t="n"/>
      <c r="T95" s="37" t="n"/>
      <c r="U95" s="37" t="n"/>
      <c r="V95" s="37" t="n"/>
    </row>
    <row r="96">
      <c r="A96" s="37" t="n"/>
      <c r="B96" s="37" t="n"/>
      <c r="C96" s="37" t="n"/>
      <c r="D96" s="37" t="n"/>
      <c r="E96" s="37" t="n"/>
      <c r="F96" s="37" t="n"/>
      <c r="G96" s="37" t="n"/>
      <c r="H96" s="37" t="n"/>
      <c r="I96" s="37" t="n"/>
      <c r="J96" s="37" t="n"/>
      <c r="K96" s="37" t="n"/>
      <c r="L96" s="37" t="n"/>
      <c r="M96" s="37" t="n"/>
      <c r="N96" s="276" t="n"/>
      <c r="O96" s="276" t="n"/>
      <c r="P96" s="276" t="n"/>
      <c r="Q96" s="276" t="n"/>
      <c r="R96" s="276" t="n"/>
      <c r="S96" s="37" t="n"/>
      <c r="T96" s="37" t="n"/>
      <c r="U96" s="37" t="n"/>
      <c r="V96" s="37" t="n"/>
    </row>
    <row r="97">
      <c r="A97" s="37" t="n"/>
      <c r="B97" s="37" t="n"/>
      <c r="C97" s="37" t="n"/>
      <c r="D97" s="37" t="n"/>
      <c r="E97" s="37" t="n"/>
      <c r="F97" s="37" t="n"/>
      <c r="G97" s="37" t="n"/>
      <c r="H97" s="37" t="n"/>
      <c r="I97" s="37" t="n"/>
      <c r="J97" s="37" t="n"/>
      <c r="K97" s="37" t="n"/>
      <c r="L97" s="37" t="n"/>
      <c r="M97" s="37" t="n"/>
      <c r="N97" s="276" t="n"/>
      <c r="O97" s="276" t="n"/>
      <c r="P97" s="276" t="n"/>
      <c r="Q97" s="276" t="n"/>
      <c r="R97" s="276" t="n"/>
      <c r="S97" s="37" t="n"/>
      <c r="T97" s="37" t="n"/>
      <c r="U97" s="37" t="n"/>
      <c r="V97" s="37" t="n"/>
    </row>
    <row r="98">
      <c r="A98" s="37" t="n"/>
      <c r="B98" s="37" t="n"/>
      <c r="C98" s="37" t="n"/>
      <c r="D98" s="37" t="n"/>
      <c r="E98" s="37" t="n"/>
      <c r="F98" s="37" t="n"/>
      <c r="G98" s="37" t="n"/>
      <c r="H98" s="37" t="n"/>
      <c r="I98" s="37" t="n"/>
      <c r="J98" s="37" t="n"/>
      <c r="K98" s="37" t="n"/>
      <c r="L98" s="37" t="n"/>
      <c r="M98" s="37" t="n"/>
      <c r="N98" s="276" t="n"/>
      <c r="O98" s="276" t="n"/>
      <c r="P98" s="276" t="n"/>
      <c r="Q98" s="276" t="n"/>
      <c r="R98" s="276" t="n"/>
      <c r="S98" s="37" t="n"/>
      <c r="T98" s="37" t="n"/>
      <c r="U98" s="37" t="n"/>
      <c r="V98" s="37" t="n"/>
    </row>
    <row r="99">
      <c r="A99" s="37" t="n"/>
      <c r="B99" s="37" t="n"/>
      <c r="C99" s="37" t="n"/>
      <c r="D99" s="37" t="n"/>
      <c r="E99" s="37" t="n"/>
      <c r="F99" s="37" t="n"/>
      <c r="G99" s="37" t="n"/>
      <c r="H99" s="37" t="n"/>
      <c r="I99" s="37" t="n"/>
      <c r="J99" s="37" t="n"/>
      <c r="K99" s="37" t="n"/>
      <c r="L99" s="37" t="n"/>
      <c r="M99" s="37" t="n"/>
      <c r="N99" s="276" t="n"/>
      <c r="O99" s="276" t="n"/>
      <c r="P99" s="276" t="n"/>
      <c r="Q99" s="276" t="n"/>
      <c r="R99" s="276" t="n"/>
      <c r="S99" s="37" t="n"/>
      <c r="T99" s="37" t="n"/>
      <c r="U99" s="37" t="n"/>
      <c r="V99" s="37" t="n"/>
    </row>
    <row r="100">
      <c r="A100" s="37" t="n"/>
      <c r="B100" s="37" t="n"/>
      <c r="C100" s="37" t="n"/>
      <c r="D100" s="37" t="n"/>
      <c r="E100" s="37" t="n"/>
      <c r="F100" s="37" t="n"/>
      <c r="G100" s="37" t="n"/>
      <c r="H100" s="37" t="n"/>
      <c r="I100" s="37" t="n"/>
      <c r="J100" s="37" t="n"/>
      <c r="K100" s="37" t="n"/>
      <c r="L100" s="37" t="n"/>
      <c r="M100" s="37" t="n"/>
      <c r="N100" s="276" t="n"/>
      <c r="O100" s="276" t="n"/>
      <c r="P100" s="276" t="n"/>
      <c r="Q100" s="276" t="n"/>
      <c r="R100" s="276" t="n"/>
      <c r="S100" s="37" t="n"/>
      <c r="T100" s="37" t="n"/>
      <c r="U100" s="37" t="n"/>
      <c r="V100" s="37" t="n"/>
    </row>
    <row r="101">
      <c r="A101" s="37" t="n"/>
      <c r="B101" s="37" t="n"/>
      <c r="C101" s="37" t="n"/>
      <c r="D101" s="37" t="n"/>
      <c r="E101" s="37" t="n"/>
      <c r="F101" s="37" t="n"/>
      <c r="G101" s="37" t="n"/>
      <c r="H101" s="37" t="n"/>
      <c r="I101" s="37" t="n"/>
      <c r="J101" s="37" t="n"/>
      <c r="K101" s="37" t="n"/>
      <c r="L101" s="37" t="n"/>
      <c r="M101" s="37" t="n"/>
      <c r="N101" s="276" t="n"/>
      <c r="O101" s="276" t="n"/>
      <c r="P101" s="276" t="n"/>
      <c r="Q101" s="276" t="n"/>
      <c r="R101" s="276" t="n"/>
      <c r="S101" s="37" t="n"/>
      <c r="T101" s="37" t="n"/>
      <c r="U101" s="37" t="n"/>
      <c r="V101" s="37" t="n"/>
    </row>
    <row r="102">
      <c r="A102" s="37" t="n"/>
      <c r="B102" s="37" t="n"/>
      <c r="C102" s="37" t="n"/>
      <c r="D102" s="37" t="n"/>
      <c r="E102" s="37" t="n"/>
      <c r="F102" s="37" t="n"/>
      <c r="G102" s="37" t="n"/>
      <c r="H102" s="37" t="n"/>
      <c r="I102" s="37" t="n"/>
      <c r="J102" s="37" t="n"/>
      <c r="K102" s="37" t="n"/>
      <c r="L102" s="37" t="n"/>
      <c r="M102" s="37" t="n"/>
      <c r="N102" s="276" t="n"/>
      <c r="O102" s="276" t="n"/>
      <c r="P102" s="276" t="n"/>
      <c r="Q102" s="276" t="n"/>
      <c r="R102" s="276" t="n"/>
      <c r="S102" s="37" t="n"/>
      <c r="T102" s="37" t="n"/>
      <c r="U102" s="37" t="n"/>
      <c r="V102" s="37" t="n"/>
    </row>
    <row r="103">
      <c r="A103" s="37" t="n"/>
      <c r="B103" s="37" t="n"/>
      <c r="C103" s="37" t="n"/>
      <c r="D103" s="37" t="n"/>
      <c r="E103" s="37" t="n"/>
      <c r="F103" s="37" t="n"/>
      <c r="G103" s="37" t="n"/>
      <c r="H103" s="37" t="n"/>
      <c r="I103" s="37" t="n"/>
      <c r="J103" s="37" t="n"/>
      <c r="K103" s="37" t="n"/>
      <c r="L103" s="37" t="n"/>
      <c r="M103" s="37" t="n"/>
      <c r="N103" s="276" t="n"/>
      <c r="O103" s="276" t="n"/>
      <c r="P103" s="276" t="n"/>
      <c r="Q103" s="276" t="n"/>
      <c r="R103" s="276" t="n"/>
      <c r="S103" s="37" t="n"/>
      <c r="T103" s="37" t="n"/>
      <c r="U103" s="37" t="n"/>
      <c r="V103" s="37" t="n"/>
    </row>
    <row r="104">
      <c r="A104" s="37" t="n"/>
      <c r="B104" s="37" t="n"/>
      <c r="C104" s="37" t="n"/>
      <c r="D104" s="37" t="n"/>
      <c r="E104" s="37" t="n"/>
      <c r="F104" s="37" t="n"/>
      <c r="G104" s="37" t="n"/>
      <c r="H104" s="37" t="n"/>
      <c r="I104" s="37" t="n"/>
      <c r="J104" s="37" t="n"/>
      <c r="K104" s="37" t="n"/>
      <c r="L104" s="37" t="n"/>
      <c r="M104" s="37" t="n"/>
      <c r="N104" s="276" t="n"/>
      <c r="O104" s="276" t="n"/>
      <c r="P104" s="276" t="n"/>
      <c r="Q104" s="276" t="n"/>
      <c r="R104" s="276" t="n"/>
      <c r="S104" s="37" t="n"/>
      <c r="T104" s="37" t="n"/>
      <c r="U104" s="37" t="n"/>
      <c r="V104" s="37" t="n"/>
    </row>
    <row r="105">
      <c r="A105" s="37" t="n"/>
      <c r="B105" s="37" t="n"/>
      <c r="C105" s="37" t="n"/>
      <c r="D105" s="37" t="n"/>
      <c r="E105" s="37" t="n"/>
      <c r="F105" s="37" t="n"/>
      <c r="G105" s="37" t="n"/>
      <c r="H105" s="37" t="n"/>
      <c r="I105" s="37" t="n"/>
      <c r="J105" s="37" t="n"/>
      <c r="K105" s="37" t="n"/>
      <c r="L105" s="37" t="n"/>
      <c r="M105" s="37" t="n"/>
      <c r="N105" s="276" t="n"/>
      <c r="O105" s="276" t="n"/>
      <c r="P105" s="276" t="n"/>
      <c r="Q105" s="276" t="n"/>
      <c r="R105" s="276" t="n"/>
      <c r="S105" s="37" t="n"/>
      <c r="T105" s="37" t="n"/>
      <c r="U105" s="37" t="n"/>
      <c r="V105" s="37" t="n"/>
    </row>
    <row r="106">
      <c r="A106" s="37" t="n"/>
      <c r="B106" s="37" t="n"/>
      <c r="C106" s="37" t="n"/>
      <c r="D106" s="37" t="n"/>
      <c r="E106" s="37" t="n"/>
      <c r="F106" s="37" t="n"/>
      <c r="G106" s="37" t="n"/>
      <c r="H106" s="37" t="n"/>
      <c r="I106" s="37" t="n"/>
      <c r="J106" s="37" t="n"/>
      <c r="K106" s="37" t="n"/>
      <c r="L106" s="37" t="n"/>
      <c r="M106" s="37" t="n"/>
      <c r="N106" s="276" t="n"/>
      <c r="O106" s="276" t="n"/>
      <c r="P106" s="276" t="n"/>
      <c r="Q106" s="276" t="n"/>
      <c r="R106" s="276" t="n"/>
      <c r="S106" s="37" t="n"/>
      <c r="T106" s="37" t="n"/>
      <c r="U106" s="37" t="n"/>
      <c r="V106" s="37" t="n"/>
    </row>
    <row r="107">
      <c r="A107" s="37" t="n"/>
      <c r="B107" s="37" t="n"/>
      <c r="C107" s="37" t="n"/>
      <c r="D107" s="37" t="n"/>
      <c r="E107" s="37" t="n"/>
      <c r="F107" s="37" t="n"/>
      <c r="G107" s="37" t="n"/>
      <c r="H107" s="37" t="n"/>
      <c r="I107" s="37" t="n"/>
      <c r="J107" s="37" t="n"/>
      <c r="K107" s="37" t="n"/>
      <c r="L107" s="37" t="n"/>
      <c r="M107" s="37" t="n"/>
      <c r="N107" s="276" t="n"/>
      <c r="O107" s="276" t="n"/>
      <c r="P107" s="276" t="n"/>
      <c r="Q107" s="276" t="n"/>
      <c r="R107" s="276" t="n"/>
      <c r="S107" s="37" t="n"/>
      <c r="T107" s="37" t="n"/>
      <c r="U107" s="37" t="n"/>
      <c r="V107" s="37" t="n"/>
    </row>
    <row r="108">
      <c r="A108" s="37" t="n"/>
      <c r="B108" s="37" t="n"/>
      <c r="C108" s="37" t="n"/>
      <c r="D108" s="37" t="n"/>
      <c r="E108" s="37" t="n"/>
      <c r="F108" s="37" t="n"/>
      <c r="G108" s="37" t="n"/>
      <c r="H108" s="37" t="n"/>
      <c r="I108" s="37" t="n"/>
      <c r="J108" s="37" t="n"/>
      <c r="K108" s="37" t="n"/>
      <c r="L108" s="37" t="n"/>
      <c r="M108" s="37" t="n"/>
      <c r="N108" s="276" t="n"/>
      <c r="O108" s="276" t="n"/>
      <c r="P108" s="276" t="n"/>
      <c r="Q108" s="276" t="n"/>
      <c r="R108" s="276" t="n"/>
      <c r="S108" s="37" t="n"/>
      <c r="T108" s="37" t="n"/>
      <c r="U108" s="37" t="n"/>
      <c r="V108" s="37" t="n"/>
    </row>
    <row r="109">
      <c r="A109" s="37" t="n"/>
      <c r="B109" s="37" t="n"/>
      <c r="C109" s="37" t="n"/>
      <c r="D109" s="37" t="n"/>
      <c r="E109" s="37" t="n"/>
      <c r="F109" s="37" t="n"/>
      <c r="G109" s="37" t="n"/>
      <c r="H109" s="37" t="n"/>
      <c r="I109" s="37" t="n"/>
      <c r="J109" s="37" t="n"/>
      <c r="K109" s="37" t="n"/>
      <c r="L109" s="37" t="n"/>
      <c r="M109" s="37" t="n"/>
      <c r="N109" s="276" t="n"/>
      <c r="O109" s="276" t="n"/>
      <c r="P109" s="276" t="n"/>
      <c r="Q109" s="276" t="n"/>
      <c r="R109" s="276" t="n"/>
      <c r="S109" s="37" t="n"/>
      <c r="T109" s="37" t="n"/>
      <c r="U109" s="37" t="n"/>
      <c r="V109" s="37" t="n"/>
    </row>
    <row r="110">
      <c r="A110" s="37" t="n"/>
      <c r="B110" s="37" t="n"/>
      <c r="C110" s="37" t="n"/>
      <c r="D110" s="37" t="n"/>
      <c r="E110" s="37" t="n"/>
      <c r="F110" s="37" t="n"/>
      <c r="G110" s="37" t="n"/>
      <c r="H110" s="37" t="n"/>
      <c r="I110" s="37" t="n"/>
      <c r="J110" s="37" t="n"/>
      <c r="K110" s="37" t="n"/>
      <c r="L110" s="37" t="n"/>
      <c r="M110" s="37" t="n"/>
      <c r="N110" s="276" t="n"/>
      <c r="O110" s="276" t="n"/>
      <c r="P110" s="276" t="n"/>
      <c r="Q110" s="276" t="n"/>
      <c r="R110" s="276" t="n"/>
      <c r="S110" s="37" t="n"/>
      <c r="T110" s="37" t="n"/>
      <c r="U110" s="37" t="n"/>
      <c r="V110" s="37" t="n"/>
    </row>
    <row r="111">
      <c r="A111" s="37" t="n"/>
      <c r="B111" s="37" t="n"/>
      <c r="C111" s="37" t="n"/>
      <c r="D111" s="37" t="n"/>
      <c r="E111" s="37" t="n"/>
      <c r="F111" s="37" t="n"/>
      <c r="G111" s="37" t="n"/>
      <c r="H111" s="37" t="n"/>
      <c r="I111" s="37" t="n"/>
      <c r="J111" s="37" t="n"/>
      <c r="K111" s="37" t="n"/>
      <c r="L111" s="37" t="n"/>
      <c r="M111" s="37" t="n"/>
      <c r="N111" s="276" t="n"/>
      <c r="O111" s="276" t="n"/>
      <c r="P111" s="276" t="n"/>
      <c r="Q111" s="276" t="n"/>
      <c r="R111" s="276" t="n"/>
      <c r="S111" s="37" t="n"/>
      <c r="T111" s="37" t="n"/>
      <c r="U111" s="37" t="n"/>
      <c r="V111" s="37" t="n"/>
    </row>
    <row r="112">
      <c r="A112" s="37" t="n"/>
      <c r="B112" s="37" t="n"/>
      <c r="C112" s="37" t="n"/>
      <c r="D112" s="37" t="n"/>
      <c r="E112" s="37" t="n"/>
      <c r="F112" s="37" t="n"/>
      <c r="G112" s="37" t="n"/>
      <c r="H112" s="37" t="n"/>
      <c r="I112" s="37" t="n"/>
      <c r="J112" s="37" t="n"/>
      <c r="K112" s="37" t="n"/>
      <c r="L112" s="37" t="n"/>
      <c r="M112" s="37" t="n"/>
      <c r="N112" s="276" t="n"/>
      <c r="O112" s="276" t="n"/>
      <c r="P112" s="276" t="n"/>
      <c r="Q112" s="276" t="n"/>
      <c r="R112" s="276" t="n"/>
      <c r="S112" s="37" t="n"/>
      <c r="T112" s="37" t="n"/>
      <c r="U112" s="37" t="n"/>
      <c r="V112" s="37" t="n"/>
    </row>
    <row r="113">
      <c r="A113" s="37" t="n"/>
      <c r="B113" s="37" t="n"/>
      <c r="C113" s="37" t="n"/>
      <c r="D113" s="37" t="n"/>
      <c r="E113" s="37" t="n"/>
      <c r="F113" s="37" t="n"/>
      <c r="G113" s="37" t="n"/>
      <c r="H113" s="37" t="n"/>
      <c r="I113" s="37" t="n"/>
      <c r="J113" s="37" t="n"/>
      <c r="K113" s="37" t="n"/>
      <c r="L113" s="37" t="n"/>
      <c r="M113" s="37" t="n"/>
      <c r="N113" s="276" t="n"/>
      <c r="O113" s="276" t="n"/>
      <c r="P113" s="276" t="n"/>
      <c r="Q113" s="276" t="n"/>
      <c r="R113" s="276" t="n"/>
      <c r="S113" s="37" t="n"/>
      <c r="T113" s="37" t="n"/>
      <c r="U113" s="37" t="n"/>
      <c r="V113" s="37" t="n"/>
    </row>
    <row r="114">
      <c r="A114" s="37" t="n"/>
      <c r="B114" s="37" t="n"/>
      <c r="C114" s="37" t="n"/>
      <c r="D114" s="37" t="n"/>
      <c r="E114" s="37" t="n"/>
      <c r="F114" s="37" t="n"/>
      <c r="G114" s="37" t="n"/>
      <c r="H114" s="37" t="n"/>
      <c r="I114" s="37" t="n"/>
      <c r="J114" s="37" t="n"/>
      <c r="K114" s="37" t="n"/>
      <c r="L114" s="37" t="n"/>
      <c r="M114" s="37" t="n"/>
      <c r="N114" s="276" t="n"/>
      <c r="O114" s="276" t="n"/>
      <c r="P114" s="276" t="n"/>
      <c r="Q114" s="276" t="n"/>
      <c r="R114" s="276" t="n"/>
      <c r="S114" s="37" t="n"/>
      <c r="T114" s="37" t="n"/>
      <c r="U114" s="37" t="n"/>
      <c r="V114" s="37" t="n"/>
    </row>
    <row r="115">
      <c r="A115" s="37" t="n"/>
      <c r="B115" s="37" t="n"/>
      <c r="C115" s="37" t="n"/>
      <c r="D115" s="37" t="n"/>
      <c r="E115" s="37" t="n"/>
      <c r="F115" s="37" t="n"/>
      <c r="G115" s="37" t="n"/>
      <c r="H115" s="37" t="n"/>
      <c r="I115" s="37" t="n"/>
      <c r="J115" s="37" t="n"/>
      <c r="K115" s="37" t="n"/>
      <c r="L115" s="37" t="n"/>
      <c r="M115" s="37" t="n"/>
      <c r="N115" s="276" t="n"/>
      <c r="O115" s="276" t="n"/>
      <c r="P115" s="276" t="n"/>
      <c r="Q115" s="276" t="n"/>
      <c r="R115" s="276" t="n"/>
      <c r="S115" s="37" t="n"/>
      <c r="T115" s="37" t="n"/>
      <c r="U115" s="37" t="n"/>
      <c r="V115" s="37" t="n"/>
    </row>
    <row r="116">
      <c r="A116" s="37" t="n"/>
      <c r="B116" s="37" t="n"/>
      <c r="C116" s="37" t="n"/>
      <c r="D116" s="37" t="n"/>
      <c r="E116" s="37" t="n"/>
      <c r="F116" s="37" t="n"/>
      <c r="G116" s="37" t="n"/>
      <c r="H116" s="37" t="n"/>
      <c r="I116" s="37" t="n"/>
      <c r="J116" s="37" t="n"/>
      <c r="K116" s="37" t="n"/>
      <c r="L116" s="37" t="n"/>
      <c r="M116" s="37" t="n"/>
      <c r="N116" s="276" t="n"/>
      <c r="O116" s="276" t="n"/>
      <c r="P116" s="276" t="n"/>
      <c r="Q116" s="276" t="n"/>
      <c r="R116" s="276" t="n"/>
      <c r="S116" s="37" t="n"/>
      <c r="T116" s="37" t="n"/>
      <c r="U116" s="37" t="n"/>
      <c r="V116" s="37" t="n"/>
    </row>
    <row r="117">
      <c r="A117" s="37" t="n"/>
      <c r="B117" s="37" t="n"/>
      <c r="C117" s="37" t="n"/>
      <c r="D117" s="37" t="n"/>
      <c r="E117" s="37" t="n"/>
      <c r="F117" s="37" t="n"/>
      <c r="G117" s="37" t="n"/>
      <c r="H117" s="37" t="n"/>
      <c r="I117" s="37" t="n"/>
      <c r="J117" s="37" t="n"/>
      <c r="K117" s="37" t="n"/>
      <c r="L117" s="37" t="n"/>
      <c r="M117" s="37" t="n"/>
      <c r="N117" s="276" t="n"/>
      <c r="O117" s="276" t="n"/>
      <c r="P117" s="276" t="n"/>
      <c r="Q117" s="276" t="n"/>
      <c r="R117" s="276" t="n"/>
      <c r="S117" s="37" t="n"/>
      <c r="T117" s="37" t="n"/>
      <c r="U117" s="37" t="n"/>
      <c r="V117" s="37" t="n"/>
    </row>
    <row r="118">
      <c r="A118" s="37" t="n"/>
      <c r="B118" s="37" t="n"/>
      <c r="C118" s="37" t="n"/>
      <c r="D118" s="37" t="n"/>
      <c r="E118" s="37" t="n"/>
      <c r="F118" s="37" t="n"/>
      <c r="G118" s="37" t="n"/>
      <c r="H118" s="37" t="n"/>
      <c r="I118" s="37" t="n"/>
      <c r="J118" s="37" t="n"/>
      <c r="K118" s="37" t="n"/>
      <c r="L118" s="37" t="n"/>
      <c r="M118" s="37" t="n"/>
      <c r="N118" s="276" t="n"/>
      <c r="O118" s="276" t="n"/>
      <c r="P118" s="276" t="n"/>
      <c r="Q118" s="276" t="n"/>
      <c r="R118" s="276" t="n"/>
      <c r="S118" s="37" t="n"/>
      <c r="T118" s="37" t="n"/>
      <c r="U118" s="37" t="n"/>
      <c r="V118" s="37" t="n"/>
    </row>
    <row r="119">
      <c r="A119" s="37" t="n"/>
      <c r="B119" s="37" t="n"/>
      <c r="C119" s="37" t="n"/>
      <c r="D119" s="37" t="n"/>
      <c r="E119" s="37" t="n"/>
      <c r="F119" s="37" t="n"/>
      <c r="G119" s="37" t="n"/>
      <c r="H119" s="37" t="n"/>
      <c r="I119" s="37" t="n"/>
      <c r="J119" s="37" t="n"/>
      <c r="K119" s="37" t="n"/>
      <c r="L119" s="37" t="n"/>
      <c r="M119" s="37" t="n"/>
      <c r="N119" s="276" t="n"/>
      <c r="O119" s="276" t="n"/>
      <c r="P119" s="276" t="n"/>
      <c r="Q119" s="276" t="n"/>
      <c r="R119" s="276" t="n"/>
      <c r="S119" s="37" t="n"/>
      <c r="T119" s="37" t="n"/>
      <c r="U119" s="37" t="n"/>
      <c r="V119" s="37" t="n"/>
    </row>
    <row r="120">
      <c r="A120" s="37" t="n"/>
      <c r="B120" s="37" t="n"/>
      <c r="C120" s="37" t="n"/>
      <c r="D120" s="37" t="n"/>
      <c r="E120" s="37" t="n"/>
      <c r="F120" s="37" t="n"/>
      <c r="G120" s="37" t="n"/>
      <c r="H120" s="37" t="n"/>
      <c r="I120" s="37" t="n"/>
      <c r="J120" s="37" t="n"/>
      <c r="K120" s="37" t="n"/>
      <c r="L120" s="37" t="n"/>
      <c r="M120" s="37" t="n"/>
      <c r="N120" s="276" t="n"/>
      <c r="O120" s="276" t="n"/>
      <c r="P120" s="276" t="n"/>
      <c r="Q120" s="276" t="n"/>
      <c r="R120" s="276" t="n"/>
      <c r="S120" s="37" t="n"/>
      <c r="T120" s="37" t="n"/>
      <c r="U120" s="37" t="n"/>
      <c r="V120" s="37" t="n"/>
    </row>
    <row r="121">
      <c r="A121" s="37" t="n"/>
      <c r="B121" s="37" t="n"/>
      <c r="C121" s="37" t="n"/>
      <c r="D121" s="37" t="n"/>
      <c r="E121" s="37" t="n"/>
      <c r="F121" s="37" t="n"/>
      <c r="G121" s="37" t="n"/>
      <c r="H121" s="37" t="n"/>
      <c r="I121" s="37" t="n"/>
      <c r="J121" s="37" t="n"/>
      <c r="K121" s="37" t="n"/>
      <c r="L121" s="37" t="n"/>
      <c r="M121" s="37" t="n"/>
      <c r="N121" s="276" t="n"/>
      <c r="O121" s="276" t="n"/>
      <c r="P121" s="276" t="n"/>
      <c r="Q121" s="276" t="n"/>
      <c r="R121" s="276" t="n"/>
      <c r="S121" s="37" t="n"/>
      <c r="T121" s="37" t="n"/>
      <c r="U121" s="37" t="n"/>
      <c r="V121" s="37" t="n"/>
    </row>
    <row r="122">
      <c r="A122" s="37" t="n"/>
      <c r="B122" s="37" t="n"/>
      <c r="C122" s="37" t="n"/>
      <c r="D122" s="37" t="n"/>
      <c r="E122" s="37" t="n"/>
      <c r="F122" s="37" t="n"/>
      <c r="G122" s="37" t="n"/>
      <c r="H122" s="37" t="n"/>
      <c r="I122" s="37" t="n"/>
      <c r="J122" s="37" t="n"/>
      <c r="K122" s="37" t="n"/>
      <c r="L122" s="37" t="n"/>
      <c r="M122" s="37" t="n"/>
      <c r="N122" s="276" t="n"/>
      <c r="O122" s="276" t="n"/>
      <c r="P122" s="276" t="n"/>
      <c r="Q122" s="276" t="n"/>
      <c r="R122" s="276" t="n"/>
      <c r="S122" s="37" t="n"/>
      <c r="T122" s="37" t="n"/>
      <c r="U122" s="37" t="n"/>
      <c r="V122" s="37" t="n"/>
    </row>
    <row r="123">
      <c r="A123" s="37" t="n"/>
      <c r="B123" s="37" t="n"/>
      <c r="C123" s="37" t="n"/>
      <c r="D123" s="37" t="n"/>
      <c r="E123" s="37" t="n"/>
      <c r="F123" s="37" t="n"/>
      <c r="G123" s="37" t="n"/>
      <c r="H123" s="37" t="n"/>
      <c r="I123" s="37" t="n"/>
      <c r="J123" s="37" t="n"/>
      <c r="K123" s="37" t="n"/>
      <c r="L123" s="37" t="n"/>
      <c r="M123" s="37" t="n"/>
      <c r="N123" s="276" t="n"/>
      <c r="O123" s="276" t="n"/>
      <c r="P123" s="276" t="n"/>
      <c r="Q123" s="276" t="n"/>
      <c r="R123" s="276" t="n"/>
      <c r="S123" s="37" t="n"/>
      <c r="T123" s="37" t="n"/>
      <c r="U123" s="37" t="n"/>
      <c r="V123" s="37" t="n"/>
    </row>
    <row r="124">
      <c r="A124" s="37" t="n"/>
      <c r="B124" s="37" t="n"/>
      <c r="C124" s="37" t="n"/>
      <c r="D124" s="37" t="n"/>
      <c r="E124" s="37" t="n"/>
      <c r="F124" s="37" t="n"/>
      <c r="G124" s="37" t="n"/>
      <c r="H124" s="37" t="n"/>
      <c r="I124" s="37" t="n"/>
      <c r="J124" s="37" t="n"/>
      <c r="K124" s="37" t="n"/>
      <c r="L124" s="37" t="n"/>
      <c r="M124" s="37" t="n"/>
      <c r="N124" s="276" t="n"/>
      <c r="O124" s="276" t="n"/>
      <c r="P124" s="276" t="n"/>
      <c r="Q124" s="276" t="n"/>
      <c r="R124" s="276" t="n"/>
      <c r="S124" s="37" t="n"/>
      <c r="T124" s="37" t="n"/>
      <c r="U124" s="37" t="n"/>
      <c r="V124" s="37" t="n"/>
    </row>
    <row r="125">
      <c r="A125" s="37" t="n"/>
      <c r="B125" s="37" t="n"/>
      <c r="C125" s="37" t="n"/>
      <c r="D125" s="37" t="n"/>
      <c r="E125" s="37" t="n"/>
      <c r="F125" s="37" t="n"/>
      <c r="G125" s="37" t="n"/>
      <c r="H125" s="37" t="n"/>
      <c r="I125" s="37" t="n"/>
      <c r="J125" s="37" t="n"/>
      <c r="K125" s="37" t="n"/>
      <c r="L125" s="37" t="n"/>
      <c r="M125" s="37" t="n"/>
      <c r="N125" s="276" t="n"/>
      <c r="O125" s="276" t="n"/>
      <c r="P125" s="276" t="n"/>
      <c r="Q125" s="276" t="n"/>
      <c r="R125" s="276" t="n"/>
      <c r="S125" s="37" t="n"/>
      <c r="T125" s="37" t="n"/>
      <c r="U125" s="37" t="n"/>
      <c r="V125" s="37" t="n"/>
    </row>
    <row r="126">
      <c r="A126" s="37" t="n"/>
      <c r="B126" s="37" t="n"/>
      <c r="C126" s="37" t="n"/>
      <c r="D126" s="37" t="n"/>
      <c r="E126" s="37" t="n"/>
      <c r="F126" s="37" t="n"/>
      <c r="G126" s="37" t="n"/>
      <c r="H126" s="37" t="n"/>
      <c r="I126" s="37" t="n"/>
      <c r="J126" s="37" t="n"/>
      <c r="K126" s="37" t="n"/>
      <c r="L126" s="37" t="n"/>
      <c r="M126" s="37" t="n"/>
      <c r="N126" s="276" t="n"/>
      <c r="O126" s="276" t="n"/>
      <c r="P126" s="276" t="n"/>
      <c r="Q126" s="276" t="n"/>
      <c r="R126" s="276" t="n"/>
      <c r="S126" s="37" t="n"/>
      <c r="T126" s="37" t="n"/>
      <c r="U126" s="37" t="n"/>
      <c r="V126" s="37" t="n"/>
    </row>
    <row r="127">
      <c r="A127" s="37" t="n"/>
      <c r="B127" s="37" t="n"/>
      <c r="C127" s="37" t="n"/>
      <c r="D127" s="37" t="n"/>
      <c r="E127" s="37" t="n"/>
      <c r="F127" s="37" t="n"/>
      <c r="G127" s="37" t="n"/>
      <c r="H127" s="37" t="n"/>
      <c r="I127" s="37" t="n"/>
      <c r="J127" s="37" t="n"/>
      <c r="K127" s="37" t="n"/>
      <c r="L127" s="37" t="n"/>
      <c r="M127" s="37" t="n"/>
      <c r="N127" s="276" t="n"/>
      <c r="O127" s="276" t="n"/>
      <c r="P127" s="276" t="n"/>
      <c r="Q127" s="276" t="n"/>
      <c r="R127" s="276" t="n"/>
      <c r="S127" s="37" t="n"/>
      <c r="T127" s="37" t="n"/>
      <c r="U127" s="37" t="n"/>
      <c r="V127" s="37" t="n"/>
    </row>
    <row r="128">
      <c r="A128" s="37" t="n"/>
      <c r="B128" s="37" t="n"/>
      <c r="C128" s="37" t="n"/>
      <c r="D128" s="37" t="n"/>
      <c r="E128" s="37" t="n"/>
      <c r="F128" s="37" t="n"/>
      <c r="G128" s="37" t="n"/>
      <c r="H128" s="37" t="n"/>
      <c r="I128" s="37" t="n"/>
      <c r="J128" s="37" t="n"/>
      <c r="K128" s="37" t="n"/>
      <c r="L128" s="37" t="n"/>
      <c r="M128" s="37" t="n"/>
      <c r="N128" s="276" t="n"/>
      <c r="O128" s="276" t="n"/>
      <c r="P128" s="276" t="n"/>
      <c r="Q128" s="276" t="n"/>
      <c r="R128" s="276" t="n"/>
      <c r="S128" s="37" t="n"/>
      <c r="T128" s="37" t="n"/>
      <c r="U128" s="37" t="n"/>
      <c r="V128" s="37" t="n"/>
    </row>
    <row r="129">
      <c r="A129" s="37" t="n"/>
      <c r="B129" s="37" t="n"/>
      <c r="C129" s="37" t="n"/>
      <c r="D129" s="37" t="n"/>
      <c r="E129" s="37" t="n"/>
      <c r="F129" s="37" t="n"/>
      <c r="G129" s="37" t="n"/>
      <c r="H129" s="37" t="n"/>
      <c r="I129" s="37" t="n"/>
      <c r="J129" s="37" t="n"/>
      <c r="K129" s="37" t="n"/>
      <c r="L129" s="37" t="n"/>
      <c r="M129" s="37" t="n"/>
      <c r="N129" s="276" t="n"/>
      <c r="O129" s="276" t="n"/>
      <c r="P129" s="276" t="n"/>
      <c r="Q129" s="276" t="n"/>
      <c r="R129" s="276" t="n"/>
      <c r="S129" s="37" t="n"/>
      <c r="T129" s="37" t="n"/>
      <c r="U129" s="37" t="n"/>
      <c r="V129" s="37" t="n"/>
    </row>
    <row r="130">
      <c r="A130" s="37" t="n"/>
      <c r="B130" s="37" t="n"/>
      <c r="C130" s="37" t="n"/>
      <c r="D130" s="37" t="n"/>
      <c r="E130" s="37" t="n"/>
      <c r="F130" s="37" t="n"/>
      <c r="G130" s="37" t="n"/>
      <c r="H130" s="37" t="n"/>
      <c r="I130" s="37" t="n"/>
      <c r="J130" s="37" t="n"/>
      <c r="K130" s="37" t="n"/>
      <c r="L130" s="37" t="n"/>
      <c r="M130" s="37" t="n"/>
      <c r="N130" s="276" t="n"/>
      <c r="O130" s="276" t="n"/>
      <c r="P130" s="276" t="n"/>
      <c r="Q130" s="276" t="n"/>
      <c r="R130" s="276" t="n"/>
      <c r="S130" s="37" t="n"/>
      <c r="T130" s="37" t="n"/>
      <c r="U130" s="37" t="n"/>
      <c r="V130" s="37" t="n"/>
    </row>
    <row r="131">
      <c r="A131" s="37" t="n"/>
      <c r="B131" s="37" t="n"/>
      <c r="C131" s="37" t="n"/>
      <c r="D131" s="37" t="n"/>
      <c r="E131" s="37" t="n"/>
      <c r="F131" s="37" t="n"/>
      <c r="G131" s="37" t="n"/>
      <c r="H131" s="37" t="n"/>
      <c r="I131" s="37" t="n"/>
      <c r="J131" s="37" t="n"/>
      <c r="K131" s="37" t="n"/>
      <c r="L131" s="37" t="n"/>
      <c r="M131" s="37" t="n"/>
      <c r="N131" s="276" t="n"/>
      <c r="O131" s="276" t="n"/>
      <c r="P131" s="276" t="n"/>
      <c r="Q131" s="276" t="n"/>
      <c r="R131" s="276" t="n"/>
      <c r="S131" s="37" t="n"/>
      <c r="T131" s="37" t="n"/>
      <c r="U131" s="37" t="n"/>
      <c r="V131" s="37" t="n"/>
    </row>
    <row r="132">
      <c r="A132" s="37" t="n"/>
      <c r="B132" s="37" t="n"/>
      <c r="C132" s="37" t="n"/>
      <c r="D132" s="37" t="n"/>
      <c r="E132" s="37" t="n"/>
      <c r="F132" s="37" t="n"/>
      <c r="G132" s="37" t="n"/>
      <c r="H132" s="37" t="n"/>
      <c r="I132" s="37" t="n"/>
      <c r="J132" s="37" t="n"/>
      <c r="K132" s="37" t="n"/>
      <c r="L132" s="37" t="n"/>
      <c r="M132" s="37" t="n"/>
      <c r="N132" s="276" t="n"/>
      <c r="O132" s="276" t="n"/>
      <c r="P132" s="276" t="n"/>
      <c r="Q132" s="276" t="n"/>
      <c r="R132" s="276" t="n"/>
      <c r="S132" s="37" t="n"/>
      <c r="T132" s="37" t="n"/>
      <c r="U132" s="37" t="n"/>
      <c r="V132" s="37" t="n"/>
    </row>
    <row r="133">
      <c r="A133" s="37" t="n"/>
      <c r="B133" s="37" t="n"/>
      <c r="C133" s="37" t="n"/>
      <c r="D133" s="37" t="n"/>
      <c r="E133" s="37" t="n"/>
      <c r="F133" s="37" t="n"/>
      <c r="G133" s="37" t="n"/>
      <c r="H133" s="37" t="n"/>
      <c r="I133" s="37" t="n"/>
      <c r="J133" s="37" t="n"/>
      <c r="K133" s="37" t="n"/>
      <c r="L133" s="37" t="n"/>
      <c r="M133" s="37" t="n"/>
      <c r="N133" s="276" t="n"/>
      <c r="O133" s="276" t="n"/>
      <c r="P133" s="276" t="n"/>
      <c r="Q133" s="276" t="n"/>
      <c r="R133" s="276" t="n"/>
      <c r="S133" s="37" t="n"/>
      <c r="T133" s="37" t="n"/>
      <c r="U133" s="37" t="n"/>
      <c r="V133" s="37" t="n"/>
    </row>
    <row r="134">
      <c r="A134" s="37" t="n"/>
      <c r="B134" s="37" t="n"/>
      <c r="C134" s="37" t="n"/>
      <c r="D134" s="37" t="n"/>
      <c r="E134" s="37" t="n"/>
      <c r="F134" s="37" t="n"/>
      <c r="G134" s="37" t="n"/>
      <c r="H134" s="37" t="n"/>
      <c r="I134" s="37" t="n"/>
      <c r="J134" s="37" t="n"/>
      <c r="K134" s="37" t="n"/>
      <c r="L134" s="37" t="n"/>
      <c r="M134" s="37" t="n"/>
      <c r="N134" s="276" t="n"/>
      <c r="O134" s="276" t="n"/>
      <c r="P134" s="276" t="n"/>
      <c r="Q134" s="276" t="n"/>
      <c r="R134" s="276" t="n"/>
      <c r="S134" s="37" t="n"/>
      <c r="T134" s="37" t="n"/>
      <c r="U134" s="37" t="n"/>
      <c r="V134" s="37" t="n"/>
    </row>
    <row r="135">
      <c r="A135" s="37" t="n"/>
      <c r="B135" s="37" t="n"/>
      <c r="C135" s="37" t="n"/>
      <c r="D135" s="37" t="n"/>
      <c r="E135" s="37" t="n"/>
      <c r="F135" s="37" t="n"/>
      <c r="G135" s="37" t="n"/>
      <c r="H135" s="37" t="n"/>
      <c r="I135" s="37" t="n"/>
      <c r="J135" s="37" t="n"/>
      <c r="K135" s="37" t="n"/>
      <c r="L135" s="37" t="n"/>
      <c r="M135" s="37" t="n"/>
      <c r="N135" s="276" t="n"/>
      <c r="O135" s="276" t="n"/>
      <c r="P135" s="276" t="n"/>
      <c r="Q135" s="276" t="n"/>
      <c r="R135" s="276" t="n"/>
      <c r="S135" s="37" t="n"/>
      <c r="T135" s="37" t="n"/>
      <c r="U135" s="37" t="n"/>
      <c r="V135" s="37" t="n"/>
    </row>
    <row r="136">
      <c r="A136" s="37" t="n"/>
      <c r="B136" s="37" t="n"/>
      <c r="C136" s="37" t="n"/>
      <c r="D136" s="37" t="n"/>
      <c r="E136" s="37" t="n"/>
      <c r="F136" s="37" t="n"/>
      <c r="G136" s="37" t="n"/>
      <c r="H136" s="37" t="n"/>
      <c r="I136" s="37" t="n"/>
      <c r="J136" s="37" t="n"/>
      <c r="K136" s="37" t="n"/>
      <c r="L136" s="37" t="n"/>
      <c r="M136" s="37" t="n"/>
      <c r="N136" s="276" t="n"/>
      <c r="O136" s="276" t="n"/>
      <c r="P136" s="276" t="n"/>
      <c r="Q136" s="276" t="n"/>
      <c r="R136" s="276" t="n"/>
      <c r="S136" s="37" t="n"/>
      <c r="T136" s="37" t="n"/>
      <c r="U136" s="37" t="n"/>
      <c r="V136" s="37" t="n"/>
    </row>
    <row r="137">
      <c r="A137" s="37" t="n"/>
      <c r="B137" s="37" t="n"/>
      <c r="C137" s="37" t="n"/>
      <c r="D137" s="37" t="n"/>
      <c r="E137" s="37" t="n"/>
      <c r="F137" s="37" t="n"/>
      <c r="G137" s="37" t="n"/>
      <c r="H137" s="37" t="n"/>
      <c r="I137" s="37" t="n"/>
      <c r="J137" s="37" t="n"/>
      <c r="K137" s="37" t="n"/>
      <c r="L137" s="37" t="n"/>
      <c r="M137" s="37" t="n"/>
      <c r="N137" s="276" t="n"/>
      <c r="O137" s="276" t="n"/>
      <c r="P137" s="276" t="n"/>
      <c r="Q137" s="276" t="n"/>
      <c r="R137" s="276" t="n"/>
      <c r="S137" s="37" t="n"/>
      <c r="T137" s="37" t="n"/>
      <c r="U137" s="37" t="n"/>
      <c r="V137" s="37" t="n"/>
    </row>
    <row r="138">
      <c r="A138" s="37" t="n"/>
      <c r="B138" s="37" t="n"/>
      <c r="C138" s="37" t="n"/>
      <c r="D138" s="37" t="n"/>
      <c r="E138" s="37" t="n"/>
      <c r="F138" s="37" t="n"/>
      <c r="G138" s="37" t="n"/>
      <c r="H138" s="37" t="n"/>
      <c r="I138" s="37" t="n"/>
      <c r="J138" s="37" t="n"/>
      <c r="K138" s="37" t="n"/>
      <c r="L138" s="37" t="n"/>
      <c r="M138" s="37" t="n"/>
      <c r="N138" s="276" t="n"/>
      <c r="O138" s="276" t="n"/>
      <c r="P138" s="276" t="n"/>
      <c r="Q138" s="276" t="n"/>
      <c r="R138" s="276" t="n"/>
      <c r="S138" s="37" t="n"/>
      <c r="T138" s="37" t="n"/>
      <c r="U138" s="37" t="n"/>
      <c r="V138" s="37" t="n"/>
    </row>
    <row r="139">
      <c r="A139" s="37" t="n"/>
      <c r="B139" s="37" t="n"/>
      <c r="C139" s="37" t="n"/>
      <c r="D139" s="37" t="n"/>
      <c r="E139" s="37" t="n"/>
      <c r="F139" s="37" t="n"/>
      <c r="G139" s="37" t="n"/>
      <c r="H139" s="37" t="n"/>
      <c r="I139" s="37" t="n"/>
      <c r="J139" s="37" t="n"/>
      <c r="K139" s="37" t="n"/>
      <c r="L139" s="37" t="n"/>
      <c r="M139" s="37" t="n"/>
      <c r="N139" s="276" t="n"/>
      <c r="O139" s="276" t="n"/>
      <c r="P139" s="276" t="n"/>
      <c r="Q139" s="276" t="n"/>
      <c r="R139" s="276" t="n"/>
      <c r="S139" s="37" t="n"/>
      <c r="T139" s="37" t="n"/>
      <c r="U139" s="37" t="n"/>
      <c r="V139" s="37" t="n"/>
    </row>
    <row r="140">
      <c r="A140" s="37" t="n"/>
      <c r="B140" s="37" t="n"/>
      <c r="C140" s="37" t="n"/>
      <c r="D140" s="37" t="n"/>
      <c r="E140" s="37" t="n"/>
      <c r="F140" s="37" t="n"/>
      <c r="G140" s="37" t="n"/>
      <c r="H140" s="37" t="n"/>
      <c r="I140" s="37" t="n"/>
      <c r="J140" s="37" t="n"/>
      <c r="K140" s="37" t="n"/>
      <c r="L140" s="37" t="n"/>
      <c r="M140" s="37" t="n"/>
      <c r="N140" s="276" t="n"/>
      <c r="O140" s="276" t="n"/>
      <c r="P140" s="276" t="n"/>
      <c r="Q140" s="276" t="n"/>
      <c r="R140" s="276" t="n"/>
      <c r="S140" s="37" t="n"/>
      <c r="T140" s="37" t="n"/>
      <c r="U140" s="37" t="n"/>
      <c r="V140" s="37" t="n"/>
    </row>
    <row r="141">
      <c r="A141" s="37" t="n"/>
      <c r="B141" s="37" t="n"/>
      <c r="C141" s="37" t="n"/>
      <c r="D141" s="37" t="n"/>
      <c r="E141" s="37" t="n"/>
      <c r="F141" s="37" t="n"/>
      <c r="G141" s="37" t="n"/>
      <c r="H141" s="37" t="n"/>
      <c r="I141" s="37" t="n"/>
      <c r="J141" s="37" t="n"/>
      <c r="K141" s="37" t="n"/>
      <c r="L141" s="37" t="n"/>
      <c r="M141" s="37" t="n"/>
      <c r="N141" s="276" t="n"/>
      <c r="O141" s="276" t="n"/>
      <c r="P141" s="276" t="n"/>
      <c r="Q141" s="276" t="n"/>
      <c r="R141" s="276" t="n"/>
      <c r="S141" s="37" t="n"/>
      <c r="T141" s="37" t="n"/>
      <c r="U141" s="37" t="n"/>
      <c r="V141" s="37" t="n"/>
    </row>
    <row r="142">
      <c r="A142" s="37" t="n"/>
      <c r="B142" s="37" t="n"/>
      <c r="C142" s="37" t="n"/>
      <c r="D142" s="37" t="n"/>
      <c r="E142" s="37" t="n"/>
      <c r="F142" s="37" t="n"/>
      <c r="G142" s="37" t="n"/>
      <c r="H142" s="37" t="n"/>
      <c r="I142" s="37" t="n"/>
      <c r="J142" s="37" t="n"/>
      <c r="K142" s="37" t="n"/>
      <c r="L142" s="37" t="n"/>
      <c r="M142" s="37" t="n"/>
      <c r="N142" s="276" t="n"/>
      <c r="O142" s="276" t="n"/>
      <c r="P142" s="276" t="n"/>
      <c r="Q142" s="276" t="n"/>
      <c r="R142" s="276" t="n"/>
      <c r="S142" s="37" t="n"/>
      <c r="T142" s="37" t="n"/>
      <c r="U142" s="37" t="n"/>
      <c r="V142" s="37" t="n"/>
    </row>
    <row r="143">
      <c r="A143" s="37" t="n"/>
      <c r="B143" s="37" t="n"/>
      <c r="C143" s="37" t="n"/>
      <c r="D143" s="37" t="n"/>
      <c r="E143" s="37" t="n"/>
      <c r="F143" s="37" t="n"/>
      <c r="G143" s="37" t="n"/>
      <c r="H143" s="37" t="n"/>
      <c r="I143" s="37" t="n"/>
      <c r="J143" s="37" t="n"/>
      <c r="K143" s="37" t="n"/>
      <c r="L143" s="37" t="n"/>
      <c r="M143" s="37" t="n"/>
      <c r="N143" s="276" t="n"/>
      <c r="O143" s="276" t="n"/>
      <c r="P143" s="276" t="n"/>
      <c r="Q143" s="276" t="n"/>
      <c r="R143" s="276" t="n"/>
      <c r="S143" s="37" t="n"/>
      <c r="T143" s="37" t="n"/>
      <c r="U143" s="37" t="n"/>
      <c r="V143" s="37" t="n"/>
    </row>
    <row r="144">
      <c r="A144" s="37" t="n"/>
      <c r="B144" s="37" t="n"/>
      <c r="C144" s="37" t="n"/>
      <c r="D144" s="37" t="n"/>
      <c r="E144" s="37" t="n"/>
      <c r="F144" s="37" t="n"/>
      <c r="G144" s="37" t="n"/>
      <c r="H144" s="37" t="n"/>
      <c r="I144" s="37" t="n"/>
      <c r="J144" s="37" t="n"/>
      <c r="K144" s="37" t="n"/>
      <c r="L144" s="37" t="n"/>
      <c r="M144" s="37" t="n"/>
      <c r="N144" s="276" t="n"/>
      <c r="O144" s="276" t="n"/>
      <c r="P144" s="276" t="n"/>
      <c r="Q144" s="276" t="n"/>
      <c r="R144" s="276" t="n"/>
      <c r="S144" s="37" t="n"/>
      <c r="T144" s="37" t="n"/>
      <c r="U144" s="37" t="n"/>
      <c r="V144" s="37" t="n"/>
    </row>
    <row r="145">
      <c r="A145" s="37" t="n"/>
      <c r="B145" s="37" t="n"/>
      <c r="C145" s="37" t="n"/>
      <c r="D145" s="37" t="n"/>
      <c r="E145" s="37" t="n"/>
      <c r="F145" s="37" t="n"/>
      <c r="G145" s="37" t="n"/>
      <c r="H145" s="37" t="n"/>
      <c r="I145" s="37" t="n"/>
      <c r="J145" s="37" t="n"/>
      <c r="K145" s="37" t="n"/>
      <c r="L145" s="37" t="n"/>
      <c r="M145" s="37" t="n"/>
      <c r="N145" s="276" t="n"/>
      <c r="O145" s="276" t="n"/>
      <c r="P145" s="276" t="n"/>
      <c r="Q145" s="276" t="n"/>
      <c r="R145" s="276" t="n"/>
      <c r="S145" s="37" t="n"/>
      <c r="T145" s="37" t="n"/>
      <c r="U145" s="37" t="n"/>
      <c r="V145" s="37" t="n"/>
    </row>
    <row r="146">
      <c r="A146" s="37" t="n"/>
      <c r="B146" s="37" t="n"/>
      <c r="C146" s="37" t="n"/>
      <c r="D146" s="37" t="n"/>
      <c r="E146" s="37" t="n"/>
      <c r="F146" s="37" t="n"/>
      <c r="G146" s="37" t="n"/>
      <c r="H146" s="37" t="n"/>
      <c r="I146" s="37" t="n"/>
      <c r="J146" s="37" t="n"/>
      <c r="K146" s="37" t="n"/>
      <c r="L146" s="37" t="n"/>
      <c r="M146" s="37" t="n"/>
      <c r="N146" s="276" t="n"/>
      <c r="O146" s="276" t="n"/>
      <c r="P146" s="276" t="n"/>
      <c r="Q146" s="276" t="n"/>
      <c r="R146" s="276" t="n"/>
      <c r="S146" s="37" t="n"/>
      <c r="T146" s="37" t="n"/>
      <c r="U146" s="37" t="n"/>
      <c r="V146" s="37" t="n"/>
    </row>
    <row r="147">
      <c r="A147" s="37" t="n"/>
      <c r="B147" s="37" t="n"/>
      <c r="C147" s="37" t="n"/>
      <c r="D147" s="37" t="n"/>
      <c r="E147" s="37" t="n"/>
      <c r="F147" s="37" t="n"/>
      <c r="G147" s="37" t="n"/>
      <c r="H147" s="37" t="n"/>
      <c r="I147" s="37" t="n"/>
      <c r="J147" s="37" t="n"/>
      <c r="K147" s="37" t="n"/>
      <c r="L147" s="37" t="n"/>
      <c r="M147" s="37" t="n"/>
      <c r="N147" s="276" t="n"/>
      <c r="O147" s="276" t="n"/>
      <c r="P147" s="276" t="n"/>
      <c r="Q147" s="276" t="n"/>
      <c r="R147" s="276" t="n"/>
      <c r="S147" s="37" t="n"/>
      <c r="T147" s="37" t="n"/>
      <c r="U147" s="37" t="n"/>
      <c r="V147" s="37" t="n"/>
    </row>
    <row r="148">
      <c r="A148" s="37" t="n"/>
      <c r="B148" s="37" t="n"/>
      <c r="C148" s="37" t="n"/>
      <c r="D148" s="37" t="n"/>
      <c r="E148" s="37" t="n"/>
      <c r="F148" s="37" t="n"/>
      <c r="G148" s="37" t="n"/>
      <c r="H148" s="37" t="n"/>
      <c r="I148" s="37" t="n"/>
      <c r="J148" s="37" t="n"/>
      <c r="K148" s="37" t="n"/>
      <c r="L148" s="37" t="n"/>
      <c r="M148" s="37" t="n"/>
      <c r="N148" s="276" t="n"/>
      <c r="O148" s="276" t="n"/>
      <c r="P148" s="276" t="n"/>
      <c r="Q148" s="276" t="n"/>
      <c r="R148" s="276" t="n"/>
      <c r="S148" s="37" t="n"/>
      <c r="T148" s="37" t="n"/>
      <c r="U148" s="37" t="n"/>
      <c r="V148" s="37" t="n"/>
    </row>
    <row r="149">
      <c r="A149" s="37" t="n"/>
      <c r="B149" s="37" t="n"/>
      <c r="C149" s="37" t="n"/>
      <c r="D149" s="37" t="n"/>
      <c r="E149" s="37" t="n"/>
      <c r="F149" s="37" t="n"/>
      <c r="G149" s="37" t="n"/>
      <c r="H149" s="37" t="n"/>
      <c r="I149" s="37" t="n"/>
      <c r="J149" s="37" t="n"/>
      <c r="K149" s="37" t="n"/>
      <c r="L149" s="37" t="n"/>
      <c r="M149" s="37" t="n"/>
      <c r="N149" s="276" t="n"/>
      <c r="O149" s="276" t="n"/>
      <c r="P149" s="276" t="n"/>
      <c r="Q149" s="276" t="n"/>
      <c r="R149" s="276" t="n"/>
      <c r="S149" s="37" t="n"/>
      <c r="T149" s="37" t="n"/>
      <c r="U149" s="37" t="n"/>
      <c r="V149" s="37" t="n"/>
    </row>
    <row r="150">
      <c r="A150" s="37" t="n"/>
      <c r="B150" s="37" t="n"/>
      <c r="C150" s="37" t="n"/>
      <c r="D150" s="37" t="n"/>
      <c r="E150" s="37" t="n"/>
      <c r="F150" s="37" t="n"/>
      <c r="G150" s="37" t="n"/>
      <c r="H150" s="37" t="n"/>
      <c r="I150" s="37" t="n"/>
      <c r="J150" s="37" t="n"/>
      <c r="K150" s="37" t="n"/>
      <c r="L150" s="37" t="n"/>
      <c r="M150" s="37" t="n"/>
      <c r="N150" s="276" t="n"/>
      <c r="O150" s="276" t="n"/>
      <c r="P150" s="276" t="n"/>
      <c r="Q150" s="276" t="n"/>
      <c r="R150" s="276" t="n"/>
      <c r="S150" s="37" t="n"/>
      <c r="T150" s="37" t="n"/>
      <c r="U150" s="37" t="n"/>
      <c r="V150" s="37" t="n"/>
    </row>
    <row r="151">
      <c r="A151" s="37" t="n"/>
      <c r="B151" s="37" t="n"/>
      <c r="C151" s="37" t="n"/>
      <c r="D151" s="37" t="n"/>
      <c r="E151" s="37" t="n"/>
      <c r="F151" s="37" t="n"/>
      <c r="G151" s="37" t="n"/>
      <c r="H151" s="37" t="n"/>
      <c r="I151" s="37" t="n"/>
      <c r="J151" s="37" t="n"/>
      <c r="K151" s="37" t="n"/>
      <c r="L151" s="37" t="n"/>
      <c r="M151" s="37" t="n"/>
      <c r="N151" s="276" t="n"/>
      <c r="O151" s="276" t="n"/>
      <c r="P151" s="276" t="n"/>
      <c r="Q151" s="276" t="n"/>
      <c r="R151" s="276" t="n"/>
      <c r="S151" s="37" t="n"/>
      <c r="T151" s="37" t="n"/>
      <c r="U151" s="37" t="n"/>
      <c r="V151" s="37" t="n"/>
    </row>
    <row r="152">
      <c r="A152" s="37" t="n"/>
      <c r="B152" s="37" t="n"/>
      <c r="C152" s="37" t="n"/>
      <c r="D152" s="37" t="n"/>
      <c r="E152" s="37" t="n"/>
      <c r="F152" s="37" t="n"/>
      <c r="G152" s="37" t="n"/>
      <c r="H152" s="37" t="n"/>
      <c r="I152" s="37" t="n"/>
      <c r="J152" s="37" t="n"/>
      <c r="K152" s="37" t="n"/>
      <c r="L152" s="37" t="n"/>
      <c r="M152" s="37" t="n"/>
      <c r="N152" s="276" t="n"/>
      <c r="O152" s="276" t="n"/>
      <c r="P152" s="276" t="n"/>
      <c r="Q152" s="276" t="n"/>
      <c r="R152" s="276" t="n"/>
      <c r="S152" s="37" t="n"/>
      <c r="T152" s="37" t="n"/>
      <c r="U152" s="37" t="n"/>
      <c r="V152" s="37" t="n"/>
    </row>
    <row r="153">
      <c r="A153" s="37" t="n"/>
      <c r="B153" s="37" t="n"/>
      <c r="C153" s="37" t="n"/>
      <c r="D153" s="37" t="n"/>
      <c r="E153" s="37" t="n"/>
      <c r="F153" s="37" t="n"/>
      <c r="G153" s="37" t="n"/>
      <c r="H153" s="37" t="n"/>
      <c r="I153" s="37" t="n"/>
      <c r="J153" s="37" t="n"/>
      <c r="K153" s="37" t="n"/>
      <c r="L153" s="37" t="n"/>
      <c r="M153" s="37" t="n"/>
      <c r="N153" s="276" t="n"/>
      <c r="O153" s="276" t="n"/>
      <c r="P153" s="276" t="n"/>
      <c r="Q153" s="276" t="n"/>
      <c r="R153" s="276" t="n"/>
      <c r="S153" s="37" t="n"/>
      <c r="T153" s="37" t="n"/>
      <c r="U153" s="37" t="n"/>
      <c r="V153" s="37" t="n"/>
    </row>
    <row r="154">
      <c r="A154" s="37" t="n"/>
      <c r="B154" s="37" t="n"/>
      <c r="C154" s="37" t="n"/>
      <c r="D154" s="37" t="n"/>
      <c r="E154" s="37" t="n"/>
      <c r="F154" s="37" t="n"/>
      <c r="G154" s="37" t="n"/>
      <c r="H154" s="37" t="n"/>
      <c r="I154" s="37" t="n"/>
      <c r="J154" s="37" t="n"/>
      <c r="K154" s="37" t="n"/>
      <c r="L154" s="37" t="n"/>
      <c r="M154" s="37" t="n"/>
      <c r="N154" s="276" t="n"/>
      <c r="O154" s="276" t="n"/>
      <c r="P154" s="276" t="n"/>
      <c r="Q154" s="276" t="n"/>
      <c r="R154" s="276" t="n"/>
      <c r="S154" s="37" t="n"/>
      <c r="T154" s="37" t="n"/>
      <c r="U154" s="37" t="n"/>
      <c r="V154" s="37" t="n"/>
    </row>
    <row r="155">
      <c r="A155" s="37" t="n"/>
      <c r="B155" s="37" t="n"/>
      <c r="C155" s="37" t="n"/>
      <c r="D155" s="37" t="n"/>
      <c r="E155" s="37" t="n"/>
      <c r="F155" s="37" t="n"/>
      <c r="G155" s="37" t="n"/>
      <c r="H155" s="37" t="n"/>
      <c r="I155" s="37" t="n"/>
      <c r="J155" s="37" t="n"/>
      <c r="K155" s="37" t="n"/>
      <c r="L155" s="37" t="n"/>
      <c r="M155" s="37" t="n"/>
      <c r="N155" s="276" t="n"/>
      <c r="O155" s="276" t="n"/>
      <c r="P155" s="276" t="n"/>
      <c r="Q155" s="276" t="n"/>
      <c r="R155" s="276" t="n"/>
      <c r="S155" s="37" t="n"/>
      <c r="T155" s="37" t="n"/>
      <c r="U155" s="37" t="n"/>
      <c r="V155" s="37" t="n"/>
    </row>
    <row r="156">
      <c r="A156" s="37" t="n"/>
      <c r="B156" s="37" t="n"/>
      <c r="C156" s="37" t="n"/>
      <c r="D156" s="37" t="n"/>
      <c r="E156" s="37" t="n"/>
      <c r="F156" s="37" t="n"/>
      <c r="G156" s="37" t="n"/>
      <c r="H156" s="37" t="n"/>
      <c r="I156" s="37" t="n"/>
      <c r="J156" s="37" t="n"/>
      <c r="K156" s="37" t="n"/>
      <c r="L156" s="37" t="n"/>
      <c r="M156" s="37" t="n"/>
      <c r="N156" s="276" t="n"/>
      <c r="O156" s="276" t="n"/>
      <c r="P156" s="276" t="n"/>
      <c r="Q156" s="276" t="n"/>
      <c r="R156" s="276" t="n"/>
      <c r="S156" s="37" t="n"/>
      <c r="T156" s="37" t="n"/>
      <c r="U156" s="37" t="n"/>
      <c r="V156" s="37" t="n"/>
    </row>
    <row r="157">
      <c r="A157" s="37" t="n"/>
      <c r="B157" s="37" t="n"/>
      <c r="C157" s="37" t="n"/>
      <c r="D157" s="37" t="n"/>
      <c r="E157" s="37" t="n"/>
      <c r="F157" s="37" t="n"/>
      <c r="G157" s="37" t="n"/>
      <c r="H157" s="37" t="n"/>
      <c r="I157" s="37" t="n"/>
      <c r="J157" s="37" t="n"/>
      <c r="K157" s="37" t="n"/>
      <c r="L157" s="37" t="n"/>
      <c r="M157" s="37" t="n"/>
      <c r="N157" s="276" t="n"/>
      <c r="O157" s="276" t="n"/>
      <c r="P157" s="276" t="n"/>
      <c r="Q157" s="276" t="n"/>
      <c r="R157" s="276" t="n"/>
      <c r="S157" s="37" t="n"/>
      <c r="T157" s="37" t="n"/>
      <c r="U157" s="37" t="n"/>
      <c r="V157" s="37" t="n"/>
    </row>
    <row r="158">
      <c r="A158" s="37" t="n"/>
      <c r="B158" s="37" t="n"/>
      <c r="C158" s="37" t="n"/>
      <c r="D158" s="37" t="n"/>
      <c r="E158" s="37" t="n"/>
      <c r="F158" s="37" t="n"/>
      <c r="G158" s="37" t="n"/>
      <c r="H158" s="37" t="n"/>
      <c r="I158" s="37" t="n"/>
      <c r="J158" s="37" t="n"/>
      <c r="K158" s="37" t="n"/>
      <c r="L158" s="37" t="n"/>
      <c r="M158" s="37" t="n"/>
      <c r="N158" s="276" t="n"/>
      <c r="O158" s="276" t="n"/>
      <c r="P158" s="276" t="n"/>
      <c r="Q158" s="276" t="n"/>
      <c r="R158" s="276" t="n"/>
      <c r="S158" s="37" t="n"/>
      <c r="T158" s="37" t="n"/>
      <c r="U158" s="37" t="n"/>
      <c r="V158" s="37" t="n"/>
    </row>
    <row r="159">
      <c r="A159" s="37" t="n"/>
      <c r="B159" s="37" t="n"/>
      <c r="C159" s="37" t="n"/>
      <c r="D159" s="37" t="n"/>
      <c r="E159" s="37" t="n"/>
      <c r="F159" s="37" t="n"/>
      <c r="G159" s="37" t="n"/>
      <c r="H159" s="37" t="n"/>
      <c r="I159" s="37" t="n"/>
      <c r="J159" s="37" t="n"/>
      <c r="K159" s="37" t="n"/>
      <c r="L159" s="37" t="n"/>
      <c r="M159" s="37" t="n"/>
      <c r="N159" s="276" t="n"/>
      <c r="O159" s="276" t="n"/>
      <c r="P159" s="276" t="n"/>
      <c r="Q159" s="276" t="n"/>
      <c r="R159" s="276" t="n"/>
      <c r="S159" s="37" t="n"/>
      <c r="T159" s="37" t="n"/>
      <c r="U159" s="37" t="n"/>
      <c r="V159" s="37" t="n"/>
    </row>
    <row r="160">
      <c r="A160" s="37" t="n"/>
      <c r="B160" s="37" t="n"/>
      <c r="C160" s="37" t="n"/>
      <c r="D160" s="37" t="n"/>
      <c r="E160" s="37" t="n"/>
      <c r="F160" s="37" t="n"/>
      <c r="G160" s="37" t="n"/>
      <c r="H160" s="37" t="n"/>
      <c r="I160" s="37" t="n"/>
      <c r="J160" s="37" t="n"/>
      <c r="K160" s="37" t="n"/>
      <c r="L160" s="37" t="n"/>
      <c r="M160" s="37" t="n"/>
      <c r="N160" s="276" t="n"/>
      <c r="O160" s="276" t="n"/>
      <c r="P160" s="276" t="n"/>
      <c r="Q160" s="276" t="n"/>
      <c r="R160" s="276" t="n"/>
      <c r="S160" s="37" t="n"/>
      <c r="T160" s="37" t="n"/>
      <c r="U160" s="37" t="n"/>
      <c r="V160" s="37" t="n"/>
    </row>
    <row r="161">
      <c r="A161" s="37" t="n"/>
      <c r="B161" s="37" t="n"/>
      <c r="C161" s="37" t="n"/>
      <c r="D161" s="37" t="n"/>
      <c r="E161" s="37" t="n"/>
      <c r="F161" s="37" t="n"/>
      <c r="G161" s="37" t="n"/>
      <c r="H161" s="37" t="n"/>
      <c r="I161" s="37" t="n"/>
      <c r="J161" s="37" t="n"/>
      <c r="K161" s="37" t="n"/>
      <c r="L161" s="37" t="n"/>
      <c r="M161" s="37" t="n"/>
      <c r="N161" s="276" t="n"/>
      <c r="O161" s="276" t="n"/>
      <c r="P161" s="276" t="n"/>
      <c r="Q161" s="276" t="n"/>
      <c r="R161" s="276" t="n"/>
      <c r="S161" s="37" t="n"/>
      <c r="T161" s="37" t="n"/>
      <c r="U161" s="37" t="n"/>
      <c r="V161" s="37" t="n"/>
    </row>
    <row r="162">
      <c r="A162" s="37" t="n"/>
      <c r="B162" s="37" t="n"/>
      <c r="C162" s="37" t="n"/>
      <c r="D162" s="37" t="n"/>
      <c r="E162" s="37" t="n"/>
      <c r="F162" s="37" t="n"/>
      <c r="G162" s="37" t="n"/>
      <c r="H162" s="37" t="n"/>
      <c r="I162" s="37" t="n"/>
      <c r="J162" s="37" t="n"/>
      <c r="K162" s="37" t="n"/>
      <c r="L162" s="37" t="n"/>
      <c r="M162" s="37" t="n"/>
      <c r="N162" s="276" t="n"/>
      <c r="O162" s="276" t="n"/>
      <c r="P162" s="276" t="n"/>
      <c r="Q162" s="276" t="n"/>
      <c r="R162" s="276" t="n"/>
      <c r="S162" s="37" t="n"/>
      <c r="T162" s="37" t="n"/>
      <c r="U162" s="37" t="n"/>
      <c r="V162" s="37" t="n"/>
    </row>
    <row r="163">
      <c r="A163" s="37" t="n"/>
      <c r="B163" s="37" t="n"/>
      <c r="C163" s="37" t="n"/>
      <c r="D163" s="37" t="n"/>
      <c r="E163" s="37" t="n"/>
      <c r="F163" s="37" t="n"/>
      <c r="G163" s="37" t="n"/>
      <c r="H163" s="37" t="n"/>
      <c r="I163" s="37" t="n"/>
      <c r="J163" s="37" t="n"/>
      <c r="K163" s="37" t="n"/>
      <c r="L163" s="37" t="n"/>
      <c r="M163" s="37" t="n"/>
      <c r="N163" s="276" t="n"/>
      <c r="O163" s="276" t="n"/>
      <c r="P163" s="276" t="n"/>
      <c r="Q163" s="276" t="n"/>
      <c r="R163" s="276" t="n"/>
      <c r="S163" s="37" t="n"/>
      <c r="T163" s="37" t="n"/>
      <c r="U163" s="37" t="n"/>
      <c r="V163" s="37" t="n"/>
    </row>
    <row r="164">
      <c r="A164" s="37" t="n"/>
      <c r="B164" s="37" t="n"/>
      <c r="C164" s="37" t="n"/>
      <c r="D164" s="37" t="n"/>
      <c r="E164" s="37" t="n"/>
      <c r="F164" s="37" t="n"/>
      <c r="G164" s="37" t="n"/>
      <c r="H164" s="37" t="n"/>
      <c r="I164" s="37" t="n"/>
      <c r="J164" s="37" t="n"/>
      <c r="K164" s="37" t="n"/>
      <c r="L164" s="37" t="n"/>
      <c r="M164" s="37" t="n"/>
      <c r="N164" s="276" t="n"/>
      <c r="O164" s="276" t="n"/>
      <c r="P164" s="276" t="n"/>
      <c r="Q164" s="276" t="n"/>
      <c r="R164" s="276" t="n"/>
      <c r="S164" s="37" t="n"/>
      <c r="T164" s="37" t="n"/>
      <c r="U164" s="37" t="n"/>
      <c r="V164" s="37" t="n"/>
    </row>
    <row r="165">
      <c r="A165" s="37" t="n"/>
      <c r="B165" s="37" t="n"/>
      <c r="C165" s="37" t="n"/>
      <c r="D165" s="37" t="n"/>
      <c r="E165" s="37" t="n"/>
      <c r="F165" s="37" t="n"/>
      <c r="G165" s="37" t="n"/>
      <c r="H165" s="37" t="n"/>
      <c r="I165" s="37" t="n"/>
      <c r="J165" s="37" t="n"/>
      <c r="K165" s="37" t="n"/>
      <c r="L165" s="37" t="n"/>
      <c r="M165" s="37" t="n"/>
      <c r="N165" s="276" t="n"/>
      <c r="O165" s="276" t="n"/>
      <c r="P165" s="276" t="n"/>
      <c r="Q165" s="276" t="n"/>
      <c r="R165" s="276" t="n"/>
      <c r="S165" s="37" t="n"/>
      <c r="T165" s="37" t="n"/>
      <c r="U165" s="37" t="n"/>
      <c r="V165" s="37" t="n"/>
    </row>
    <row r="166">
      <c r="A166" s="37" t="n"/>
      <c r="B166" s="37" t="n"/>
      <c r="C166" s="37" t="n"/>
      <c r="D166" s="37" t="n"/>
      <c r="E166" s="37" t="n"/>
      <c r="F166" s="37" t="n"/>
      <c r="G166" s="37" t="n"/>
      <c r="H166" s="37" t="n"/>
      <c r="I166" s="37" t="n"/>
      <c r="J166" s="37" t="n"/>
      <c r="K166" s="37" t="n"/>
      <c r="L166" s="37" t="n"/>
      <c r="M166" s="37" t="n"/>
      <c r="N166" s="276" t="n"/>
      <c r="O166" s="276" t="n"/>
      <c r="P166" s="276" t="n"/>
      <c r="Q166" s="276" t="n"/>
      <c r="R166" s="276" t="n"/>
      <c r="S166" s="37" t="n"/>
      <c r="T166" s="37" t="n"/>
      <c r="U166" s="37" t="n"/>
      <c r="V166" s="37" t="n"/>
    </row>
    <row r="167">
      <c r="A167" s="37" t="n"/>
      <c r="B167" s="37" t="n"/>
      <c r="C167" s="37" t="n"/>
      <c r="D167" s="37" t="n"/>
      <c r="E167" s="37" t="n"/>
      <c r="F167" s="37" t="n"/>
      <c r="G167" s="37" t="n"/>
      <c r="H167" s="37" t="n"/>
      <c r="I167" s="37" t="n"/>
      <c r="J167" s="37" t="n"/>
      <c r="K167" s="37" t="n"/>
      <c r="L167" s="37" t="n"/>
      <c r="M167" s="37" t="n"/>
      <c r="N167" s="276" t="n"/>
      <c r="O167" s="276" t="n"/>
      <c r="P167" s="276" t="n"/>
      <c r="Q167" s="276" t="n"/>
      <c r="R167" s="276" t="n"/>
      <c r="S167" s="37" t="n"/>
      <c r="T167" s="37" t="n"/>
      <c r="U167" s="37" t="n"/>
      <c r="V167" s="37" t="n"/>
    </row>
    <row r="168">
      <c r="A168" s="37" t="n"/>
      <c r="B168" s="37" t="n"/>
      <c r="C168" s="37" t="n"/>
      <c r="D168" s="37" t="n"/>
      <c r="E168" s="37" t="n"/>
      <c r="F168" s="37" t="n"/>
      <c r="G168" s="37" t="n"/>
      <c r="H168" s="37" t="n"/>
      <c r="I168" s="37" t="n"/>
      <c r="J168" s="37" t="n"/>
      <c r="K168" s="37" t="n"/>
      <c r="L168" s="37" t="n"/>
      <c r="M168" s="37" t="n"/>
      <c r="N168" s="276" t="n"/>
      <c r="O168" s="276" t="n"/>
      <c r="P168" s="276" t="n"/>
      <c r="Q168" s="276" t="n"/>
      <c r="R168" s="276" t="n"/>
      <c r="S168" s="37" t="n"/>
      <c r="T168" s="37" t="n"/>
      <c r="U168" s="37" t="n"/>
      <c r="V168" s="37" t="n"/>
    </row>
    <row r="169">
      <c r="A169" s="37" t="n"/>
      <c r="B169" s="37" t="n"/>
      <c r="C169" s="37" t="n"/>
      <c r="D169" s="37" t="n"/>
      <c r="E169" s="37" t="n"/>
      <c r="F169" s="37" t="n"/>
      <c r="G169" s="37" t="n"/>
      <c r="H169" s="37" t="n"/>
      <c r="I169" s="37" t="n"/>
      <c r="J169" s="37" t="n"/>
      <c r="K169" s="37" t="n"/>
      <c r="L169" s="37" t="n"/>
      <c r="M169" s="37" t="n"/>
      <c r="N169" s="276" t="n"/>
      <c r="O169" s="276" t="n"/>
      <c r="P169" s="276" t="n"/>
      <c r="Q169" s="276" t="n"/>
      <c r="R169" s="276" t="n"/>
      <c r="S169" s="37" t="n"/>
      <c r="T169" s="37" t="n"/>
      <c r="U169" s="37" t="n"/>
      <c r="V169" s="37" t="n"/>
    </row>
    <row r="170">
      <c r="A170" s="37" t="n"/>
      <c r="B170" s="37" t="n"/>
      <c r="C170" s="37" t="n"/>
      <c r="D170" s="37" t="n"/>
      <c r="E170" s="37" t="n"/>
      <c r="F170" s="37" t="n"/>
      <c r="G170" s="37" t="n"/>
      <c r="H170" s="37" t="n"/>
      <c r="I170" s="37" t="n"/>
      <c r="J170" s="37" t="n"/>
      <c r="K170" s="37" t="n"/>
      <c r="L170" s="37" t="n"/>
      <c r="M170" s="37" t="n"/>
      <c r="N170" s="276" t="n"/>
      <c r="O170" s="276" t="n"/>
      <c r="P170" s="276" t="n"/>
      <c r="Q170" s="276" t="n"/>
      <c r="R170" s="276" t="n"/>
      <c r="S170" s="37" t="n"/>
      <c r="T170" s="37" t="n"/>
      <c r="U170" s="37" t="n"/>
      <c r="V170" s="37" t="n"/>
    </row>
    <row r="171">
      <c r="A171" s="37" t="n"/>
      <c r="B171" s="37" t="n"/>
      <c r="C171" s="37" t="n"/>
      <c r="D171" s="37" t="n"/>
      <c r="E171" s="37" t="n"/>
      <c r="F171" s="37" t="n"/>
      <c r="G171" s="37" t="n"/>
      <c r="H171" s="37" t="n"/>
      <c r="I171" s="37" t="n"/>
      <c r="J171" s="37" t="n"/>
      <c r="K171" s="37" t="n"/>
      <c r="L171" s="37" t="n"/>
      <c r="M171" s="37" t="n"/>
      <c r="N171" s="276" t="n"/>
      <c r="O171" s="276" t="n"/>
      <c r="P171" s="276" t="n"/>
      <c r="Q171" s="276" t="n"/>
      <c r="R171" s="276" t="n"/>
      <c r="S171" s="37" t="n"/>
      <c r="T171" s="37" t="n"/>
      <c r="U171" s="37" t="n"/>
      <c r="V171" s="37" t="n"/>
    </row>
    <row r="172">
      <c r="A172" s="37" t="n"/>
      <c r="B172" s="37" t="n"/>
      <c r="C172" s="37" t="n"/>
      <c r="D172" s="37" t="n"/>
      <c r="E172" s="37" t="n"/>
      <c r="F172" s="37" t="n"/>
      <c r="G172" s="37" t="n"/>
      <c r="H172" s="37" t="n"/>
      <c r="I172" s="37" t="n"/>
      <c r="J172" s="37" t="n"/>
      <c r="K172" s="37" t="n"/>
      <c r="L172" s="37" t="n"/>
      <c r="M172" s="37" t="n"/>
      <c r="N172" s="276" t="n"/>
      <c r="O172" s="276" t="n"/>
      <c r="P172" s="276" t="n"/>
      <c r="Q172" s="276" t="n"/>
      <c r="R172" s="276" t="n"/>
      <c r="S172" s="37" t="n"/>
      <c r="T172" s="37" t="n"/>
      <c r="U172" s="37" t="n"/>
      <c r="V172" s="37" t="n"/>
    </row>
    <row r="173">
      <c r="A173" s="37" t="n"/>
      <c r="B173" s="37" t="n"/>
      <c r="C173" s="37" t="n"/>
      <c r="D173" s="37" t="n"/>
      <c r="E173" s="37" t="n"/>
      <c r="F173" s="37" t="n"/>
      <c r="G173" s="37" t="n"/>
      <c r="H173" s="37" t="n"/>
      <c r="I173" s="37" t="n"/>
      <c r="J173" s="37" t="n"/>
      <c r="K173" s="37" t="n"/>
      <c r="L173" s="37" t="n"/>
      <c r="M173" s="37" t="n"/>
      <c r="N173" s="276" t="n"/>
      <c r="O173" s="276" t="n"/>
      <c r="P173" s="276" t="n"/>
      <c r="Q173" s="276" t="n"/>
      <c r="R173" s="276" t="n"/>
      <c r="S173" s="37" t="n"/>
      <c r="T173" s="37" t="n"/>
      <c r="U173" s="37" t="n"/>
      <c r="V173" s="37" t="n"/>
    </row>
    <row r="174">
      <c r="A174" s="37" t="n"/>
      <c r="B174" s="37" t="n"/>
      <c r="C174" s="37" t="n"/>
      <c r="D174" s="37" t="n"/>
      <c r="E174" s="37" t="n"/>
      <c r="F174" s="37" t="n"/>
      <c r="G174" s="37" t="n"/>
      <c r="H174" s="37" t="n"/>
      <c r="I174" s="37" t="n"/>
      <c r="J174" s="37" t="n"/>
      <c r="K174" s="37" t="n"/>
      <c r="L174" s="37" t="n"/>
      <c r="M174" s="37" t="n"/>
      <c r="N174" s="276" t="n"/>
      <c r="O174" s="276" t="n"/>
      <c r="P174" s="276" t="n"/>
      <c r="Q174" s="276" t="n"/>
      <c r="R174" s="276" t="n"/>
      <c r="S174" s="37" t="n"/>
      <c r="T174" s="37" t="n"/>
      <c r="U174" s="37" t="n"/>
      <c r="V174" s="37" t="n"/>
    </row>
    <row r="175">
      <c r="A175" s="37" t="n"/>
      <c r="B175" s="37" t="n"/>
      <c r="C175" s="37" t="n"/>
      <c r="D175" s="37" t="n"/>
      <c r="E175" s="37" t="n"/>
      <c r="F175" s="37" t="n"/>
      <c r="G175" s="37" t="n"/>
      <c r="H175" s="37" t="n"/>
      <c r="I175" s="37" t="n"/>
      <c r="J175" s="37" t="n"/>
      <c r="K175" s="37" t="n"/>
      <c r="L175" s="37" t="n"/>
      <c r="M175" s="37" t="n"/>
      <c r="N175" s="276" t="n"/>
      <c r="O175" s="276" t="n"/>
      <c r="P175" s="276" t="n"/>
      <c r="Q175" s="276" t="n"/>
      <c r="R175" s="276" t="n"/>
      <c r="S175" s="37" t="n"/>
      <c r="T175" s="37" t="n"/>
      <c r="U175" s="37" t="n"/>
      <c r="V175" s="37" t="n"/>
    </row>
    <row r="176">
      <c r="A176" s="37" t="n"/>
      <c r="B176" s="37" t="n"/>
      <c r="C176" s="37" t="n"/>
      <c r="D176" s="37" t="n"/>
      <c r="E176" s="37" t="n"/>
      <c r="F176" s="37" t="n"/>
      <c r="G176" s="37" t="n"/>
      <c r="H176" s="37" t="n"/>
      <c r="I176" s="37" t="n"/>
      <c r="J176" s="37" t="n"/>
      <c r="K176" s="37" t="n"/>
      <c r="L176" s="37" t="n"/>
      <c r="M176" s="37" t="n"/>
      <c r="N176" s="276" t="n"/>
      <c r="O176" s="276" t="n"/>
      <c r="P176" s="276" t="n"/>
      <c r="Q176" s="276" t="n"/>
      <c r="R176" s="276" t="n"/>
      <c r="S176" s="37" t="n"/>
      <c r="T176" s="37" t="n"/>
      <c r="U176" s="37" t="n"/>
      <c r="V176" s="37" t="n"/>
    </row>
    <row r="177">
      <c r="A177" s="37" t="n"/>
      <c r="B177" s="37" t="n"/>
      <c r="C177" s="37" t="n"/>
      <c r="D177" s="37" t="n"/>
      <c r="E177" s="37" t="n"/>
      <c r="F177" s="37" t="n"/>
      <c r="G177" s="37" t="n"/>
      <c r="H177" s="37" t="n"/>
      <c r="I177" s="37" t="n"/>
      <c r="J177" s="37" t="n"/>
      <c r="K177" s="37" t="n"/>
      <c r="L177" s="37" t="n"/>
      <c r="M177" s="37" t="n"/>
      <c r="N177" s="276" t="n"/>
      <c r="O177" s="276" t="n"/>
      <c r="P177" s="276" t="n"/>
      <c r="Q177" s="276" t="n"/>
      <c r="R177" s="276" t="n"/>
      <c r="S177" s="37" t="n"/>
      <c r="T177" s="37" t="n"/>
      <c r="U177" s="37" t="n"/>
      <c r="V177" s="37" t="n"/>
    </row>
    <row r="178">
      <c r="A178" s="37" t="n"/>
      <c r="B178" s="37" t="n"/>
      <c r="C178" s="37" t="n"/>
      <c r="D178" s="37" t="n"/>
      <c r="E178" s="37" t="n"/>
      <c r="F178" s="37" t="n"/>
      <c r="G178" s="37" t="n"/>
      <c r="H178" s="37" t="n"/>
      <c r="I178" s="37" t="n"/>
      <c r="J178" s="37" t="n"/>
      <c r="K178" s="37" t="n"/>
      <c r="L178" s="37" t="n"/>
      <c r="M178" s="37" t="n"/>
      <c r="N178" s="276" t="n"/>
      <c r="O178" s="276" t="n"/>
      <c r="P178" s="276" t="n"/>
      <c r="Q178" s="276" t="n"/>
      <c r="R178" s="276" t="n"/>
      <c r="S178" s="37" t="n"/>
      <c r="T178" s="37" t="n"/>
      <c r="U178" s="37" t="n"/>
      <c r="V178" s="37" t="n"/>
    </row>
    <row r="179">
      <c r="A179" s="37" t="n"/>
      <c r="B179" s="37" t="n"/>
      <c r="C179" s="37" t="n"/>
      <c r="D179" s="37" t="n"/>
      <c r="E179" s="37" t="n"/>
      <c r="F179" s="37" t="n"/>
      <c r="G179" s="37" t="n"/>
      <c r="H179" s="37" t="n"/>
      <c r="I179" s="37" t="n"/>
      <c r="J179" s="37" t="n"/>
      <c r="K179" s="37" t="n"/>
      <c r="L179" s="37" t="n"/>
      <c r="M179" s="37" t="n"/>
      <c r="N179" s="276" t="n"/>
      <c r="O179" s="276" t="n"/>
      <c r="P179" s="276" t="n"/>
      <c r="Q179" s="276" t="n"/>
      <c r="R179" s="276" t="n"/>
      <c r="S179" s="37" t="n"/>
      <c r="T179" s="37" t="n"/>
      <c r="U179" s="37" t="n"/>
      <c r="V179" s="37" t="n"/>
    </row>
    <row r="180">
      <c r="A180" s="37" t="n"/>
      <c r="B180" s="37" t="n"/>
      <c r="C180" s="37" t="n"/>
      <c r="D180" s="37" t="n"/>
      <c r="E180" s="37" t="n"/>
      <c r="F180" s="37" t="n"/>
      <c r="G180" s="37" t="n"/>
      <c r="H180" s="37" t="n"/>
      <c r="I180" s="37" t="n"/>
      <c r="J180" s="37" t="n"/>
      <c r="K180" s="37" t="n"/>
      <c r="L180" s="37" t="n"/>
      <c r="M180" s="37" t="n"/>
      <c r="N180" s="276" t="n"/>
      <c r="O180" s="276" t="n"/>
      <c r="P180" s="276" t="n"/>
      <c r="Q180" s="276" t="n"/>
      <c r="R180" s="276" t="n"/>
      <c r="S180" s="37" t="n"/>
      <c r="T180" s="37" t="n"/>
      <c r="U180" s="37" t="n"/>
      <c r="V180" s="37" t="n"/>
    </row>
    <row r="181">
      <c r="A181" s="37" t="n"/>
      <c r="B181" s="37" t="n"/>
      <c r="C181" s="37" t="n"/>
      <c r="D181" s="37" t="n"/>
      <c r="E181" s="37" t="n"/>
      <c r="F181" s="37" t="n"/>
      <c r="G181" s="37" t="n"/>
      <c r="H181" s="37" t="n"/>
      <c r="I181" s="37" t="n"/>
      <c r="J181" s="37" t="n"/>
      <c r="K181" s="37" t="n"/>
      <c r="L181" s="37" t="n"/>
      <c r="M181" s="37" t="n"/>
      <c r="N181" s="276" t="n"/>
      <c r="O181" s="276" t="n"/>
      <c r="P181" s="276" t="n"/>
      <c r="Q181" s="276" t="n"/>
      <c r="R181" s="276" t="n"/>
      <c r="S181" s="37" t="n"/>
      <c r="T181" s="37" t="n"/>
      <c r="U181" s="37" t="n"/>
      <c r="V181" s="37" t="n"/>
    </row>
    <row r="182">
      <c r="A182" s="37" t="n"/>
      <c r="B182" s="37" t="n"/>
      <c r="C182" s="37" t="n"/>
      <c r="D182" s="37" t="n"/>
      <c r="E182" s="37" t="n"/>
      <c r="F182" s="37" t="n"/>
      <c r="G182" s="37" t="n"/>
      <c r="H182" s="37" t="n"/>
      <c r="I182" s="37" t="n"/>
      <c r="J182" s="37" t="n"/>
      <c r="K182" s="37" t="n"/>
      <c r="L182" s="37" t="n"/>
      <c r="M182" s="37" t="n"/>
      <c r="N182" s="276" t="n"/>
      <c r="O182" s="276" t="n"/>
      <c r="P182" s="276" t="n"/>
      <c r="Q182" s="276" t="n"/>
      <c r="R182" s="276" t="n"/>
      <c r="S182" s="37" t="n"/>
      <c r="T182" s="37" t="n"/>
      <c r="U182" s="37" t="n"/>
      <c r="V182" s="37" t="n"/>
    </row>
    <row r="183">
      <c r="A183" s="37" t="n"/>
      <c r="B183" s="37" t="n"/>
      <c r="C183" s="37" t="n"/>
      <c r="D183" s="37" t="n"/>
      <c r="E183" s="37" t="n"/>
      <c r="F183" s="37" t="n"/>
      <c r="G183" s="37" t="n"/>
      <c r="H183" s="37" t="n"/>
      <c r="I183" s="37" t="n"/>
      <c r="J183" s="37" t="n"/>
      <c r="K183" s="37" t="n"/>
      <c r="L183" s="37" t="n"/>
      <c r="M183" s="37" t="n"/>
      <c r="N183" s="276" t="n"/>
      <c r="O183" s="276" t="n"/>
      <c r="P183" s="276" t="n"/>
      <c r="Q183" s="276" t="n"/>
      <c r="R183" s="276" t="n"/>
      <c r="S183" s="37" t="n"/>
      <c r="T183" s="37" t="n"/>
      <c r="U183" s="37" t="n"/>
      <c r="V183" s="37" t="n"/>
    </row>
    <row r="184">
      <c r="A184" s="37" t="n"/>
      <c r="B184" s="37" t="n"/>
      <c r="C184" s="37" t="n"/>
      <c r="D184" s="37" t="n"/>
      <c r="E184" s="37" t="n"/>
      <c r="F184" s="37" t="n"/>
      <c r="G184" s="37" t="n"/>
      <c r="H184" s="37" t="n"/>
      <c r="I184" s="37" t="n"/>
      <c r="J184" s="37" t="n"/>
      <c r="K184" s="37" t="n"/>
      <c r="L184" s="37" t="n"/>
      <c r="M184" s="37" t="n"/>
      <c r="N184" s="276" t="n"/>
      <c r="O184" s="276" t="n"/>
      <c r="P184" s="276" t="n"/>
      <c r="Q184" s="276" t="n"/>
      <c r="R184" s="276" t="n"/>
      <c r="S184" s="37" t="n"/>
      <c r="T184" s="37" t="n"/>
      <c r="U184" s="37" t="n"/>
      <c r="V184" s="37" t="n"/>
    </row>
    <row r="185">
      <c r="A185" s="37" t="n"/>
      <c r="B185" s="37" t="n"/>
      <c r="C185" s="37" t="n"/>
      <c r="D185" s="37" t="n"/>
      <c r="E185" s="37" t="n"/>
      <c r="F185" s="37" t="n"/>
      <c r="G185" s="37" t="n"/>
      <c r="H185" s="37" t="n"/>
      <c r="I185" s="37" t="n"/>
      <c r="J185" s="37" t="n"/>
      <c r="K185" s="37" t="n"/>
      <c r="L185" s="37" t="n"/>
      <c r="M185" s="37" t="n"/>
      <c r="N185" s="276" t="n"/>
      <c r="O185" s="276" t="n"/>
      <c r="P185" s="276" t="n"/>
      <c r="Q185" s="276" t="n"/>
      <c r="R185" s="276" t="n"/>
      <c r="S185" s="37" t="n"/>
      <c r="T185" s="37" t="n"/>
      <c r="U185" s="37" t="n"/>
      <c r="V185" s="37" t="n"/>
    </row>
    <row r="186">
      <c r="A186" s="37" t="n"/>
      <c r="B186" s="37" t="n"/>
      <c r="C186" s="37" t="n"/>
      <c r="D186" s="37" t="n"/>
      <c r="E186" s="37" t="n"/>
      <c r="F186" s="37" t="n"/>
      <c r="G186" s="37" t="n"/>
      <c r="H186" s="37" t="n"/>
      <c r="I186" s="37" t="n"/>
      <c r="J186" s="37" t="n"/>
      <c r="K186" s="37" t="n"/>
      <c r="L186" s="37" t="n"/>
      <c r="M186" s="37" t="n"/>
      <c r="N186" s="276" t="n"/>
      <c r="O186" s="276" t="n"/>
      <c r="P186" s="276" t="n"/>
      <c r="Q186" s="276" t="n"/>
      <c r="R186" s="276" t="n"/>
      <c r="S186" s="37" t="n"/>
      <c r="T186" s="37" t="n"/>
      <c r="U186" s="37" t="n"/>
      <c r="V186" s="37" t="n"/>
    </row>
    <row r="187">
      <c r="A187" s="37" t="n"/>
      <c r="B187" s="37" t="n"/>
      <c r="C187" s="37" t="n"/>
      <c r="D187" s="37" t="n"/>
      <c r="E187" s="37" t="n"/>
      <c r="F187" s="37" t="n"/>
      <c r="G187" s="37" t="n"/>
      <c r="H187" s="37" t="n"/>
      <c r="I187" s="37" t="n"/>
      <c r="J187" s="37" t="n"/>
      <c r="K187" s="37" t="n"/>
      <c r="L187" s="37" t="n"/>
      <c r="M187" s="37" t="n"/>
      <c r="N187" s="276" t="n"/>
      <c r="O187" s="276" t="n"/>
      <c r="P187" s="276" t="n"/>
      <c r="Q187" s="276" t="n"/>
      <c r="R187" s="276" t="n"/>
      <c r="S187" s="37" t="n"/>
      <c r="T187" s="37" t="n"/>
      <c r="U187" s="37" t="n"/>
      <c r="V187" s="37" t="n"/>
    </row>
    <row r="188">
      <c r="A188" s="37" t="n"/>
      <c r="B188" s="37" t="n"/>
      <c r="C188" s="37" t="n"/>
      <c r="D188" s="37" t="n"/>
      <c r="E188" s="37" t="n"/>
      <c r="F188" s="37" t="n"/>
      <c r="G188" s="37" t="n"/>
      <c r="H188" s="37" t="n"/>
      <c r="I188" s="37" t="n"/>
      <c r="J188" s="37" t="n"/>
      <c r="K188" s="37" t="n"/>
      <c r="L188" s="37" t="n"/>
      <c r="M188" s="37" t="n"/>
      <c r="N188" s="276" t="n"/>
      <c r="O188" s="276" t="n"/>
      <c r="P188" s="276" t="n"/>
      <c r="Q188" s="276" t="n"/>
      <c r="R188" s="276" t="n"/>
      <c r="S188" s="37" t="n"/>
      <c r="T188" s="37" t="n"/>
      <c r="U188" s="37" t="n"/>
      <c r="V188" s="37" t="n"/>
    </row>
    <row r="189">
      <c r="A189" s="37" t="n"/>
      <c r="B189" s="37" t="n"/>
      <c r="C189" s="37" t="n"/>
      <c r="D189" s="37" t="n"/>
      <c r="E189" s="37" t="n"/>
      <c r="F189" s="37" t="n"/>
      <c r="G189" s="37" t="n"/>
      <c r="H189" s="37" t="n"/>
      <c r="I189" s="37" t="n"/>
      <c r="J189" s="37" t="n"/>
      <c r="K189" s="37" t="n"/>
      <c r="L189" s="37" t="n"/>
      <c r="M189" s="37" t="n"/>
      <c r="N189" s="276" t="n"/>
      <c r="O189" s="276" t="n"/>
      <c r="P189" s="276" t="n"/>
      <c r="Q189" s="276" t="n"/>
      <c r="R189" s="276" t="n"/>
      <c r="S189" s="37" t="n"/>
      <c r="T189" s="37" t="n"/>
      <c r="U189" s="37" t="n"/>
      <c r="V189" s="37" t="n"/>
    </row>
    <row r="190">
      <c r="A190" s="37" t="n"/>
      <c r="B190" s="37" t="n"/>
      <c r="C190" s="37" t="n"/>
      <c r="D190" s="37" t="n"/>
      <c r="E190" s="37" t="n"/>
      <c r="F190" s="37" t="n"/>
      <c r="G190" s="37" t="n"/>
      <c r="H190" s="37" t="n"/>
      <c r="I190" s="37" t="n"/>
      <c r="J190" s="37" t="n"/>
      <c r="K190" s="37" t="n"/>
      <c r="L190" s="37" t="n"/>
      <c r="M190" s="37" t="n"/>
      <c r="N190" s="276" t="n"/>
      <c r="O190" s="276" t="n"/>
      <c r="P190" s="276" t="n"/>
      <c r="Q190" s="276" t="n"/>
      <c r="R190" s="276" t="n"/>
      <c r="S190" s="37" t="n"/>
      <c r="T190" s="37" t="n"/>
      <c r="U190" s="37" t="n"/>
      <c r="V190" s="37" t="n"/>
    </row>
    <row r="191">
      <c r="A191" s="37" t="n"/>
      <c r="B191" s="37" t="n"/>
      <c r="C191" s="37" t="n"/>
      <c r="D191" s="37" t="n"/>
      <c r="E191" s="37" t="n"/>
      <c r="F191" s="37" t="n"/>
      <c r="G191" s="37" t="n"/>
      <c r="H191" s="37" t="n"/>
      <c r="I191" s="37" t="n"/>
      <c r="J191" s="37" t="n"/>
      <c r="K191" s="37" t="n"/>
      <c r="L191" s="37" t="n"/>
      <c r="M191" s="37" t="n"/>
      <c r="N191" s="276" t="n"/>
      <c r="O191" s="276" t="n"/>
      <c r="P191" s="276" t="n"/>
      <c r="Q191" s="276" t="n"/>
      <c r="R191" s="276" t="n"/>
      <c r="S191" s="37" t="n"/>
      <c r="T191" s="37" t="n"/>
      <c r="U191" s="37" t="n"/>
      <c r="V191" s="37" t="n"/>
    </row>
    <row r="192">
      <c r="A192" s="37" t="n"/>
      <c r="B192" s="37" t="n"/>
      <c r="C192" s="37" t="n"/>
      <c r="D192" s="37" t="n"/>
      <c r="E192" s="37" t="n"/>
      <c r="F192" s="37" t="n"/>
      <c r="G192" s="37" t="n"/>
      <c r="H192" s="37" t="n"/>
      <c r="I192" s="37" t="n"/>
      <c r="J192" s="37" t="n"/>
      <c r="K192" s="37" t="n"/>
      <c r="L192" s="37" t="n"/>
      <c r="M192" s="37" t="n"/>
      <c r="N192" s="276" t="n"/>
      <c r="O192" s="276" t="n"/>
      <c r="P192" s="276" t="n"/>
      <c r="Q192" s="276" t="n"/>
      <c r="R192" s="276" t="n"/>
      <c r="S192" s="37" t="n"/>
      <c r="T192" s="37" t="n"/>
      <c r="U192" s="37" t="n"/>
      <c r="V192" s="37" t="n"/>
    </row>
    <row r="193">
      <c r="A193" s="37" t="n"/>
      <c r="B193" s="37" t="n"/>
      <c r="C193" s="37" t="n"/>
      <c r="D193" s="37" t="n"/>
      <c r="E193" s="37" t="n"/>
      <c r="F193" s="37" t="n"/>
      <c r="G193" s="37" t="n"/>
      <c r="H193" s="37" t="n"/>
      <c r="I193" s="37" t="n"/>
      <c r="J193" s="37" t="n"/>
      <c r="K193" s="37" t="n"/>
      <c r="L193" s="37" t="n"/>
      <c r="M193" s="37" t="n"/>
      <c r="N193" s="276" t="n"/>
      <c r="O193" s="276" t="n"/>
      <c r="P193" s="276" t="n"/>
      <c r="Q193" s="276" t="n"/>
      <c r="R193" s="276" t="n"/>
      <c r="S193" s="37" t="n"/>
      <c r="T193" s="37" t="n"/>
      <c r="U193" s="37" t="n"/>
      <c r="V193" s="37" t="n"/>
    </row>
    <row r="194">
      <c r="A194" s="37" t="n"/>
      <c r="B194" s="37" t="n"/>
      <c r="C194" s="37" t="n"/>
      <c r="D194" s="37" t="n"/>
      <c r="E194" s="37" t="n"/>
      <c r="F194" s="37" t="n"/>
      <c r="G194" s="37" t="n"/>
      <c r="H194" s="37" t="n"/>
      <c r="I194" s="37" t="n"/>
      <c r="J194" s="37" t="n"/>
      <c r="K194" s="37" t="n"/>
      <c r="L194" s="37" t="n"/>
      <c r="M194" s="37" t="n"/>
      <c r="N194" s="276" t="n"/>
      <c r="O194" s="276" t="n"/>
      <c r="P194" s="276" t="n"/>
      <c r="Q194" s="276" t="n"/>
      <c r="R194" s="276" t="n"/>
      <c r="S194" s="37" t="n"/>
      <c r="T194" s="37" t="n"/>
      <c r="U194" s="37" t="n"/>
      <c r="V194" s="37" t="n"/>
    </row>
    <row r="195">
      <c r="A195" s="37" t="n"/>
      <c r="B195" s="37" t="n"/>
      <c r="C195" s="37" t="n"/>
      <c r="D195" s="37" t="n"/>
      <c r="E195" s="37" t="n"/>
      <c r="F195" s="37" t="n"/>
      <c r="G195" s="37" t="n"/>
      <c r="H195" s="37" t="n"/>
      <c r="I195" s="37" t="n"/>
      <c r="J195" s="37" t="n"/>
      <c r="K195" s="37" t="n"/>
      <c r="L195" s="37" t="n"/>
      <c r="M195" s="37" t="n"/>
      <c r="N195" s="276" t="n"/>
      <c r="O195" s="276" t="n"/>
      <c r="P195" s="276" t="n"/>
      <c r="Q195" s="276" t="n"/>
      <c r="R195" s="276" t="n"/>
      <c r="S195" s="37" t="n"/>
      <c r="T195" s="37" t="n"/>
      <c r="U195" s="37" t="n"/>
      <c r="V195" s="37" t="n"/>
    </row>
    <row r="196">
      <c r="A196" s="37" t="n"/>
      <c r="B196" s="37" t="n"/>
      <c r="C196" s="37" t="n"/>
      <c r="D196" s="37" t="n"/>
      <c r="E196" s="37" t="n"/>
      <c r="F196" s="37" t="n"/>
      <c r="G196" s="37" t="n"/>
      <c r="H196" s="37" t="n"/>
      <c r="I196" s="37" t="n"/>
      <c r="J196" s="37" t="n"/>
      <c r="K196" s="37" t="n"/>
      <c r="L196" s="37" t="n"/>
      <c r="M196" s="37" t="n"/>
      <c r="N196" s="276" t="n"/>
      <c r="O196" s="276" t="n"/>
      <c r="P196" s="276" t="n"/>
      <c r="Q196" s="276" t="n"/>
      <c r="R196" s="276" t="n"/>
      <c r="S196" s="37" t="n"/>
      <c r="T196" s="37" t="n"/>
      <c r="U196" s="37" t="n"/>
      <c r="V196" s="37" t="n"/>
    </row>
    <row r="197">
      <c r="A197" s="37" t="n"/>
      <c r="B197" s="37" t="n"/>
      <c r="C197" s="37" t="n"/>
      <c r="D197" s="37" t="n"/>
      <c r="E197" s="37" t="n"/>
      <c r="F197" s="37" t="n"/>
      <c r="G197" s="37" t="n"/>
      <c r="H197" s="37" t="n"/>
      <c r="I197" s="37" t="n"/>
      <c r="J197" s="37" t="n"/>
      <c r="K197" s="37" t="n"/>
      <c r="L197" s="37" t="n"/>
      <c r="M197" s="37" t="n"/>
      <c r="N197" s="276" t="n"/>
      <c r="O197" s="276" t="n"/>
      <c r="P197" s="276" t="n"/>
      <c r="Q197" s="276" t="n"/>
      <c r="R197" s="276" t="n"/>
      <c r="S197" s="37" t="n"/>
      <c r="T197" s="37" t="n"/>
      <c r="U197" s="37" t="n"/>
      <c r="V197" s="37" t="n"/>
    </row>
    <row r="198">
      <c r="A198" s="37" t="n"/>
      <c r="B198" s="37" t="n"/>
      <c r="C198" s="37" t="n"/>
      <c r="D198" s="37" t="n"/>
      <c r="E198" s="37" t="n"/>
      <c r="F198" s="37" t="n"/>
      <c r="G198" s="37" t="n"/>
      <c r="H198" s="37" t="n"/>
      <c r="I198" s="37" t="n"/>
      <c r="J198" s="37" t="n"/>
      <c r="K198" s="37" t="n"/>
      <c r="L198" s="37" t="n"/>
      <c r="M198" s="37" t="n"/>
      <c r="N198" s="276" t="n"/>
      <c r="O198" s="276" t="n"/>
      <c r="P198" s="276" t="n"/>
      <c r="Q198" s="276" t="n"/>
      <c r="R198" s="276" t="n"/>
      <c r="S198" s="37" t="n"/>
      <c r="T198" s="37" t="n"/>
      <c r="U198" s="37" t="n"/>
      <c r="V198" s="37" t="n"/>
    </row>
    <row r="199">
      <c r="A199" s="37" t="n"/>
      <c r="B199" s="37" t="n"/>
      <c r="C199" s="37" t="n"/>
      <c r="D199" s="37" t="n"/>
      <c r="E199" s="37" t="n"/>
      <c r="F199" s="37" t="n"/>
      <c r="G199" s="37" t="n"/>
      <c r="H199" s="37" t="n"/>
      <c r="I199" s="37" t="n"/>
      <c r="J199" s="37" t="n"/>
      <c r="K199" s="37" t="n"/>
      <c r="L199" s="37" t="n"/>
      <c r="M199" s="37" t="n"/>
      <c r="N199" s="276" t="n"/>
      <c r="O199" s="276" t="n"/>
      <c r="P199" s="276" t="n"/>
      <c r="Q199" s="276" t="n"/>
      <c r="R199" s="276" t="n"/>
      <c r="S199" s="37" t="n"/>
      <c r="T199" s="37" t="n"/>
      <c r="U199" s="37" t="n"/>
      <c r="V199" s="37" t="n"/>
    </row>
    <row r="200">
      <c r="A200" s="37" t="n"/>
      <c r="B200" s="37" t="n"/>
      <c r="C200" s="37" t="n"/>
      <c r="D200" s="37" t="n"/>
      <c r="E200" s="37" t="n"/>
      <c r="F200" s="37" t="n"/>
      <c r="G200" s="37" t="n"/>
      <c r="H200" s="37" t="n"/>
      <c r="I200" s="37" t="n"/>
      <c r="J200" s="37" t="n"/>
      <c r="K200" s="37" t="n"/>
      <c r="L200" s="37" t="n"/>
      <c r="M200" s="37" t="n"/>
      <c r="N200" s="276" t="n"/>
      <c r="O200" s="276" t="n"/>
      <c r="P200" s="276" t="n"/>
      <c r="Q200" s="276" t="n"/>
      <c r="R200" s="276" t="n"/>
      <c r="S200" s="37" t="n"/>
      <c r="T200" s="37" t="n"/>
      <c r="U200" s="37" t="n"/>
      <c r="V200" s="37" t="n"/>
    </row>
    <row r="201">
      <c r="A201" s="37" t="n"/>
      <c r="B201" s="37" t="n"/>
      <c r="C201" s="37" t="n"/>
      <c r="D201" s="37" t="n"/>
      <c r="E201" s="37" t="n"/>
      <c r="F201" s="37" t="n"/>
      <c r="G201" s="37" t="n"/>
      <c r="H201" s="37" t="n"/>
      <c r="I201" s="37" t="n"/>
      <c r="J201" s="37" t="n"/>
      <c r="K201" s="37" t="n"/>
      <c r="L201" s="37" t="n"/>
      <c r="M201" s="37" t="n"/>
      <c r="N201" s="276" t="n"/>
      <c r="O201" s="276" t="n"/>
      <c r="P201" s="276" t="n"/>
      <c r="Q201" s="276" t="n"/>
      <c r="R201" s="276" t="n"/>
      <c r="S201" s="37" t="n"/>
      <c r="T201" s="37" t="n"/>
      <c r="U201" s="37" t="n"/>
      <c r="V201" s="37" t="n"/>
    </row>
    <row r="202">
      <c r="A202" s="37" t="n"/>
      <c r="B202" s="37" t="n"/>
      <c r="C202" s="37" t="n"/>
      <c r="D202" s="37" t="n"/>
      <c r="E202" s="37" t="n"/>
      <c r="F202" s="37" t="n"/>
      <c r="G202" s="37" t="n"/>
      <c r="H202" s="37" t="n"/>
      <c r="I202" s="37" t="n"/>
      <c r="J202" s="37" t="n"/>
      <c r="K202" s="37" t="n"/>
      <c r="L202" s="37" t="n"/>
      <c r="M202" s="37" t="n"/>
      <c r="N202" s="276" t="n"/>
      <c r="O202" s="276" t="n"/>
      <c r="P202" s="276" t="n"/>
      <c r="Q202" s="276" t="n"/>
      <c r="R202" s="276" t="n"/>
      <c r="S202" s="37" t="n"/>
      <c r="T202" s="37" t="n"/>
      <c r="U202" s="37" t="n"/>
      <c r="V202" s="37" t="n"/>
    </row>
    <row r="203">
      <c r="A203" s="37" t="n"/>
      <c r="B203" s="37" t="n"/>
      <c r="C203" s="37" t="n"/>
      <c r="D203" s="37" t="n"/>
      <c r="E203" s="37" t="n"/>
      <c r="F203" s="37" t="n"/>
      <c r="G203" s="37" t="n"/>
      <c r="H203" s="37" t="n"/>
      <c r="I203" s="37" t="n"/>
      <c r="J203" s="37" t="n"/>
      <c r="K203" s="37" t="n"/>
      <c r="L203" s="37" t="n"/>
      <c r="M203" s="37" t="n"/>
      <c r="N203" s="276" t="n"/>
      <c r="O203" s="276" t="n"/>
      <c r="P203" s="276" t="n"/>
      <c r="Q203" s="276" t="n"/>
      <c r="R203" s="276" t="n"/>
      <c r="S203" s="37" t="n"/>
      <c r="T203" s="37" t="n"/>
      <c r="U203" s="37" t="n"/>
      <c r="V203" s="37" t="n"/>
    </row>
    <row r="204">
      <c r="A204" s="37" t="n"/>
      <c r="B204" s="37" t="n"/>
      <c r="C204" s="37" t="n"/>
      <c r="D204" s="37" t="n"/>
      <c r="E204" s="37" t="n"/>
      <c r="F204" s="37" t="n"/>
      <c r="G204" s="37" t="n"/>
      <c r="H204" s="37" t="n"/>
      <c r="I204" s="37" t="n"/>
      <c r="J204" s="37" t="n"/>
      <c r="K204" s="37" t="n"/>
      <c r="L204" s="37" t="n"/>
      <c r="M204" s="37" t="n"/>
      <c r="N204" s="276" t="n"/>
      <c r="O204" s="276" t="n"/>
      <c r="P204" s="276" t="n"/>
      <c r="Q204" s="276" t="n"/>
      <c r="R204" s="276" t="n"/>
      <c r="S204" s="37" t="n"/>
      <c r="T204" s="37" t="n"/>
      <c r="U204" s="37" t="n"/>
      <c r="V204" s="37" t="n"/>
    </row>
    <row r="205">
      <c r="A205" s="37" t="n"/>
      <c r="B205" s="37" t="n"/>
      <c r="C205" s="37" t="n"/>
      <c r="D205" s="37" t="n"/>
      <c r="E205" s="37" t="n"/>
      <c r="F205" s="37" t="n"/>
      <c r="G205" s="37" t="n"/>
      <c r="H205" s="37" t="n"/>
      <c r="I205" s="37" t="n"/>
      <c r="J205" s="37" t="n"/>
      <c r="K205" s="37" t="n"/>
      <c r="L205" s="37" t="n"/>
      <c r="M205" s="37" t="n"/>
      <c r="N205" s="276" t="n"/>
      <c r="O205" s="276" t="n"/>
      <c r="P205" s="276" t="n"/>
      <c r="Q205" s="276" t="n"/>
      <c r="R205" s="276" t="n"/>
      <c r="S205" s="37" t="n"/>
      <c r="T205" s="37" t="n"/>
      <c r="U205" s="37" t="n"/>
      <c r="V205" s="37" t="n"/>
    </row>
  </sheetData>
  <mergeCells count="2">
    <mergeCell ref="A1:V2"/>
    <mergeCell ref="A3:V3"/>
  </mergeCells>
  <dataValidations count="3">
    <dataValidation sqref="F6:F205" showDropDown="0" showInputMessage="0" showErrorMessage="0" allowBlank="0" type="list">
      <formula1>"Solar,Solar + BESS,FDRE,Wind,Hybrid,BESS,Pumped Storage,RTC,Other"</formula1>
    </dataValidation>
    <dataValidation sqref="H6:H205" showDropDown="0" showInputMessage="0" showErrorMessage="0" allowBlank="0" type="list">
      <formula1>"Yes,No,Not Specified"</formula1>
    </dataValidation>
    <dataValidation sqref="Q6:Q205" showDropDown="0" showInputMessage="0" showErrorMessage="0" allowBlank="0" type="list">
      <formula1>"New,Open,Extended,Corrigendum,Closed,Cancelled,Awarded"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18" customWidth="1" style="64" min="4" max="4"/>
    <col width="22" customWidth="1" style="64" min="5" max="5"/>
    <col width="18" customWidth="1" style="64" min="6" max="6"/>
    <col width="20" customWidth="1" style="64" min="7" max="7"/>
    <col width="26" customWidth="1" style="64" min="8" max="8"/>
    <col width="26" customWidth="1" style="64" min="9" max="9"/>
    <col width="34" customWidth="1" style="64" min="10" max="10"/>
    <col width="32" customWidth="1" style="64" min="11" max="11"/>
  </cols>
  <sheetData>
    <row r="1">
      <c r="A1" s="285" t="inlineStr">
        <is>
          <t>Tender Change History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69" t="inlineStr">
        <is>
          <t>History ID</t>
        </is>
      </c>
      <c r="B4" s="69" t="inlineStr">
        <is>
          <t>Timestamp</t>
        </is>
      </c>
      <c r="C4" s="69" t="inlineStr">
        <is>
          <t>Tender ID</t>
        </is>
      </c>
      <c r="D4" s="69" t="inlineStr">
        <is>
          <t>Agency</t>
        </is>
      </c>
      <c r="E4" s="69" t="inlineStr">
        <is>
          <t>Tender Number</t>
        </is>
      </c>
      <c r="F4" s="69" t="inlineStr">
        <is>
          <t>Change Type</t>
        </is>
      </c>
      <c r="G4" s="69" t="inlineStr">
        <is>
          <t>Field Changed</t>
        </is>
      </c>
      <c r="H4" s="69" t="inlineStr">
        <is>
          <t>Old Value</t>
        </is>
      </c>
      <c r="I4" s="69" t="inlineStr">
        <is>
          <t>New Value</t>
        </is>
      </c>
      <c r="J4" s="69" t="inlineStr">
        <is>
          <t>Source URL</t>
        </is>
      </c>
      <c r="K4" s="69"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5"/>
  <cols>
    <col width="18" customWidth="1" style="64" min="1" max="1"/>
    <col width="20" customWidth="1" style="64" min="2" max="2"/>
    <col width="22" customWidth="1" style="64" min="3" max="3"/>
    <col width="18" customWidth="1" style="64" min="4" max="4"/>
    <col width="16" customWidth="1" style="64" min="5" max="5"/>
    <col width="12" customWidth="1" style="64" min="6" max="6"/>
    <col width="14" customWidth="1" style="64" min="7" max="7"/>
    <col width="36" customWidth="1" style="64" min="8" max="8"/>
  </cols>
  <sheetData>
    <row r="1">
      <c r="A1" s="285" t="inlineStr">
        <is>
          <t>Upcoming Bid Submission Deadlines</t>
        </is>
      </c>
      <c r="B1" s="1" t="n"/>
      <c r="C1" s="1" t="n"/>
      <c r="D1" s="1" t="n"/>
      <c r="E1" s="1" t="n"/>
      <c r="F1" s="1" t="n"/>
      <c r="G1" s="1" t="n"/>
      <c r="H1" s="1" t="n"/>
    </row>
    <row r="2">
      <c r="A2" s="1" t="n"/>
      <c r="B2" s="1" t="n"/>
      <c r="C2" s="1" t="n"/>
      <c r="D2" s="1" t="n"/>
      <c r="E2" s="1" t="n"/>
      <c r="F2" s="1" t="n"/>
      <c r="G2" s="1" t="n"/>
      <c r="H2" s="1" t="n"/>
    </row>
    <row r="4">
      <c r="A4" s="69" t="inlineStr">
        <is>
          <t>Tender ID</t>
        </is>
      </c>
      <c r="B4" s="69" t="inlineStr">
        <is>
          <t>Agency</t>
        </is>
      </c>
      <c r="C4" s="69" t="inlineStr">
        <is>
          <t>Tender Number</t>
        </is>
      </c>
      <c r="D4" s="69" t="inlineStr">
        <is>
          <t>Technology</t>
        </is>
      </c>
      <c r="E4" s="69" t="inlineStr">
        <is>
          <t>Submission Date</t>
        </is>
      </c>
      <c r="F4" s="69" t="inlineStr">
        <is>
          <t>Days Left</t>
        </is>
      </c>
      <c r="G4" s="69" t="inlineStr">
        <is>
          <t>Status</t>
        </is>
      </c>
      <c r="H4" s="69" t="inlineStr">
        <is>
          <t>Tender URL</t>
        </is>
      </c>
    </row>
    <row r="5">
      <c r="A5">
        <f t="array" ref="A5:A7">_xlfn._xlws.FILTER(CHOOSE({1,2,3,4,5,6,7,8},'Master Tenders'!A2:A501,'Master Tenders'!C2:C501,'Master Tenders'!E2:E501,'Master Tenders'!F2:F501,'Master Tenders'!N2:N501,'Master Tenders'!W2:W501,'Master Tenders'!Q2:Q501,'Master Tenders'!T2:T501),('Master Tenders'!N2:N501&gt;=TODAY())*('Master Tenders'!N2:N501&lt;=TODAY()+30),"No deadlines in next 30 days")</f>
        <v/>
      </c>
      <c r="E5" s="281" t="n"/>
    </row>
    <row r="6">
      <c r="A6" t="inlineStr">
        <is>
          <t>SECI000258</t>
        </is>
      </c>
      <c r="E6" s="281" t="n"/>
    </row>
    <row r="7">
      <c r="A7" t="inlineStr">
        <is>
          <t>SJVN-BESS2</t>
        </is>
      </c>
      <c r="E7" s="281" t="n"/>
    </row>
    <row r="8">
      <c r="A8" t="inlineStr">
        <is>
          <t>SJVN-BESS2</t>
        </is>
      </c>
      <c r="E8" s="281" t="n"/>
    </row>
    <row r="9">
      <c r="A9" t="inlineStr">
        <is>
          <t>SJVN-GEM7789243</t>
        </is>
      </c>
      <c r="E9" s="281" t="n"/>
    </row>
    <row r="10">
      <c r="A10" t="inlineStr">
        <is>
          <t>SECI000249</t>
        </is>
      </c>
      <c r="E10" s="281" t="n"/>
    </row>
    <row r="11">
      <c r="A11" t="inlineStr">
        <is>
          <t>NTPC29985</t>
        </is>
      </c>
      <c r="E11" s="281" t="n"/>
    </row>
    <row r="12">
      <c r="A12" t="inlineStr">
        <is>
          <t>SJVN-BESS2</t>
        </is>
      </c>
      <c r="E12" s="281" t="n"/>
    </row>
    <row r="13">
      <c r="A13" t="inlineStr">
        <is>
          <t>SJVN-GEM7789243</t>
        </is>
      </c>
      <c r="E13" s="281" t="n"/>
    </row>
    <row r="14">
      <c r="E14" s="281" t="n"/>
    </row>
    <row r="15">
      <c r="E15" s="281" t="n"/>
    </row>
    <row r="16">
      <c r="E16" s="281" t="n"/>
    </row>
    <row r="17">
      <c r="E17" s="281" t="n"/>
    </row>
    <row r="18">
      <c r="E18" s="281" t="n"/>
    </row>
    <row r="19">
      <c r="E19" s="281" t="n"/>
    </row>
    <row r="20">
      <c r="E20" s="281" t="n"/>
    </row>
    <row r="21">
      <c r="E21" s="281" t="n"/>
    </row>
    <row r="22">
      <c r="E22" s="281" t="n"/>
    </row>
    <row r="23">
      <c r="E23" s="281" t="n"/>
    </row>
    <row r="24">
      <c r="E24" s="281" t="n"/>
    </row>
    <row r="25">
      <c r="E25" s="281" t="n"/>
    </row>
    <row r="26">
      <c r="E26" s="281" t="n"/>
    </row>
    <row r="27">
      <c r="E27" s="281" t="n"/>
    </row>
    <row r="28">
      <c r="E28" s="281" t="n"/>
    </row>
    <row r="29">
      <c r="E29" s="281" t="n"/>
    </row>
    <row r="30">
      <c r="E30" s="281" t="n"/>
    </row>
    <row r="31">
      <c r="E31" s="281" t="n"/>
    </row>
    <row r="32">
      <c r="E32" s="281" t="n"/>
    </row>
    <row r="33">
      <c r="E33" s="281" t="n"/>
    </row>
    <row r="34">
      <c r="E34" s="281" t="n"/>
    </row>
    <row r="35">
      <c r="E35" s="281" t="n"/>
    </row>
    <row r="36">
      <c r="E36" s="281" t="n"/>
    </row>
    <row r="37">
      <c r="E37" s="281" t="n"/>
    </row>
    <row r="38">
      <c r="E38" s="281" t="n"/>
    </row>
    <row r="39">
      <c r="E39" s="281" t="n"/>
    </row>
    <row r="40">
      <c r="E40" s="281" t="n"/>
    </row>
    <row r="41">
      <c r="E41" s="281" t="n"/>
    </row>
    <row r="42">
      <c r="E42" s="281" t="n"/>
    </row>
    <row r="43">
      <c r="E43" s="281" t="n"/>
    </row>
    <row r="44">
      <c r="E44" s="281" t="n"/>
    </row>
    <row r="45">
      <c r="E45" s="281" t="n"/>
    </row>
    <row r="46">
      <c r="E46" s="281" t="n"/>
    </row>
    <row r="47">
      <c r="E47" s="281" t="n"/>
    </row>
    <row r="48">
      <c r="E48" s="281" t="n"/>
    </row>
    <row r="49">
      <c r="E49" s="281" t="n"/>
    </row>
    <row r="50">
      <c r="E50" s="281" t="n"/>
    </row>
    <row r="51">
      <c r="E51" s="281" t="n"/>
    </row>
    <row r="52">
      <c r="E52" s="281" t="n"/>
    </row>
    <row r="53">
      <c r="E53" s="281" t="n"/>
    </row>
    <row r="54">
      <c r="E54" s="281" t="n"/>
    </row>
    <row r="55">
      <c r="E55" s="281" t="n"/>
    </row>
    <row r="56">
      <c r="E56" s="281" t="n"/>
    </row>
    <row r="57">
      <c r="E57" s="281" t="n"/>
    </row>
    <row r="58">
      <c r="E58" s="281" t="n"/>
    </row>
    <row r="59">
      <c r="E59" s="281" t="n"/>
    </row>
    <row r="60">
      <c r="E60" s="281" t="n"/>
    </row>
    <row r="61">
      <c r="E61" s="281" t="n"/>
    </row>
    <row r="62">
      <c r="E62" s="281" t="n"/>
    </row>
    <row r="63">
      <c r="E63" s="281" t="n"/>
    </row>
    <row r="64">
      <c r="E64" s="281" t="n"/>
    </row>
    <row r="65">
      <c r="E65" s="281" t="n"/>
    </row>
    <row r="66">
      <c r="E66" s="281" t="n"/>
    </row>
    <row r="67">
      <c r="E67" s="281" t="n"/>
    </row>
    <row r="68">
      <c r="E68" s="281" t="n"/>
    </row>
    <row r="69">
      <c r="E69" s="281" t="n"/>
    </row>
    <row r="70">
      <c r="E70" s="281" t="n"/>
    </row>
    <row r="71">
      <c r="E71" s="281" t="n"/>
    </row>
    <row r="72">
      <c r="E72" s="281" t="n"/>
    </row>
    <row r="73">
      <c r="E73" s="281" t="n"/>
    </row>
    <row r="74">
      <c r="E74" s="281" t="n"/>
    </row>
    <row r="75">
      <c r="E75" s="281" t="n"/>
    </row>
    <row r="76">
      <c r="E76" s="281" t="n"/>
    </row>
    <row r="77">
      <c r="E77" s="281" t="n"/>
    </row>
    <row r="78">
      <c r="E78" s="281" t="n"/>
    </row>
    <row r="79">
      <c r="E79" s="281" t="n"/>
    </row>
    <row r="80">
      <c r="E80" s="281" t="n"/>
    </row>
    <row r="81">
      <c r="E81" s="281" t="n"/>
    </row>
    <row r="82">
      <c r="E82" s="281" t="n"/>
    </row>
    <row r="83">
      <c r="E83" s="281" t="n"/>
    </row>
    <row r="84">
      <c r="E84" s="281" t="n"/>
    </row>
    <row r="85">
      <c r="E85" s="281" t="n"/>
    </row>
    <row r="86">
      <c r="E86" s="281" t="n"/>
    </row>
    <row r="87">
      <c r="E87" s="281" t="n"/>
    </row>
    <row r="88">
      <c r="E88" s="281" t="n"/>
    </row>
    <row r="89">
      <c r="E89" s="281" t="n"/>
    </row>
    <row r="90">
      <c r="E90" s="281" t="n"/>
    </row>
    <row r="91">
      <c r="E91" s="281" t="n"/>
    </row>
    <row r="92">
      <c r="E92" s="281" t="n"/>
    </row>
    <row r="93">
      <c r="E93" s="281" t="n"/>
    </row>
    <row r="94">
      <c r="E94" s="281" t="n"/>
    </row>
    <row r="95">
      <c r="E95" s="281" t="n"/>
    </row>
    <row r="96">
      <c r="E96" s="281" t="n"/>
    </row>
    <row r="97">
      <c r="E97" s="281" t="n"/>
    </row>
    <row r="98">
      <c r="E98" s="281" t="n"/>
    </row>
    <row r="99">
      <c r="E99" s="281" t="n"/>
    </row>
    <row r="100">
      <c r="E100" s="281" t="n"/>
    </row>
    <row r="101">
      <c r="E101" s="281" t="n"/>
    </row>
    <row r="102">
      <c r="E102" s="281" t="n"/>
    </row>
    <row r="103">
      <c r="E103" s="281" t="n"/>
    </row>
    <row r="104">
      <c r="E104" s="281" t="n"/>
    </row>
    <row r="105">
      <c r="E105" s="281" t="n"/>
    </row>
    <row r="106">
      <c r="E106" s="281" t="n"/>
    </row>
    <row r="107">
      <c r="E107" s="281" t="n"/>
    </row>
    <row r="108">
      <c r="E108" s="281" t="n"/>
    </row>
    <row r="109">
      <c r="E109" s="281" t="n"/>
    </row>
    <row r="110">
      <c r="E110" s="281" t="n"/>
    </row>
    <row r="111">
      <c r="E111" s="281" t="n"/>
    </row>
    <row r="112">
      <c r="E112" s="281" t="n"/>
    </row>
    <row r="113">
      <c r="E113" s="281" t="n"/>
    </row>
    <row r="114">
      <c r="E114" s="281" t="n"/>
    </row>
    <row r="115">
      <c r="E115" s="281" t="n"/>
    </row>
    <row r="116">
      <c r="E116" s="281" t="n"/>
    </row>
    <row r="117">
      <c r="E117" s="281" t="n"/>
    </row>
    <row r="118">
      <c r="E118" s="281" t="n"/>
    </row>
    <row r="119">
      <c r="E119" s="281" t="n"/>
    </row>
    <row r="120">
      <c r="E120" s="281" t="n"/>
    </row>
    <row r="121">
      <c r="E121" s="281" t="n"/>
    </row>
    <row r="122">
      <c r="E122" s="281" t="n"/>
    </row>
    <row r="123">
      <c r="E123" s="281" t="n"/>
    </row>
    <row r="124">
      <c r="E124" s="281" t="n"/>
    </row>
    <row r="125">
      <c r="E125" s="281" t="n"/>
    </row>
    <row r="126">
      <c r="E126" s="281" t="n"/>
    </row>
    <row r="127">
      <c r="E127" s="281" t="n"/>
    </row>
    <row r="128">
      <c r="E128" s="281" t="n"/>
    </row>
    <row r="129">
      <c r="E129" s="281" t="n"/>
    </row>
    <row r="130">
      <c r="E130" s="281" t="n"/>
    </row>
    <row r="131">
      <c r="E131" s="281" t="n"/>
    </row>
    <row r="132">
      <c r="E132" s="281" t="n"/>
    </row>
    <row r="133">
      <c r="E133" s="281" t="n"/>
    </row>
    <row r="134">
      <c r="E134" s="281" t="n"/>
    </row>
    <row r="135">
      <c r="E135" s="281" t="n"/>
    </row>
    <row r="136">
      <c r="E136" s="281" t="n"/>
    </row>
    <row r="137">
      <c r="E137" s="281" t="n"/>
    </row>
    <row r="138">
      <c r="E138" s="281" t="n"/>
    </row>
    <row r="139">
      <c r="E139" s="281" t="n"/>
    </row>
    <row r="140">
      <c r="E140" s="281" t="n"/>
    </row>
    <row r="141">
      <c r="E141" s="281" t="n"/>
    </row>
    <row r="142">
      <c r="E142" s="281" t="n"/>
    </row>
    <row r="143">
      <c r="E143" s="281" t="n"/>
    </row>
    <row r="144">
      <c r="E144" s="281" t="n"/>
    </row>
    <row r="145">
      <c r="E145" s="281" t="n"/>
    </row>
    <row r="146">
      <c r="E146" s="281" t="n"/>
    </row>
    <row r="147">
      <c r="E147" s="281" t="n"/>
    </row>
    <row r="148">
      <c r="E148" s="281" t="n"/>
    </row>
    <row r="149">
      <c r="E149" s="281" t="n"/>
    </row>
    <row r="150">
      <c r="E150" s="281" t="n"/>
    </row>
    <row r="151">
      <c r="E151" s="281" t="n"/>
    </row>
    <row r="152">
      <c r="E152" s="281" t="n"/>
    </row>
    <row r="153">
      <c r="E153" s="281" t="n"/>
    </row>
    <row r="154">
      <c r="E154" s="281" t="n"/>
    </row>
    <row r="155">
      <c r="E155" s="281" t="n"/>
    </row>
    <row r="156">
      <c r="E156" s="281" t="n"/>
    </row>
    <row r="157">
      <c r="E157" s="281" t="n"/>
    </row>
    <row r="158">
      <c r="E158" s="281" t="n"/>
    </row>
    <row r="159">
      <c r="E159" s="281" t="n"/>
    </row>
    <row r="160">
      <c r="E160" s="281" t="n"/>
    </row>
    <row r="161">
      <c r="E161" s="281" t="n"/>
    </row>
    <row r="162">
      <c r="E162" s="281" t="n"/>
    </row>
    <row r="163">
      <c r="E163" s="281" t="n"/>
    </row>
    <row r="164">
      <c r="E164" s="281" t="n"/>
    </row>
    <row r="165">
      <c r="E165" s="281" t="n"/>
    </row>
    <row r="166">
      <c r="E166" s="281" t="n"/>
    </row>
    <row r="167">
      <c r="E167" s="281" t="n"/>
    </row>
    <row r="168">
      <c r="E168" s="281" t="n"/>
    </row>
    <row r="169">
      <c r="E169" s="281" t="n"/>
    </row>
    <row r="170">
      <c r="E170" s="281" t="n"/>
    </row>
    <row r="171">
      <c r="E171" s="281" t="n"/>
    </row>
    <row r="172">
      <c r="E172" s="281" t="n"/>
    </row>
    <row r="173">
      <c r="E173" s="281" t="n"/>
    </row>
    <row r="174">
      <c r="E174" s="281" t="n"/>
    </row>
    <row r="175">
      <c r="E175" s="281" t="n"/>
    </row>
    <row r="176">
      <c r="E176" s="281" t="n"/>
    </row>
    <row r="177">
      <c r="E177" s="281" t="n"/>
    </row>
    <row r="178">
      <c r="E178" s="281" t="n"/>
    </row>
    <row r="179">
      <c r="E179" s="281" t="n"/>
    </row>
    <row r="180">
      <c r="E180" s="281" t="n"/>
    </row>
    <row r="181">
      <c r="E181" s="281" t="n"/>
    </row>
    <row r="182">
      <c r="E182" s="281" t="n"/>
    </row>
    <row r="183">
      <c r="E183" s="281" t="n"/>
    </row>
    <row r="184">
      <c r="E184" s="281" t="n"/>
    </row>
    <row r="185">
      <c r="E185" s="281" t="n"/>
    </row>
    <row r="186">
      <c r="E186" s="281" t="n"/>
    </row>
    <row r="187">
      <c r="E187" s="281" t="n"/>
    </row>
    <row r="188">
      <c r="E188" s="281" t="n"/>
    </row>
    <row r="189">
      <c r="E189" s="281" t="n"/>
    </row>
    <row r="190">
      <c r="E190" s="281" t="n"/>
    </row>
    <row r="191">
      <c r="E191" s="281" t="n"/>
    </row>
    <row r="192">
      <c r="E192" s="281" t="n"/>
    </row>
    <row r="193">
      <c r="E193" s="281" t="n"/>
    </row>
    <row r="194">
      <c r="E194" s="281" t="n"/>
    </row>
    <row r="195">
      <c r="E195" s="281" t="n"/>
    </row>
    <row r="196">
      <c r="E196" s="281" t="n"/>
    </row>
    <row r="197">
      <c r="E197" s="281" t="n"/>
    </row>
    <row r="198">
      <c r="E198" s="281" t="n"/>
    </row>
    <row r="199">
      <c r="E199" s="281" t="n"/>
    </row>
    <row r="200">
      <c r="E200" s="281" t="n"/>
    </row>
  </sheetData>
  <mergeCells count="1">
    <mergeCell ref="A1:H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5" customWidth="1" style="64" min="1" max="1"/>
    <col width="18" customWidth="1" style="64" min="2" max="2"/>
    <col width="42" customWidth="1" style="64" min="3" max="3"/>
    <col width="18" customWidth="1" style="64" min="4" max="4"/>
    <col width="16" customWidth="1" style="64" min="5" max="5"/>
    <col width="22" customWidth="1" style="64" min="6" max="6"/>
    <col width="14" customWidth="1" style="64" min="7" max="7"/>
    <col width="16" customWidth="1" style="64" min="8" max="8"/>
    <col width="34" customWidth="1" style="64" min="9" max="9"/>
    <col width="34" customWidth="1" style="64" min="10" max="10"/>
  </cols>
  <sheetData>
    <row r="1">
      <c r="A1" s="287" t="inlineStr">
        <is>
          <t>Agency Source Registry &amp; Connector Readiness</t>
        </is>
      </c>
      <c r="B1" s="1" t="n"/>
      <c r="C1" s="1" t="n"/>
      <c r="D1" s="1" t="n"/>
      <c r="E1" s="1" t="n"/>
      <c r="F1" s="1" t="n"/>
      <c r="G1" s="1" t="n"/>
      <c r="H1" s="1" t="n"/>
      <c r="I1" s="1" t="n"/>
      <c r="J1" s="1" t="n"/>
    </row>
    <row r="2">
      <c r="A2" s="1" t="n"/>
      <c r="B2" s="1" t="n"/>
      <c r="C2" s="1" t="n"/>
      <c r="D2" s="1" t="n"/>
      <c r="E2" s="1" t="n"/>
      <c r="F2" s="1" t="n"/>
      <c r="G2" s="1" t="n"/>
      <c r="H2" s="1" t="n"/>
      <c r="I2" s="1" t="n"/>
      <c r="J2" s="1" t="n"/>
    </row>
    <row r="3">
      <c r="A3" s="288" t="inlineStr">
        <is>
          <t>Official source URLs are configuration inputs. Connector status indicates whether V3 contains a dedicated parser or only a generic framework.</t>
        </is>
      </c>
      <c r="B3" s="1" t="n"/>
      <c r="C3" s="1" t="n"/>
      <c r="D3" s="1" t="n"/>
      <c r="E3" s="1" t="n"/>
      <c r="F3" s="1" t="n"/>
      <c r="G3" s="1" t="n"/>
      <c r="H3" s="1" t="n"/>
      <c r="I3" s="1" t="n"/>
      <c r="J3" s="1" t="n"/>
    </row>
    <row r="5">
      <c r="A5" s="104" t="inlineStr">
        <is>
          <t>Category</t>
        </is>
      </c>
      <c r="B5" s="104" t="inlineStr">
        <is>
          <t>Agency</t>
        </is>
      </c>
      <c r="C5" s="104" t="inlineStr">
        <is>
          <t>Official Source URL</t>
        </is>
      </c>
      <c r="D5" s="104" t="inlineStr">
        <is>
          <t>Source Type</t>
        </is>
      </c>
      <c r="E5" s="104" t="inlineStr">
        <is>
          <t>Dedicated Connector</t>
        </is>
      </c>
      <c r="F5" s="104" t="inlineStr">
        <is>
          <t>Connector Status</t>
        </is>
      </c>
      <c r="G5" s="104" t="inlineStr">
        <is>
          <t>Last Test Date</t>
        </is>
      </c>
      <c r="H5" s="104" t="inlineStr">
        <is>
          <t>Authentication</t>
        </is>
      </c>
      <c r="I5" s="104" t="inlineStr">
        <is>
          <t>Expected Fields</t>
        </is>
      </c>
      <c r="J5" s="104" t="inlineStr">
        <is>
          <t>Notes</t>
        </is>
      </c>
    </row>
    <row r="6">
      <c r="A6" s="37" t="inlineStr">
        <is>
          <t>Central</t>
        </is>
      </c>
      <c r="B6" s="37" t="inlineStr">
        <is>
          <t>SECI</t>
        </is>
      </c>
      <c r="C6" s="37" t="inlineStr">
        <is>
          <t>https://seci.co.in/tenders/</t>
        </is>
      </c>
      <c r="D6" s="37" t="inlineStr">
        <is>
          <t>HTML table/details</t>
        </is>
      </c>
      <c r="E6" s="37" t="inlineStr">
        <is>
          <t>Yes</t>
        </is>
      </c>
      <c r="F6" s="37" t="inlineStr">
        <is>
          <t>V3 parser included</t>
        </is>
      </c>
      <c r="G6" s="276" t="n">
        <v>46236</v>
      </c>
      <c r="H6" s="37" t="inlineStr">
        <is>
          <t>None</t>
        </is>
      </c>
      <c r="I6" s="37" t="inlineStr">
        <is>
          <t>ID, reference, title, publication date, submission date, detail link</t>
        </is>
      </c>
      <c r="J6" s="37" t="inlineStr">
        <is>
          <t>Official tender listing</t>
        </is>
      </c>
    </row>
    <row r="7">
      <c r="A7" s="37" t="inlineStr">
        <is>
          <t>Central</t>
        </is>
      </c>
      <c r="B7" s="37" t="inlineStr">
        <is>
          <t>NTPC REL</t>
        </is>
      </c>
      <c r="C7" s="37" t="inlineStr">
        <is>
          <t>https://ntpctender.ntpc.co.in/Index/Search?Region=10&amp;Type=Reg</t>
        </is>
      </c>
      <c r="D7" s="37" t="inlineStr">
        <is>
          <t>HTML search/details</t>
        </is>
      </c>
      <c r="E7" s="37" t="inlineStr">
        <is>
          <t>Yes</t>
        </is>
      </c>
      <c r="F7" s="37" t="inlineStr">
        <is>
          <t>V3 parser included</t>
        </is>
      </c>
      <c r="G7" s="276" t="n">
        <v>46236</v>
      </c>
      <c r="H7" s="37" t="inlineStr">
        <is>
          <t>None</t>
        </is>
      </c>
      <c r="I7" s="37" t="inlineStr">
        <is>
          <t>NIT no., title, closing/submission/opening dates, EMD, corrigendum</t>
        </is>
      </c>
      <c r="J7" s="37" t="inlineStr">
        <is>
          <t>Renewable Energy region search</t>
        </is>
      </c>
    </row>
    <row r="8">
      <c r="A8" s="37" t="inlineStr">
        <is>
          <t>Central</t>
        </is>
      </c>
      <c r="B8" s="37" t="inlineStr">
        <is>
          <t>NHPC</t>
        </is>
      </c>
      <c r="C8" s="37" t="inlineStr">
        <is>
          <t>https://www.nhpcindia.com/</t>
        </is>
      </c>
      <c r="D8" s="37" t="inlineStr">
        <is>
          <t>HTML/PDF</t>
        </is>
      </c>
      <c r="E8" s="37" t="inlineStr">
        <is>
          <t>Yes</t>
        </is>
      </c>
      <c r="F8" s="37" t="inlineStr">
        <is>
          <t>V4 parser included</t>
        </is>
      </c>
      <c r="G8" s="276" t="n">
        <v>46236</v>
      </c>
      <c r="H8" s="37" t="inlineStr">
        <is>
          <t>None</t>
        </is>
      </c>
      <c r="I8" s="37" t="inlineStr">
        <is>
          <t>Title, notice date, deadline, link</t>
        </is>
      </c>
      <c r="J8" s="37" t="inlineStr">
        <is>
          <t>Dedicated parser planned</t>
        </is>
      </c>
    </row>
    <row r="9">
      <c r="A9" s="37" t="inlineStr">
        <is>
          <t>Central</t>
        </is>
      </c>
      <c r="B9" s="37" t="inlineStr">
        <is>
          <t>SJVN</t>
        </is>
      </c>
      <c r="C9" s="37" t="inlineStr">
        <is>
          <t>https://sjvn.nic.in/en/tender</t>
        </is>
      </c>
      <c r="D9" s="37" t="inlineStr">
        <is>
          <t>HTML details</t>
        </is>
      </c>
      <c r="E9" s="37" t="inlineStr">
        <is>
          <t>Yes</t>
        </is>
      </c>
      <c r="F9" s="37" t="inlineStr">
        <is>
          <t>V4 parser included</t>
        </is>
      </c>
      <c r="G9" s="276" t="n">
        <v>46236</v>
      </c>
      <c r="H9" s="37" t="inlineStr">
        <is>
          <t>None</t>
        </is>
      </c>
      <c r="I9" s="37" t="inlineStr">
        <is>
          <t>Tender ref., title, NIT date, submission date, detail link</t>
        </is>
      </c>
      <c r="J9" s="37" t="inlineStr">
        <is>
          <t>Dedicated parser planned</t>
        </is>
      </c>
    </row>
    <row r="10">
      <c r="A10" s="37" t="inlineStr">
        <is>
          <t>Central</t>
        </is>
      </c>
      <c r="B10" s="37" t="inlineStr">
        <is>
          <t>NLCIL</t>
        </is>
      </c>
      <c r="C10" s="37" t="inlineStr">
        <is>
          <t>https://www.nlcindia.in/</t>
        </is>
      </c>
      <c r="D10" s="37" t="inlineStr">
        <is>
          <t>HTML/PDF</t>
        </is>
      </c>
      <c r="E10" s="37" t="inlineStr">
        <is>
          <t>No</t>
        </is>
      </c>
      <c r="F10" s="37" t="inlineStr">
        <is>
          <t>Generic connector only</t>
        </is>
      </c>
      <c r="G10" s="276" t="str"/>
      <c r="H10" s="37" t="inlineStr">
        <is>
          <t>None</t>
        </is>
      </c>
      <c r="I10" s="37" t="inlineStr">
        <is>
          <t>Title, date, deadline, link</t>
        </is>
      </c>
      <c r="J10" s="37" t="inlineStr">
        <is>
          <t>Dedicated parser planned</t>
        </is>
      </c>
    </row>
    <row r="11">
      <c r="A11" s="37" t="inlineStr">
        <is>
          <t>Central</t>
        </is>
      </c>
      <c r="B11" s="37" t="inlineStr">
        <is>
          <t>REMCL</t>
        </is>
      </c>
      <c r="C11" s="37" t="inlineStr">
        <is>
          <t>https://www.remcl.in/</t>
        </is>
      </c>
      <c r="D11" s="37" t="inlineStr">
        <is>
          <t>HTML/PDF</t>
        </is>
      </c>
      <c r="E11" s="37" t="inlineStr">
        <is>
          <t>No</t>
        </is>
      </c>
      <c r="F11" s="37" t="inlineStr">
        <is>
          <t>Generic connector only</t>
        </is>
      </c>
      <c r="G11" s="276" t="str"/>
      <c r="H11" s="37" t="inlineStr">
        <is>
          <t>None</t>
        </is>
      </c>
      <c r="I11" s="37" t="inlineStr">
        <is>
          <t>Title, date, deadline, link</t>
        </is>
      </c>
      <c r="J11" s="37" t="inlineStr">
        <is>
          <t>Dedicated parser planned</t>
        </is>
      </c>
    </row>
    <row r="12">
      <c r="A12" s="37" t="inlineStr">
        <is>
          <t>Central</t>
        </is>
      </c>
      <c r="B12" s="37" t="inlineStr">
        <is>
          <t>GUVNL (ISTS)</t>
        </is>
      </c>
      <c r="C12" s="37" t="inlineStr">
        <is>
          <t>https://www.guvnl.com/</t>
        </is>
      </c>
      <c r="D12" s="37" t="inlineStr">
        <is>
          <t>HTML/PDF</t>
        </is>
      </c>
      <c r="E12" s="37" t="inlineStr">
        <is>
          <t>No</t>
        </is>
      </c>
      <c r="F12" s="37" t="inlineStr">
        <is>
          <t>Generic connector only</t>
        </is>
      </c>
      <c r="G12" s="276" t="str"/>
      <c r="H12" s="37" t="inlineStr">
        <is>
          <t>None</t>
        </is>
      </c>
      <c r="I12" s="37" t="inlineStr">
        <is>
          <t>Title, date, deadline, link</t>
        </is>
      </c>
      <c r="J12" s="37" t="inlineStr">
        <is>
          <t>Dedicated parser planned</t>
        </is>
      </c>
    </row>
    <row r="13">
      <c r="A13" s="37" t="inlineStr">
        <is>
          <t>Others</t>
        </is>
      </c>
      <c r="B13" s="37" t="inlineStr">
        <is>
          <t>Central Public Procurement Portal</t>
        </is>
      </c>
      <c r="C13" s="37" t="inlineStr">
        <is>
          <t>https://eprocure.gov.in/eprocure/app</t>
        </is>
      </c>
      <c r="D13" s="37" t="inlineStr">
        <is>
          <t>Portal</t>
        </is>
      </c>
      <c r="E13" s="37" t="inlineStr">
        <is>
          <t>No</t>
        </is>
      </c>
      <c r="F13" s="37" t="inlineStr">
        <is>
          <t>Manual/export integration</t>
        </is>
      </c>
      <c r="G13" s="276" t="str"/>
      <c r="H13" s="37" t="inlineStr">
        <is>
          <t>Portal controls</t>
        </is>
      </c>
      <c r="I13" s="37" t="inlineStr">
        <is>
          <t>Tender no., title, dates, organisation, document links</t>
        </is>
      </c>
      <c r="J13" s="37" t="inlineStr">
        <is>
          <t>Portal restrictions may apply</t>
        </is>
      </c>
    </row>
  </sheetData>
  <mergeCells count="2">
    <mergeCell ref="A1:J2"/>
    <mergeCell ref="A3:J3"/>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8" customWidth="1" style="64" min="1" max="1"/>
    <col width="40" customWidth="1" style="64" min="2" max="2"/>
    <col width="22" customWidth="1" style="64" min="3" max="3"/>
    <col width="10" customWidth="1" style="64" min="4" max="4"/>
    <col width="38" customWidth="1" style="64" min="5" max="5"/>
    <col width="12" customWidth="1" style="64" min="6" max="6"/>
    <col width="32" customWidth="1" style="64" min="7" max="7"/>
  </cols>
  <sheetData>
    <row r="1">
      <c r="A1" s="287" t="inlineStr">
        <is>
          <t>Rule-Based Tender Field Extraction</t>
        </is>
      </c>
      <c r="B1" s="1" t="n"/>
      <c r="C1" s="1" t="n"/>
      <c r="D1" s="1" t="n"/>
      <c r="E1" s="1" t="n"/>
      <c r="F1" s="1" t="n"/>
      <c r="G1" s="1" t="n"/>
    </row>
    <row r="2">
      <c r="A2" s="1" t="n"/>
      <c r="B2" s="1" t="n"/>
      <c r="C2" s="1" t="n"/>
      <c r="D2" s="1" t="n"/>
      <c r="E2" s="1" t="n"/>
      <c r="F2" s="1" t="n"/>
      <c r="G2" s="1" t="n"/>
    </row>
    <row r="4">
      <c r="A4" s="104" t="inlineStr">
        <is>
          <t>Field</t>
        </is>
      </c>
      <c r="B4" s="104" t="inlineStr">
        <is>
          <t>Pattern / Keyword</t>
        </is>
      </c>
      <c r="C4" s="104" t="inlineStr">
        <is>
          <t>Output</t>
        </is>
      </c>
      <c r="D4" s="104" t="inlineStr">
        <is>
          <t>Priority</t>
        </is>
      </c>
      <c r="E4" s="104" t="inlineStr">
        <is>
          <t>Example Match</t>
        </is>
      </c>
      <c r="F4" s="104" t="inlineStr">
        <is>
          <t>Enabled</t>
        </is>
      </c>
      <c r="G4" s="104" t="inlineStr">
        <is>
          <t>Notes</t>
        </is>
      </c>
    </row>
    <row r="5">
      <c r="A5" s="37" t="inlineStr">
        <is>
          <t>Technology</t>
        </is>
      </c>
      <c r="B5" s="37" t="inlineStr">
        <is>
          <t>solar + bess|solar.*battery</t>
        </is>
      </c>
      <c r="C5" s="37" t="inlineStr">
        <is>
          <t>Solar + BESS</t>
        </is>
      </c>
      <c r="D5" s="37" t="n">
        <v>1</v>
      </c>
      <c r="E5" s="37" t="inlineStr">
        <is>
          <t>70 MW solar paired with 25 MW / 50 MWh BESS</t>
        </is>
      </c>
      <c r="F5" s="37" t="inlineStr">
        <is>
          <t>Yes</t>
        </is>
      </c>
      <c r="G5" s="37" t="str"/>
    </row>
    <row r="6">
      <c r="A6" s="37" t="inlineStr">
        <is>
          <t>Technology</t>
        </is>
      </c>
      <c r="B6" s="37" t="inlineStr">
        <is>
          <t>firm and dispatchable|fdre</t>
        </is>
      </c>
      <c r="C6" s="37" t="inlineStr">
        <is>
          <t>FDRE</t>
        </is>
      </c>
      <c r="D6" s="37" t="n">
        <v>1</v>
      </c>
      <c r="E6" s="37" t="inlineStr">
        <is>
          <t>Firm and Dispatchable Renewable Energy</t>
        </is>
      </c>
      <c r="F6" s="37" t="inlineStr">
        <is>
          <t>Yes</t>
        </is>
      </c>
      <c r="G6" s="37" t="str"/>
    </row>
    <row r="7">
      <c r="A7" s="37" t="inlineStr">
        <is>
          <t>Technology</t>
        </is>
      </c>
      <c r="B7" s="37" t="inlineStr">
        <is>
          <t>wind solar hybrid|hybrid renewable</t>
        </is>
      </c>
      <c r="C7" s="37" t="inlineStr">
        <is>
          <t>Hybrid</t>
        </is>
      </c>
      <c r="D7" s="37" t="n">
        <v>2</v>
      </c>
      <c r="E7" s="37" t="inlineStr">
        <is>
          <t>Wind-Solar Hybrid</t>
        </is>
      </c>
      <c r="F7" s="37" t="inlineStr">
        <is>
          <t>Yes</t>
        </is>
      </c>
      <c r="G7" s="37" t="str"/>
    </row>
    <row r="8">
      <c r="A8" s="37" t="inlineStr">
        <is>
          <t>Technology</t>
        </is>
      </c>
      <c r="B8" s="37" t="inlineStr">
        <is>
          <t>battery energy storage|\bbess\b</t>
        </is>
      </c>
      <c r="C8" s="37" t="inlineStr">
        <is>
          <t>BESS</t>
        </is>
      </c>
      <c r="D8" s="37" t="n">
        <v>2</v>
      </c>
      <c r="E8" s="37" t="inlineStr">
        <is>
          <t>240 MW / 960 MWh BESS</t>
        </is>
      </c>
      <c r="F8" s="37" t="inlineStr">
        <is>
          <t>Yes</t>
        </is>
      </c>
      <c r="G8" s="37" t="str"/>
    </row>
    <row r="9">
      <c r="A9" s="37" t="inlineStr">
        <is>
          <t>Technology</t>
        </is>
      </c>
      <c r="B9" s="37" t="inlineStr">
        <is>
          <t>pumped storage|\bpsp\b</t>
        </is>
      </c>
      <c r="C9" s="37" t="inlineStr">
        <is>
          <t>Pumped Storage</t>
        </is>
      </c>
      <c r="D9" s="37" t="n">
        <v>1</v>
      </c>
      <c r="E9" s="37" t="inlineStr">
        <is>
          <t>1500 MW / 12000 MWh Pumped Storage</t>
        </is>
      </c>
      <c r="F9" s="37" t="inlineStr">
        <is>
          <t>Yes</t>
        </is>
      </c>
      <c r="G9" s="37" t="str"/>
    </row>
    <row r="10">
      <c r="A10" s="37" t="inlineStr">
        <is>
          <t>Technology</t>
        </is>
      </c>
      <c r="B10" s="37" t="inlineStr">
        <is>
          <t>\bwind\b</t>
        </is>
      </c>
      <c r="C10" s="37" t="inlineStr">
        <is>
          <t>Wind</t>
        </is>
      </c>
      <c r="D10" s="37" t="n">
        <v>3</v>
      </c>
      <c r="E10" s="37" t="inlineStr">
        <is>
          <t>45.6 MW Wind Power Project</t>
        </is>
      </c>
      <c r="F10" s="37" t="inlineStr">
        <is>
          <t>Yes</t>
        </is>
      </c>
      <c r="G10" s="37" t="str"/>
    </row>
    <row r="11">
      <c r="A11" s="37" t="inlineStr">
        <is>
          <t>Technology</t>
        </is>
      </c>
      <c r="B11" s="37" t="inlineStr">
        <is>
          <t>\bsolar\b|solar pv</t>
        </is>
      </c>
      <c r="C11" s="37" t="inlineStr">
        <is>
          <t>Solar</t>
        </is>
      </c>
      <c r="D11" s="37" t="n">
        <v>4</v>
      </c>
      <c r="E11" s="37" t="inlineStr">
        <is>
          <t>Grid Connected Solar PV</t>
        </is>
      </c>
      <c r="F11" s="37" t="inlineStr">
        <is>
          <t>Yes</t>
        </is>
      </c>
      <c r="G11" s="37" t="str"/>
    </row>
    <row r="12">
      <c r="A12" s="37" t="inlineStr">
        <is>
          <t>Storage Hours</t>
        </is>
      </c>
      <c r="B12" s="37" t="inlineStr">
        <is>
          <t>(\d+(?:\.\d+)?)\s*(?:hour|hr|hrs)</t>
        </is>
      </c>
      <c r="C12" s="37" t="inlineStr">
        <is>
          <t>Captured hours</t>
        </is>
      </c>
      <c r="D12" s="37" t="n">
        <v>1</v>
      </c>
      <c r="E12" s="37" t="inlineStr">
        <is>
          <t>500 MW x 2 Hrs.</t>
        </is>
      </c>
      <c r="F12" s="37" t="inlineStr">
        <is>
          <t>Yes</t>
        </is>
      </c>
      <c r="G12" s="37" t="inlineStr">
        <is>
          <t>Direct text pattern</t>
        </is>
      </c>
    </row>
    <row r="13">
      <c r="A13" s="37" t="inlineStr">
        <is>
          <t>Storage Hours</t>
        </is>
      </c>
      <c r="B13" s="37" t="inlineStr">
        <is>
          <t>(\d+(?:\.\d+)?)\s*mw\s*/\s*(\d+(?:\.\d+)?)\s*mwh</t>
        </is>
      </c>
      <c r="C13" s="37" t="inlineStr">
        <is>
          <t>MWh / MW</t>
        </is>
      </c>
      <c r="D13" s="37" t="n">
        <v>2</v>
      </c>
      <c r="E13" s="37" t="inlineStr">
        <is>
          <t>240 MW / 960 MWh</t>
        </is>
      </c>
      <c r="F13" s="37" t="inlineStr">
        <is>
          <t>Yes</t>
        </is>
      </c>
      <c r="G13" s="37" t="inlineStr">
        <is>
          <t>Calculated duration</t>
        </is>
      </c>
    </row>
    <row r="14">
      <c r="A14" s="37" t="inlineStr">
        <is>
          <t>Capacity MW</t>
        </is>
      </c>
      <c r="B14" s="37" t="inlineStr">
        <is>
          <t>(\d+(?:\.\d+)?)\s*mw</t>
        </is>
      </c>
      <c r="C14" s="37" t="inlineStr">
        <is>
          <t>Captured MW</t>
        </is>
      </c>
      <c r="D14" s="37" t="n">
        <v>1</v>
      </c>
      <c r="E14" s="37" t="inlineStr">
        <is>
          <t>500 MW</t>
        </is>
      </c>
      <c r="F14" s="37" t="inlineStr">
        <is>
          <t>Yes</t>
        </is>
      </c>
      <c r="G14" s="37" t="inlineStr">
        <is>
          <t>Use context to avoid transformer ratings</t>
        </is>
      </c>
    </row>
    <row r="15">
      <c r="A15" s="37" t="inlineStr">
        <is>
          <t>Energy MWh</t>
        </is>
      </c>
      <c r="B15" s="37" t="inlineStr">
        <is>
          <t>(\d+(?:\.\d+)?)\s*mwh</t>
        </is>
      </c>
      <c r="C15" s="37" t="inlineStr">
        <is>
          <t>Captured MWh</t>
        </is>
      </c>
      <c r="D15" s="37" t="n">
        <v>1</v>
      </c>
      <c r="E15" s="37" t="inlineStr">
        <is>
          <t>6000 MWh</t>
        </is>
      </c>
      <c r="F15" s="37" t="inlineStr">
        <is>
          <t>Yes</t>
        </is>
      </c>
      <c r="G15" s="37" t="str"/>
    </row>
    <row r="16">
      <c r="A16" s="37" t="inlineStr">
        <is>
          <t>Status</t>
        </is>
      </c>
      <c r="B16" s="37" t="inlineStr">
        <is>
          <t>corrigendum|amendment</t>
        </is>
      </c>
      <c r="C16" s="37" t="inlineStr">
        <is>
          <t>Corrigendum</t>
        </is>
      </c>
      <c r="D16" s="37" t="n">
        <v>1</v>
      </c>
      <c r="E16" s="37" t="inlineStr">
        <is>
          <t>Corrigendum Available</t>
        </is>
      </c>
      <c r="F16" s="37" t="inlineStr">
        <is>
          <t>Yes</t>
        </is>
      </c>
      <c r="G16" s="37" t="str"/>
    </row>
    <row r="17">
      <c r="A17" s="37" t="inlineStr">
        <is>
          <t>Status</t>
        </is>
      </c>
      <c r="B17" s="37" t="inlineStr">
        <is>
          <t>extension|extended|revised.*date</t>
        </is>
      </c>
      <c r="C17" s="37" t="inlineStr">
        <is>
          <t>Extended</t>
        </is>
      </c>
      <c r="D17" s="37" t="n">
        <v>2</v>
      </c>
      <c r="E17" s="37" t="inlineStr">
        <is>
          <t>Revised Bid Open Date</t>
        </is>
      </c>
      <c r="F17" s="37" t="inlineStr">
        <is>
          <t>Yes</t>
        </is>
      </c>
      <c r="G17" s="37" t="str"/>
    </row>
    <row r="18">
      <c r="A18" s="37" t="inlineStr">
        <is>
          <t>Status</t>
        </is>
      </c>
      <c r="B18" s="37" t="inlineStr">
        <is>
          <t>cancelled|canceled</t>
        </is>
      </c>
      <c r="C18" s="37" t="inlineStr">
        <is>
          <t>Cancelled</t>
        </is>
      </c>
      <c r="D18" s="37" t="n">
        <v>1</v>
      </c>
      <c r="E18" s="37" t="inlineStr">
        <is>
          <t>Tender Cancelled</t>
        </is>
      </c>
      <c r="F18" s="37" t="inlineStr">
        <is>
          <t>Yes</t>
        </is>
      </c>
      <c r="G18" s="37" t="str"/>
    </row>
    <row r="19">
      <c r="A19" s="37" t="inlineStr">
        <is>
          <t>Dispatch</t>
        </is>
      </c>
      <c r="B19" s="37" t="inlineStr">
        <is>
          <t>peak supply|peak hours</t>
        </is>
      </c>
      <c r="C19" s="37" t="inlineStr">
        <is>
          <t>Peak</t>
        </is>
      </c>
      <c r="D19" s="37" t="n">
        <v>1</v>
      </c>
      <c r="E19" s="37" t="inlineStr">
        <is>
          <t>Assured Peak Supply</t>
        </is>
      </c>
      <c r="F19" s="37" t="inlineStr">
        <is>
          <t>Yes</t>
        </is>
      </c>
      <c r="G19" s="37" t="str"/>
    </row>
    <row r="20">
      <c r="A20" s="37" t="inlineStr">
        <is>
          <t>Dispatch</t>
        </is>
      </c>
      <c r="B20" s="37" t="inlineStr">
        <is>
          <t>round[- ]the[- ]clock|\brtc\b</t>
        </is>
      </c>
      <c r="C20" s="37" t="inlineStr">
        <is>
          <t>RTC</t>
        </is>
      </c>
      <c r="D20" s="37" t="n">
        <v>1</v>
      </c>
      <c r="E20" s="37" t="inlineStr">
        <is>
          <t>FDRE-RTC</t>
        </is>
      </c>
      <c r="F20" s="37" t="inlineStr">
        <is>
          <t>Yes</t>
        </is>
      </c>
      <c r="G20" s="37" t="str"/>
    </row>
    <row r="21">
      <c r="A21" s="37" t="inlineStr">
        <is>
          <t>Minimum PLF</t>
        </is>
      </c>
      <c r="B21" s="37" t="inlineStr">
        <is>
          <t>minimum.*plf.*?(\d+(?:\.\d+)?)%</t>
        </is>
      </c>
      <c r="C21" s="37" t="inlineStr">
        <is>
          <t>Captured %</t>
        </is>
      </c>
      <c r="D21" s="37" t="n">
        <v>1</v>
      </c>
      <c r="E21" s="37" t="inlineStr">
        <is>
          <t>minimum PLF 80%</t>
        </is>
      </c>
      <c r="F21" s="37" t="inlineStr">
        <is>
          <t>Yes</t>
        </is>
      </c>
      <c r="G21" s="37" t="inlineStr">
        <is>
          <t>Usually from RfS/PDF</t>
        </is>
      </c>
    </row>
    <row r="22">
      <c r="A22" s="37" t="inlineStr">
        <is>
          <t>EMD</t>
        </is>
      </c>
      <c r="B22" s="37" t="inlineStr">
        <is>
          <t>emd(?: cost| amount)?\s*[:\-]?\s*(?:rs\.?|₹)?\s*([\d,]+(?:\.\d+)?)</t>
        </is>
      </c>
      <c r="C22" s="37" t="inlineStr">
        <is>
          <t>Captured amount</t>
        </is>
      </c>
      <c r="D22" s="37" t="n">
        <v>1</v>
      </c>
      <c r="E22" s="37" t="inlineStr">
        <is>
          <t>EMD Cost: 2000000</t>
        </is>
      </c>
      <c r="F22" s="37" t="inlineStr">
        <is>
          <t>Yes</t>
        </is>
      </c>
      <c r="G22" s="37" t="str"/>
    </row>
  </sheetData>
  <mergeCells count="1">
    <mergeCell ref="A1:G2"/>
  </mergeCells>
  <dataValidations count="1">
    <dataValidation sqref="F5:F22" showDropDown="0" showInputMessage="0" showErrorMessage="0" allowBlank="0" type="list">
      <formula1>"Yes,No"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42" customWidth="1" style="64" min="5" max="5"/>
    <col width="14" customWidth="1" style="64" min="6" max="6"/>
    <col width="10" customWidth="1" style="64" min="7" max="7"/>
    <col width="10" customWidth="1" style="64" min="8" max="8"/>
    <col width="10" customWidth="1" style="64" min="9" max="9"/>
    <col width="28" customWidth="1" style="64" min="10" max="10"/>
  </cols>
  <sheetData>
    <row r="1">
      <c r="A1" s="287" t="inlineStr">
        <is>
          <t>Connector Run Log</t>
        </is>
      </c>
      <c r="B1" s="1" t="n"/>
      <c r="C1" s="1" t="n"/>
      <c r="D1" s="1" t="n"/>
      <c r="E1" s="1" t="n"/>
      <c r="F1" s="1" t="n"/>
      <c r="G1" s="1" t="n"/>
      <c r="H1" s="1" t="n"/>
      <c r="I1" s="1" t="n"/>
      <c r="J1" s="1" t="n"/>
    </row>
    <row r="2">
      <c r="A2" s="1" t="n"/>
      <c r="B2" s="1" t="n"/>
      <c r="C2" s="1" t="n"/>
      <c r="D2" s="1" t="n"/>
      <c r="E2" s="1" t="n"/>
      <c r="F2" s="1" t="n"/>
      <c r="G2" s="1" t="n"/>
      <c r="H2" s="1" t="n"/>
      <c r="I2" s="1" t="n"/>
      <c r="J2" s="1" t="n"/>
    </row>
    <row r="4">
      <c r="A4" s="104" t="inlineStr">
        <is>
          <t>Run ID</t>
        </is>
      </c>
      <c r="B4" s="104" t="inlineStr">
        <is>
          <t>Started</t>
        </is>
      </c>
      <c r="C4" s="104" t="inlineStr">
        <is>
          <t>Finished</t>
        </is>
      </c>
      <c r="D4" s="104" t="inlineStr">
        <is>
          <t>Agency</t>
        </is>
      </c>
      <c r="E4" s="104" t="inlineStr">
        <is>
          <t>Source URL</t>
        </is>
      </c>
      <c r="F4" s="104" t="inlineStr">
        <is>
          <t>Records Found</t>
        </is>
      </c>
      <c r="G4" s="104" t="inlineStr">
        <is>
          <t>New</t>
        </is>
      </c>
      <c r="H4" s="104" t="inlineStr">
        <is>
          <t>Updated</t>
        </is>
      </c>
      <c r="I4" s="104" t="inlineStr">
        <is>
          <t>Errors</t>
        </is>
      </c>
      <c r="J4" s="104" t="inlineStr">
        <is>
          <t>Result</t>
        </is>
      </c>
    </row>
    <row r="5">
      <c r="B5" s="283" t="n"/>
      <c r="C5" s="283" t="n"/>
    </row>
    <row r="6">
      <c r="B6" s="283" t="n"/>
      <c r="C6" s="283" t="n"/>
    </row>
    <row r="7">
      <c r="B7" s="283" t="n"/>
      <c r="C7" s="283" t="n"/>
    </row>
    <row r="8">
      <c r="B8" s="283" t="n"/>
      <c r="C8" s="283" t="n"/>
    </row>
    <row r="9">
      <c r="B9" s="283" t="n"/>
      <c r="C9" s="283" t="n"/>
    </row>
    <row r="10">
      <c r="B10" s="283" t="n"/>
      <c r="C10" s="283" t="n"/>
    </row>
    <row r="11">
      <c r="B11" s="283" t="n"/>
      <c r="C11" s="283" t="n"/>
    </row>
    <row r="12">
      <c r="B12" s="283" t="n"/>
      <c r="C12" s="283" t="n"/>
    </row>
    <row r="13">
      <c r="B13" s="283" t="n"/>
      <c r="C13" s="283" t="n"/>
    </row>
    <row r="14">
      <c r="B14" s="283" t="n"/>
      <c r="C14" s="283" t="n"/>
    </row>
    <row r="15">
      <c r="B15" s="283" t="n"/>
      <c r="C15" s="283" t="n"/>
    </row>
    <row r="16">
      <c r="B16" s="283" t="n"/>
      <c r="C16" s="283" t="n"/>
    </row>
    <row r="17">
      <c r="B17" s="283" t="n"/>
      <c r="C17" s="283" t="n"/>
    </row>
    <row r="18">
      <c r="B18" s="283" t="n"/>
      <c r="C18" s="283" t="n"/>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sheetData>
  <mergeCells count="1">
    <mergeCell ref="A1:J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505"/>
  <sheetViews>
    <sheetView workbookViewId="0">
      <selection activeCell="A1" sqref="A1"/>
    </sheetView>
  </sheetViews>
  <sheetFormatPr baseColWidth="8" defaultRowHeight="15"/>
  <cols>
    <col width="16" customWidth="1" style="64" min="1" max="1"/>
    <col width="18" customWidth="1" style="64" min="2" max="2"/>
    <col width="18" customWidth="1" style="64" min="3" max="3"/>
    <col width="22" customWidth="1" style="64" min="4" max="4"/>
    <col width="18" customWidth="1" style="64" min="5" max="5"/>
    <col width="42" customWidth="1" style="64" min="6" max="6"/>
    <col width="34" customWidth="1" style="64" min="7" max="7"/>
    <col width="16" customWidth="1" style="64" min="8" max="8"/>
    <col width="18" customWidth="1" style="64" min="9" max="9"/>
    <col width="10" customWidth="1" style="64" min="10" max="10"/>
    <col width="15" customWidth="1" style="64" min="11" max="11"/>
    <col width="36" customWidth="1" style="64" min="12" max="12"/>
    <col width="18" customWidth="1" style="64" min="13" max="13"/>
    <col width="34" customWidth="1" style="64" min="14" max="14"/>
  </cols>
  <sheetData>
    <row r="1">
      <c r="A1" s="289" t="inlineStr">
        <is>
          <t>Tender Document Download &amp; Extraction Queue</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0" t="inlineStr">
        <is>
          <t>Add tender/RfS/corrigendum PDF URLs here. The V4 Python engine downloads documents, extracts text, and produces review-ready field suggestions.</t>
        </is>
      </c>
      <c r="B3" s="1" t="n"/>
      <c r="C3" s="1" t="n"/>
      <c r="D3" s="1" t="n"/>
      <c r="E3" s="1" t="n"/>
      <c r="F3" s="1" t="n"/>
      <c r="G3" s="1" t="n"/>
      <c r="H3" s="1" t="n"/>
      <c r="I3" s="1" t="n"/>
      <c r="J3" s="1" t="n"/>
      <c r="K3" s="1" t="n"/>
      <c r="L3" s="1" t="n"/>
      <c r="M3" s="1" t="n"/>
      <c r="N3" s="1" t="n"/>
    </row>
    <row r="5">
      <c r="A5" s="122" t="inlineStr">
        <is>
          <t>Queue ID</t>
        </is>
      </c>
      <c r="B5" s="122" t="inlineStr">
        <is>
          <t>Tender ID</t>
        </is>
      </c>
      <c r="C5" s="122" t="inlineStr">
        <is>
          <t>Agency</t>
        </is>
      </c>
      <c r="D5" s="122" t="inlineStr">
        <is>
          <t>Tender Number</t>
        </is>
      </c>
      <c r="E5" s="122" t="inlineStr">
        <is>
          <t>Document Type</t>
        </is>
      </c>
      <c r="F5" s="122" t="inlineStr">
        <is>
          <t>Document URL</t>
        </is>
      </c>
      <c r="G5" s="122" t="inlineStr">
        <is>
          <t>Local File</t>
        </is>
      </c>
      <c r="H5" s="122" t="inlineStr">
        <is>
          <t>Download Status</t>
        </is>
      </c>
      <c r="I5" s="122" t="inlineStr">
        <is>
          <t>Extraction Status</t>
        </is>
      </c>
      <c r="J5" s="122" t="inlineStr">
        <is>
          <t>Pages</t>
        </is>
      </c>
      <c r="K5" s="122" t="inlineStr">
        <is>
          <t>Text Characters</t>
        </is>
      </c>
      <c r="L5" s="122" t="inlineStr">
        <is>
          <t>Document Hash</t>
        </is>
      </c>
      <c r="M5" s="122" t="inlineStr">
        <is>
          <t>Last Attempt</t>
        </is>
      </c>
      <c r="N5" s="122" t="inlineStr">
        <is>
          <t>Error / Notes</t>
        </is>
      </c>
    </row>
    <row r="6">
      <c r="M6" s="283" t="n"/>
    </row>
    <row r="7">
      <c r="M7" s="283" t="n"/>
    </row>
    <row r="8">
      <c r="M8" s="283" t="n"/>
    </row>
    <row r="9">
      <c r="M9" s="283" t="n"/>
    </row>
    <row r="10">
      <c r="M10" s="283" t="n"/>
    </row>
    <row r="11">
      <c r="M11" s="283" t="n"/>
    </row>
    <row r="12">
      <c r="M12" s="283" t="n"/>
    </row>
    <row r="13">
      <c r="M13" s="283" t="n"/>
    </row>
    <row r="14">
      <c r="M14" s="283" t="n"/>
    </row>
    <row r="15">
      <c r="M15" s="283" t="n"/>
    </row>
    <row r="16">
      <c r="M16" s="283" t="n"/>
    </row>
    <row r="17">
      <c r="M17" s="283" t="n"/>
    </row>
    <row r="18">
      <c r="M18" s="283" t="n"/>
    </row>
    <row r="19">
      <c r="M19" s="283" t="n"/>
    </row>
    <row r="20">
      <c r="M20" s="283" t="n"/>
    </row>
    <row r="21">
      <c r="M21" s="283" t="n"/>
    </row>
    <row r="22">
      <c r="M22" s="283" t="n"/>
    </row>
    <row r="23">
      <c r="M23" s="283" t="n"/>
    </row>
    <row r="24">
      <c r="M24" s="283" t="n"/>
    </row>
    <row r="25">
      <c r="M25" s="283" t="n"/>
    </row>
    <row r="26">
      <c r="M26" s="283" t="n"/>
    </row>
    <row r="27">
      <c r="M27" s="283" t="n"/>
    </row>
    <row r="28">
      <c r="M28" s="283" t="n"/>
    </row>
    <row r="29">
      <c r="M29" s="283" t="n"/>
    </row>
    <row r="30">
      <c r="M30" s="283" t="n"/>
    </row>
    <row r="31">
      <c r="M31" s="283" t="n"/>
    </row>
    <row r="32">
      <c r="M32" s="283" t="n"/>
    </row>
    <row r="33">
      <c r="M33" s="283" t="n"/>
    </row>
    <row r="34">
      <c r="M34" s="283" t="n"/>
    </row>
    <row r="35">
      <c r="M35" s="283" t="n"/>
    </row>
    <row r="36">
      <c r="M36" s="283" t="n"/>
    </row>
    <row r="37">
      <c r="M37" s="283" t="n"/>
    </row>
    <row r="38">
      <c r="M38" s="283" t="n"/>
    </row>
    <row r="39">
      <c r="M39" s="283" t="n"/>
    </row>
    <row r="40">
      <c r="M40" s="283" t="n"/>
    </row>
    <row r="41">
      <c r="M41" s="283" t="n"/>
    </row>
    <row r="42">
      <c r="M42" s="283" t="n"/>
    </row>
    <row r="43">
      <c r="M43" s="283" t="n"/>
    </row>
    <row r="44">
      <c r="M44" s="283" t="n"/>
    </row>
    <row r="45">
      <c r="M45" s="283" t="n"/>
    </row>
    <row r="46">
      <c r="M46" s="283" t="n"/>
    </row>
    <row r="47">
      <c r="M47" s="283" t="n"/>
    </row>
    <row r="48">
      <c r="M48" s="283" t="n"/>
    </row>
    <row r="49">
      <c r="M49" s="283" t="n"/>
    </row>
    <row r="50">
      <c r="M50" s="283" t="n"/>
    </row>
    <row r="51">
      <c r="M51" s="283" t="n"/>
    </row>
    <row r="52">
      <c r="M52" s="283" t="n"/>
    </row>
    <row r="53">
      <c r="M53" s="283" t="n"/>
    </row>
    <row r="54">
      <c r="M54" s="283" t="n"/>
    </row>
    <row r="55">
      <c r="M55" s="283" t="n"/>
    </row>
    <row r="56">
      <c r="M56" s="283" t="n"/>
    </row>
    <row r="57">
      <c r="M57" s="283" t="n"/>
    </row>
    <row r="58">
      <c r="M58" s="283" t="n"/>
    </row>
    <row r="59">
      <c r="M59" s="283" t="n"/>
    </row>
    <row r="60">
      <c r="M60" s="283" t="n"/>
    </row>
    <row r="61">
      <c r="M61" s="283" t="n"/>
    </row>
    <row r="62">
      <c r="M62" s="283" t="n"/>
    </row>
    <row r="63">
      <c r="M63" s="283" t="n"/>
    </row>
    <row r="64">
      <c r="M64" s="283" t="n"/>
    </row>
    <row r="65">
      <c r="M65" s="283" t="n"/>
    </row>
    <row r="66">
      <c r="M66" s="283" t="n"/>
    </row>
    <row r="67">
      <c r="M67" s="283" t="n"/>
    </row>
    <row r="68">
      <c r="M68" s="283" t="n"/>
    </row>
    <row r="69">
      <c r="M69" s="283" t="n"/>
    </row>
    <row r="70">
      <c r="M70" s="283" t="n"/>
    </row>
    <row r="71">
      <c r="M71" s="283" t="n"/>
    </row>
    <row r="72">
      <c r="M72" s="283" t="n"/>
    </row>
    <row r="73">
      <c r="M73" s="283" t="n"/>
    </row>
    <row r="74">
      <c r="M74" s="283" t="n"/>
    </row>
    <row r="75">
      <c r="M75" s="283" t="n"/>
    </row>
    <row r="76">
      <c r="M76" s="283" t="n"/>
    </row>
    <row r="77">
      <c r="M77" s="283" t="n"/>
    </row>
    <row r="78">
      <c r="M78" s="283" t="n"/>
    </row>
    <row r="79">
      <c r="M79" s="283" t="n"/>
    </row>
    <row r="80">
      <c r="M80" s="283" t="n"/>
    </row>
    <row r="81">
      <c r="M81" s="283" t="n"/>
    </row>
    <row r="82">
      <c r="M82" s="283" t="n"/>
    </row>
    <row r="83">
      <c r="M83" s="283" t="n"/>
    </row>
    <row r="84">
      <c r="M84" s="283" t="n"/>
    </row>
    <row r="85">
      <c r="M85" s="283" t="n"/>
    </row>
    <row r="86">
      <c r="M86" s="283" t="n"/>
    </row>
    <row r="87">
      <c r="M87" s="283" t="n"/>
    </row>
    <row r="88">
      <c r="M88" s="283" t="n"/>
    </row>
    <row r="89">
      <c r="M89" s="283" t="n"/>
    </row>
    <row r="90">
      <c r="M90" s="283" t="n"/>
    </row>
    <row r="91">
      <c r="M91" s="283" t="n"/>
    </row>
    <row r="92">
      <c r="M92" s="283" t="n"/>
    </row>
    <row r="93">
      <c r="M93" s="283" t="n"/>
    </row>
    <row r="94">
      <c r="M94" s="283" t="n"/>
    </row>
    <row r="95">
      <c r="M95" s="283" t="n"/>
    </row>
    <row r="96">
      <c r="M96" s="283" t="n"/>
    </row>
    <row r="97">
      <c r="M97" s="283" t="n"/>
    </row>
    <row r="98">
      <c r="M98" s="283" t="n"/>
    </row>
    <row r="99">
      <c r="M99" s="283" t="n"/>
    </row>
    <row r="100">
      <c r="M100" s="283" t="n"/>
    </row>
    <row r="101">
      <c r="M101" s="283" t="n"/>
    </row>
    <row r="102">
      <c r="M102" s="283" t="n"/>
    </row>
    <row r="103">
      <c r="M103" s="283" t="n"/>
    </row>
    <row r="104">
      <c r="M104" s="283" t="n"/>
    </row>
    <row r="105">
      <c r="M105" s="283" t="n"/>
    </row>
    <row r="106">
      <c r="M106" s="283" t="n"/>
    </row>
    <row r="107">
      <c r="M107" s="283" t="n"/>
    </row>
    <row r="108">
      <c r="M108" s="283" t="n"/>
    </row>
    <row r="109">
      <c r="M109" s="283" t="n"/>
    </row>
    <row r="110">
      <c r="M110" s="283" t="n"/>
    </row>
    <row r="111">
      <c r="M111" s="283" t="n"/>
    </row>
    <row r="112">
      <c r="M112" s="283" t="n"/>
    </row>
    <row r="113">
      <c r="M113" s="283" t="n"/>
    </row>
    <row r="114">
      <c r="M114" s="283" t="n"/>
    </row>
    <row r="115">
      <c r="M115" s="283" t="n"/>
    </row>
    <row r="116">
      <c r="M116" s="283" t="n"/>
    </row>
    <row r="117">
      <c r="M117" s="283" t="n"/>
    </row>
    <row r="118">
      <c r="M118" s="283" t="n"/>
    </row>
    <row r="119">
      <c r="M119" s="283" t="n"/>
    </row>
    <row r="120">
      <c r="M120" s="283" t="n"/>
    </row>
    <row r="121">
      <c r="M121" s="283" t="n"/>
    </row>
    <row r="122">
      <c r="M122" s="283" t="n"/>
    </row>
    <row r="123">
      <c r="M123" s="283" t="n"/>
    </row>
    <row r="124">
      <c r="M124" s="283" t="n"/>
    </row>
    <row r="125">
      <c r="M125" s="283" t="n"/>
    </row>
    <row r="126">
      <c r="M126" s="283" t="n"/>
    </row>
    <row r="127">
      <c r="M127" s="283" t="n"/>
    </row>
    <row r="128">
      <c r="M128" s="283" t="n"/>
    </row>
    <row r="129">
      <c r="M129" s="283" t="n"/>
    </row>
    <row r="130">
      <c r="M130" s="283" t="n"/>
    </row>
    <row r="131">
      <c r="M131" s="283" t="n"/>
    </row>
    <row r="132">
      <c r="M132" s="283" t="n"/>
    </row>
    <row r="133">
      <c r="M133" s="283" t="n"/>
    </row>
    <row r="134">
      <c r="M134" s="283" t="n"/>
    </row>
    <row r="135">
      <c r="M135" s="283" t="n"/>
    </row>
    <row r="136">
      <c r="M136" s="283" t="n"/>
    </row>
    <row r="137">
      <c r="M137" s="283" t="n"/>
    </row>
    <row r="138">
      <c r="M138" s="283" t="n"/>
    </row>
    <row r="139">
      <c r="M139" s="283" t="n"/>
    </row>
    <row r="140">
      <c r="M140" s="283" t="n"/>
    </row>
    <row r="141">
      <c r="M141" s="283" t="n"/>
    </row>
    <row r="142">
      <c r="M142" s="283" t="n"/>
    </row>
    <row r="143">
      <c r="M143" s="283" t="n"/>
    </row>
    <row r="144">
      <c r="M144" s="283" t="n"/>
    </row>
    <row r="145">
      <c r="M145" s="283" t="n"/>
    </row>
    <row r="146">
      <c r="M146" s="283" t="n"/>
    </row>
    <row r="147">
      <c r="M147" s="283" t="n"/>
    </row>
    <row r="148">
      <c r="M148" s="283" t="n"/>
    </row>
    <row r="149">
      <c r="M149" s="283" t="n"/>
    </row>
    <row r="150">
      <c r="M150" s="283" t="n"/>
    </row>
    <row r="151">
      <c r="M151" s="283" t="n"/>
    </row>
    <row r="152">
      <c r="M152" s="283" t="n"/>
    </row>
    <row r="153">
      <c r="M153" s="283" t="n"/>
    </row>
    <row r="154">
      <c r="M154" s="283" t="n"/>
    </row>
    <row r="155">
      <c r="M155" s="283" t="n"/>
    </row>
    <row r="156">
      <c r="M156" s="283" t="n"/>
    </row>
    <row r="157">
      <c r="M157" s="283" t="n"/>
    </row>
    <row r="158">
      <c r="M158" s="283" t="n"/>
    </row>
    <row r="159">
      <c r="M159" s="283" t="n"/>
    </row>
    <row r="160">
      <c r="M160" s="283" t="n"/>
    </row>
    <row r="161">
      <c r="M161" s="283" t="n"/>
    </row>
    <row r="162">
      <c r="M162" s="283" t="n"/>
    </row>
    <row r="163">
      <c r="M163" s="283" t="n"/>
    </row>
    <row r="164">
      <c r="M164" s="283" t="n"/>
    </row>
    <row r="165">
      <c r="M165" s="283" t="n"/>
    </row>
    <row r="166">
      <c r="M166" s="283" t="n"/>
    </row>
    <row r="167">
      <c r="M167" s="283" t="n"/>
    </row>
    <row r="168">
      <c r="M168" s="283" t="n"/>
    </row>
    <row r="169">
      <c r="M169" s="283" t="n"/>
    </row>
    <row r="170">
      <c r="M170" s="283" t="n"/>
    </row>
    <row r="171">
      <c r="M171" s="283" t="n"/>
    </row>
    <row r="172">
      <c r="M172" s="283" t="n"/>
    </row>
    <row r="173">
      <c r="M173" s="283" t="n"/>
    </row>
    <row r="174">
      <c r="M174" s="283" t="n"/>
    </row>
    <row r="175">
      <c r="M175" s="283" t="n"/>
    </row>
    <row r="176">
      <c r="M176" s="283" t="n"/>
    </row>
    <row r="177">
      <c r="M177" s="283" t="n"/>
    </row>
    <row r="178">
      <c r="M178" s="283" t="n"/>
    </row>
    <row r="179">
      <c r="M179" s="283" t="n"/>
    </row>
    <row r="180">
      <c r="M180" s="283" t="n"/>
    </row>
    <row r="181">
      <c r="M181" s="283" t="n"/>
    </row>
    <row r="182">
      <c r="M182" s="283" t="n"/>
    </row>
    <row r="183">
      <c r="M183" s="283" t="n"/>
    </row>
    <row r="184">
      <c r="M184" s="283" t="n"/>
    </row>
    <row r="185">
      <c r="M185" s="283" t="n"/>
    </row>
    <row r="186">
      <c r="M186" s="283" t="n"/>
    </row>
    <row r="187">
      <c r="M187" s="283" t="n"/>
    </row>
    <row r="188">
      <c r="M188" s="283" t="n"/>
    </row>
    <row r="189">
      <c r="M189" s="283" t="n"/>
    </row>
    <row r="190">
      <c r="M190" s="283" t="n"/>
    </row>
    <row r="191">
      <c r="M191" s="283" t="n"/>
    </row>
    <row r="192">
      <c r="M192" s="283" t="n"/>
    </row>
    <row r="193">
      <c r="M193" s="283" t="n"/>
    </row>
    <row r="194">
      <c r="M194" s="283" t="n"/>
    </row>
    <row r="195">
      <c r="M195" s="283" t="n"/>
    </row>
    <row r="196">
      <c r="M196" s="283" t="n"/>
    </row>
    <row r="197">
      <c r="M197" s="283" t="n"/>
    </row>
    <row r="198">
      <c r="M198" s="283" t="n"/>
    </row>
    <row r="199">
      <c r="M199" s="283" t="n"/>
    </row>
    <row r="200">
      <c r="M200" s="283" t="n"/>
    </row>
    <row r="201">
      <c r="M201" s="283" t="n"/>
    </row>
    <row r="202">
      <c r="M202" s="283" t="n"/>
    </row>
    <row r="203">
      <c r="M203" s="283" t="n"/>
    </row>
    <row r="204">
      <c r="M204" s="283" t="n"/>
    </row>
    <row r="205">
      <c r="M205" s="283" t="n"/>
    </row>
    <row r="206">
      <c r="M206" s="283" t="n"/>
    </row>
    <row r="207">
      <c r="M207" s="283" t="n"/>
    </row>
    <row r="208">
      <c r="M208" s="283" t="n"/>
    </row>
    <row r="209">
      <c r="M209" s="283" t="n"/>
    </row>
    <row r="210">
      <c r="M210" s="283" t="n"/>
    </row>
    <row r="211">
      <c r="M211" s="283" t="n"/>
    </row>
    <row r="212">
      <c r="M212" s="283" t="n"/>
    </row>
    <row r="213">
      <c r="M213" s="283" t="n"/>
    </row>
    <row r="214">
      <c r="M214" s="283" t="n"/>
    </row>
    <row r="215">
      <c r="M215" s="283" t="n"/>
    </row>
    <row r="216">
      <c r="M216" s="283" t="n"/>
    </row>
    <row r="217">
      <c r="M217" s="283" t="n"/>
    </row>
    <row r="218">
      <c r="M218" s="283" t="n"/>
    </row>
    <row r="219">
      <c r="M219" s="283" t="n"/>
    </row>
    <row r="220">
      <c r="M220" s="283" t="n"/>
    </row>
    <row r="221">
      <c r="M221" s="283" t="n"/>
    </row>
    <row r="222">
      <c r="M222" s="283" t="n"/>
    </row>
    <row r="223">
      <c r="M223" s="283" t="n"/>
    </row>
    <row r="224">
      <c r="M224" s="283" t="n"/>
    </row>
    <row r="225">
      <c r="M225" s="283" t="n"/>
    </row>
    <row r="226">
      <c r="M226" s="283" t="n"/>
    </row>
    <row r="227">
      <c r="M227" s="283" t="n"/>
    </row>
    <row r="228">
      <c r="M228" s="283" t="n"/>
    </row>
    <row r="229">
      <c r="M229" s="283" t="n"/>
    </row>
    <row r="230">
      <c r="M230" s="283" t="n"/>
    </row>
    <row r="231">
      <c r="M231" s="283" t="n"/>
    </row>
    <row r="232">
      <c r="M232" s="283" t="n"/>
    </row>
    <row r="233">
      <c r="M233" s="283" t="n"/>
    </row>
    <row r="234">
      <c r="M234" s="283" t="n"/>
    </row>
    <row r="235">
      <c r="M235" s="283" t="n"/>
    </row>
    <row r="236">
      <c r="M236" s="283" t="n"/>
    </row>
    <row r="237">
      <c r="M237" s="283" t="n"/>
    </row>
    <row r="238">
      <c r="M238" s="283" t="n"/>
    </row>
    <row r="239">
      <c r="M239" s="283" t="n"/>
    </row>
    <row r="240">
      <c r="M240" s="283" t="n"/>
    </row>
    <row r="241">
      <c r="M241" s="283" t="n"/>
    </row>
    <row r="242">
      <c r="M242" s="283" t="n"/>
    </row>
    <row r="243">
      <c r="M243" s="283" t="n"/>
    </row>
    <row r="244">
      <c r="M244" s="283" t="n"/>
    </row>
    <row r="245">
      <c r="M245" s="283" t="n"/>
    </row>
    <row r="246">
      <c r="M246" s="283" t="n"/>
    </row>
    <row r="247">
      <c r="M247" s="283" t="n"/>
    </row>
    <row r="248">
      <c r="M248" s="283" t="n"/>
    </row>
    <row r="249">
      <c r="M249" s="283" t="n"/>
    </row>
    <row r="250">
      <c r="M250" s="283" t="n"/>
    </row>
    <row r="251">
      <c r="M251" s="283" t="n"/>
    </row>
    <row r="252">
      <c r="M252" s="283" t="n"/>
    </row>
    <row r="253">
      <c r="M253" s="283" t="n"/>
    </row>
    <row r="254">
      <c r="M254" s="283" t="n"/>
    </row>
    <row r="255">
      <c r="M255" s="283" t="n"/>
    </row>
    <row r="256">
      <c r="M256" s="283" t="n"/>
    </row>
    <row r="257">
      <c r="M257" s="283" t="n"/>
    </row>
    <row r="258">
      <c r="M258" s="283" t="n"/>
    </row>
    <row r="259">
      <c r="M259" s="283" t="n"/>
    </row>
    <row r="260">
      <c r="M260" s="283" t="n"/>
    </row>
    <row r="261">
      <c r="M261" s="283" t="n"/>
    </row>
    <row r="262">
      <c r="M262" s="283" t="n"/>
    </row>
    <row r="263">
      <c r="M263" s="283" t="n"/>
    </row>
    <row r="264">
      <c r="M264" s="283" t="n"/>
    </row>
    <row r="265">
      <c r="M265" s="283" t="n"/>
    </row>
    <row r="266">
      <c r="M266" s="283" t="n"/>
    </row>
    <row r="267">
      <c r="M267" s="283" t="n"/>
    </row>
    <row r="268">
      <c r="M268" s="283" t="n"/>
    </row>
    <row r="269">
      <c r="M269" s="283" t="n"/>
    </row>
    <row r="270">
      <c r="M270" s="283" t="n"/>
    </row>
    <row r="271">
      <c r="M271" s="283" t="n"/>
    </row>
    <row r="272">
      <c r="M272" s="283" t="n"/>
    </row>
    <row r="273">
      <c r="M273" s="283" t="n"/>
    </row>
    <row r="274">
      <c r="M274" s="283" t="n"/>
    </row>
    <row r="275">
      <c r="M275" s="283" t="n"/>
    </row>
    <row r="276">
      <c r="M276" s="283" t="n"/>
    </row>
    <row r="277">
      <c r="M277" s="283" t="n"/>
    </row>
    <row r="278">
      <c r="M278" s="283" t="n"/>
    </row>
    <row r="279">
      <c r="M279" s="283" t="n"/>
    </row>
    <row r="280">
      <c r="M280" s="283" t="n"/>
    </row>
    <row r="281">
      <c r="M281" s="283" t="n"/>
    </row>
    <row r="282">
      <c r="M282" s="283" t="n"/>
    </row>
    <row r="283">
      <c r="M283" s="283" t="n"/>
    </row>
    <row r="284">
      <c r="M284" s="283" t="n"/>
    </row>
    <row r="285">
      <c r="M285" s="283" t="n"/>
    </row>
    <row r="286">
      <c r="M286" s="283" t="n"/>
    </row>
    <row r="287">
      <c r="M287" s="283" t="n"/>
    </row>
    <row r="288">
      <c r="M288" s="283" t="n"/>
    </row>
    <row r="289">
      <c r="M289" s="283" t="n"/>
    </row>
    <row r="290">
      <c r="M290" s="283" t="n"/>
    </row>
    <row r="291">
      <c r="M291" s="283" t="n"/>
    </row>
    <row r="292">
      <c r="M292" s="283" t="n"/>
    </row>
    <row r="293">
      <c r="M293" s="283" t="n"/>
    </row>
    <row r="294">
      <c r="M294" s="283" t="n"/>
    </row>
    <row r="295">
      <c r="M295" s="283" t="n"/>
    </row>
    <row r="296">
      <c r="M296" s="283" t="n"/>
    </row>
    <row r="297">
      <c r="M297" s="283" t="n"/>
    </row>
    <row r="298">
      <c r="M298" s="283" t="n"/>
    </row>
    <row r="299">
      <c r="M299" s="283" t="n"/>
    </row>
    <row r="300">
      <c r="M300" s="283" t="n"/>
    </row>
    <row r="301">
      <c r="M301" s="283" t="n"/>
    </row>
    <row r="302">
      <c r="M302" s="283" t="n"/>
    </row>
    <row r="303">
      <c r="M303" s="283" t="n"/>
    </row>
    <row r="304">
      <c r="M304" s="283" t="n"/>
    </row>
    <row r="305">
      <c r="M305" s="283" t="n"/>
    </row>
    <row r="306">
      <c r="M306" s="283" t="n"/>
    </row>
    <row r="307">
      <c r="M307" s="283" t="n"/>
    </row>
    <row r="308">
      <c r="M308" s="283" t="n"/>
    </row>
    <row r="309">
      <c r="M309" s="283" t="n"/>
    </row>
    <row r="310">
      <c r="M310" s="283" t="n"/>
    </row>
    <row r="311">
      <c r="M311" s="283" t="n"/>
    </row>
    <row r="312">
      <c r="M312" s="283" t="n"/>
    </row>
    <row r="313">
      <c r="M313" s="283" t="n"/>
    </row>
    <row r="314">
      <c r="M314" s="283" t="n"/>
    </row>
    <row r="315">
      <c r="M315" s="283" t="n"/>
    </row>
    <row r="316">
      <c r="M316" s="283" t="n"/>
    </row>
    <row r="317">
      <c r="M317" s="283" t="n"/>
    </row>
    <row r="318">
      <c r="M318" s="283" t="n"/>
    </row>
    <row r="319">
      <c r="M319" s="283" t="n"/>
    </row>
    <row r="320">
      <c r="M320" s="283" t="n"/>
    </row>
    <row r="321">
      <c r="M321" s="283" t="n"/>
    </row>
    <row r="322">
      <c r="M322" s="283" t="n"/>
    </row>
    <row r="323">
      <c r="M323" s="283" t="n"/>
    </row>
    <row r="324">
      <c r="M324" s="283" t="n"/>
    </row>
    <row r="325">
      <c r="M325" s="283" t="n"/>
    </row>
    <row r="326">
      <c r="M326" s="283" t="n"/>
    </row>
    <row r="327">
      <c r="M327" s="283" t="n"/>
    </row>
    <row r="328">
      <c r="M328" s="283" t="n"/>
    </row>
    <row r="329">
      <c r="M329" s="283" t="n"/>
    </row>
    <row r="330">
      <c r="M330" s="283" t="n"/>
    </row>
    <row r="331">
      <c r="M331" s="283" t="n"/>
    </row>
    <row r="332">
      <c r="M332" s="283" t="n"/>
    </row>
    <row r="333">
      <c r="M333" s="283" t="n"/>
    </row>
    <row r="334">
      <c r="M334" s="283" t="n"/>
    </row>
    <row r="335">
      <c r="M335" s="283" t="n"/>
    </row>
    <row r="336">
      <c r="M336" s="283" t="n"/>
    </row>
    <row r="337">
      <c r="M337" s="283" t="n"/>
    </row>
    <row r="338">
      <c r="M338" s="283" t="n"/>
    </row>
    <row r="339">
      <c r="M339" s="283" t="n"/>
    </row>
    <row r="340">
      <c r="M340" s="283" t="n"/>
    </row>
    <row r="341">
      <c r="M341" s="283" t="n"/>
    </row>
    <row r="342">
      <c r="M342" s="283" t="n"/>
    </row>
    <row r="343">
      <c r="M343" s="283" t="n"/>
    </row>
    <row r="344">
      <c r="M344" s="283" t="n"/>
    </row>
    <row r="345">
      <c r="M345" s="283" t="n"/>
    </row>
    <row r="346">
      <c r="M346" s="283" t="n"/>
    </row>
    <row r="347">
      <c r="M347" s="283" t="n"/>
    </row>
    <row r="348">
      <c r="M348" s="283" t="n"/>
    </row>
    <row r="349">
      <c r="M349" s="283" t="n"/>
    </row>
    <row r="350">
      <c r="M350" s="283" t="n"/>
    </row>
    <row r="351">
      <c r="M351" s="283" t="n"/>
    </row>
    <row r="352">
      <c r="M352" s="283" t="n"/>
    </row>
    <row r="353">
      <c r="M353" s="283" t="n"/>
    </row>
    <row r="354">
      <c r="M354" s="283" t="n"/>
    </row>
    <row r="355">
      <c r="M355" s="283" t="n"/>
    </row>
    <row r="356">
      <c r="M356" s="283" t="n"/>
    </row>
    <row r="357">
      <c r="M357" s="283" t="n"/>
    </row>
    <row r="358">
      <c r="M358" s="283" t="n"/>
    </row>
    <row r="359">
      <c r="M359" s="283" t="n"/>
    </row>
    <row r="360">
      <c r="M360" s="283" t="n"/>
    </row>
    <row r="361">
      <c r="M361" s="283" t="n"/>
    </row>
    <row r="362">
      <c r="M362" s="283" t="n"/>
    </row>
    <row r="363">
      <c r="M363" s="283" t="n"/>
    </row>
    <row r="364">
      <c r="M364" s="283" t="n"/>
    </row>
    <row r="365">
      <c r="M365" s="283" t="n"/>
    </row>
    <row r="366">
      <c r="M366" s="283" t="n"/>
    </row>
    <row r="367">
      <c r="M367" s="283" t="n"/>
    </row>
    <row r="368">
      <c r="M368" s="283" t="n"/>
    </row>
    <row r="369">
      <c r="M369" s="283" t="n"/>
    </row>
    <row r="370">
      <c r="M370" s="283" t="n"/>
    </row>
    <row r="371">
      <c r="M371" s="283" t="n"/>
    </row>
    <row r="372">
      <c r="M372" s="283" t="n"/>
    </row>
    <row r="373">
      <c r="M373" s="283" t="n"/>
    </row>
    <row r="374">
      <c r="M374" s="283" t="n"/>
    </row>
    <row r="375">
      <c r="M375" s="283" t="n"/>
    </row>
    <row r="376">
      <c r="M376" s="283" t="n"/>
    </row>
    <row r="377">
      <c r="M377" s="283" t="n"/>
    </row>
    <row r="378">
      <c r="M378" s="283" t="n"/>
    </row>
    <row r="379">
      <c r="M379" s="283" t="n"/>
    </row>
    <row r="380">
      <c r="M380" s="283" t="n"/>
    </row>
    <row r="381">
      <c r="M381" s="283" t="n"/>
    </row>
    <row r="382">
      <c r="M382" s="283" t="n"/>
    </row>
    <row r="383">
      <c r="M383" s="283" t="n"/>
    </row>
    <row r="384">
      <c r="M384" s="283" t="n"/>
    </row>
    <row r="385">
      <c r="M385" s="283" t="n"/>
    </row>
    <row r="386">
      <c r="M386" s="283" t="n"/>
    </row>
    <row r="387">
      <c r="M387" s="283" t="n"/>
    </row>
    <row r="388">
      <c r="M388" s="283" t="n"/>
    </row>
    <row r="389">
      <c r="M389" s="283" t="n"/>
    </row>
    <row r="390">
      <c r="M390" s="283" t="n"/>
    </row>
    <row r="391">
      <c r="M391" s="283" t="n"/>
    </row>
    <row r="392">
      <c r="M392" s="283" t="n"/>
    </row>
    <row r="393">
      <c r="M393" s="283" t="n"/>
    </row>
    <row r="394">
      <c r="M394" s="283" t="n"/>
    </row>
    <row r="395">
      <c r="M395" s="283" t="n"/>
    </row>
    <row r="396">
      <c r="M396" s="283" t="n"/>
    </row>
    <row r="397">
      <c r="M397" s="283" t="n"/>
    </row>
    <row r="398">
      <c r="M398" s="283" t="n"/>
    </row>
    <row r="399">
      <c r="M399" s="283" t="n"/>
    </row>
    <row r="400">
      <c r="M400" s="283" t="n"/>
    </row>
    <row r="401">
      <c r="M401" s="283" t="n"/>
    </row>
    <row r="402">
      <c r="M402" s="283" t="n"/>
    </row>
    <row r="403">
      <c r="M403" s="283" t="n"/>
    </row>
    <row r="404">
      <c r="M404" s="283" t="n"/>
    </row>
    <row r="405">
      <c r="M405" s="283" t="n"/>
    </row>
    <row r="406">
      <c r="M406" s="283" t="n"/>
    </row>
    <row r="407">
      <c r="M407" s="283" t="n"/>
    </row>
    <row r="408">
      <c r="M408" s="283" t="n"/>
    </row>
    <row r="409">
      <c r="M409" s="283" t="n"/>
    </row>
    <row r="410">
      <c r="M410" s="283" t="n"/>
    </row>
    <row r="411">
      <c r="M411" s="283" t="n"/>
    </row>
    <row r="412">
      <c r="M412" s="283" t="n"/>
    </row>
    <row r="413">
      <c r="M413" s="283" t="n"/>
    </row>
    <row r="414">
      <c r="M414" s="283" t="n"/>
    </row>
    <row r="415">
      <c r="M415" s="283" t="n"/>
    </row>
    <row r="416">
      <c r="M416" s="283" t="n"/>
    </row>
    <row r="417">
      <c r="M417" s="283" t="n"/>
    </row>
    <row r="418">
      <c r="M418" s="283" t="n"/>
    </row>
    <row r="419">
      <c r="M419" s="283" t="n"/>
    </row>
    <row r="420">
      <c r="M420" s="283" t="n"/>
    </row>
    <row r="421">
      <c r="M421" s="283" t="n"/>
    </row>
    <row r="422">
      <c r="M422" s="283" t="n"/>
    </row>
    <row r="423">
      <c r="M423" s="283" t="n"/>
    </row>
    <row r="424">
      <c r="M424" s="283" t="n"/>
    </row>
    <row r="425">
      <c r="M425" s="283" t="n"/>
    </row>
    <row r="426">
      <c r="M426" s="283" t="n"/>
    </row>
    <row r="427">
      <c r="M427" s="283" t="n"/>
    </row>
    <row r="428">
      <c r="M428" s="283" t="n"/>
    </row>
    <row r="429">
      <c r="M429" s="283" t="n"/>
    </row>
    <row r="430">
      <c r="M430" s="283" t="n"/>
    </row>
    <row r="431">
      <c r="M431" s="283" t="n"/>
    </row>
    <row r="432">
      <c r="M432" s="283" t="n"/>
    </row>
    <row r="433">
      <c r="M433" s="283" t="n"/>
    </row>
    <row r="434">
      <c r="M434" s="283" t="n"/>
    </row>
    <row r="435">
      <c r="M435" s="283" t="n"/>
    </row>
    <row r="436">
      <c r="M436" s="283" t="n"/>
    </row>
    <row r="437">
      <c r="M437" s="283" t="n"/>
    </row>
    <row r="438">
      <c r="M438" s="283" t="n"/>
    </row>
    <row r="439">
      <c r="M439" s="283" t="n"/>
    </row>
    <row r="440">
      <c r="M440" s="283" t="n"/>
    </row>
    <row r="441">
      <c r="M441" s="283" t="n"/>
    </row>
    <row r="442">
      <c r="M442" s="283" t="n"/>
    </row>
    <row r="443">
      <c r="M443" s="283" t="n"/>
    </row>
    <row r="444">
      <c r="M444" s="283" t="n"/>
    </row>
    <row r="445">
      <c r="M445" s="283" t="n"/>
    </row>
    <row r="446">
      <c r="M446" s="283" t="n"/>
    </row>
    <row r="447">
      <c r="M447" s="283" t="n"/>
    </row>
    <row r="448">
      <c r="M448" s="283" t="n"/>
    </row>
    <row r="449">
      <c r="M449" s="283" t="n"/>
    </row>
    <row r="450">
      <c r="M450" s="283" t="n"/>
    </row>
    <row r="451">
      <c r="M451" s="283" t="n"/>
    </row>
    <row r="452">
      <c r="M452" s="283" t="n"/>
    </row>
    <row r="453">
      <c r="M453" s="283" t="n"/>
    </row>
    <row r="454">
      <c r="M454" s="283" t="n"/>
    </row>
    <row r="455">
      <c r="M455" s="283" t="n"/>
    </row>
    <row r="456">
      <c r="M456" s="283" t="n"/>
    </row>
    <row r="457">
      <c r="M457" s="283" t="n"/>
    </row>
    <row r="458">
      <c r="M458" s="283" t="n"/>
    </row>
    <row r="459">
      <c r="M459" s="283" t="n"/>
    </row>
    <row r="460">
      <c r="M460" s="283" t="n"/>
    </row>
    <row r="461">
      <c r="M461" s="283" t="n"/>
    </row>
    <row r="462">
      <c r="M462" s="283" t="n"/>
    </row>
    <row r="463">
      <c r="M463" s="283" t="n"/>
    </row>
    <row r="464">
      <c r="M464" s="283" t="n"/>
    </row>
    <row r="465">
      <c r="M465" s="283" t="n"/>
    </row>
    <row r="466">
      <c r="M466" s="283" t="n"/>
    </row>
    <row r="467">
      <c r="M467" s="283" t="n"/>
    </row>
    <row r="468">
      <c r="M468" s="283" t="n"/>
    </row>
    <row r="469">
      <c r="M469" s="283" t="n"/>
    </row>
    <row r="470">
      <c r="M470" s="283" t="n"/>
    </row>
    <row r="471">
      <c r="M471" s="283" t="n"/>
    </row>
    <row r="472">
      <c r="M472" s="283" t="n"/>
    </row>
    <row r="473">
      <c r="M473" s="283" t="n"/>
    </row>
    <row r="474">
      <c r="M474" s="283" t="n"/>
    </row>
    <row r="475">
      <c r="M475" s="283" t="n"/>
    </row>
    <row r="476">
      <c r="M476" s="283" t="n"/>
    </row>
    <row r="477">
      <c r="M477" s="283" t="n"/>
    </row>
    <row r="478">
      <c r="M478" s="283" t="n"/>
    </row>
    <row r="479">
      <c r="M479" s="283" t="n"/>
    </row>
    <row r="480">
      <c r="M480" s="283" t="n"/>
    </row>
    <row r="481">
      <c r="M481" s="283" t="n"/>
    </row>
    <row r="482">
      <c r="M482" s="283" t="n"/>
    </row>
    <row r="483">
      <c r="M483" s="283" t="n"/>
    </row>
    <row r="484">
      <c r="M484" s="283" t="n"/>
    </row>
    <row r="485">
      <c r="M485" s="283" t="n"/>
    </row>
    <row r="486">
      <c r="M486" s="283" t="n"/>
    </row>
    <row r="487">
      <c r="M487" s="283" t="n"/>
    </row>
    <row r="488">
      <c r="M488" s="283" t="n"/>
    </row>
    <row r="489">
      <c r="M489" s="283" t="n"/>
    </row>
    <row r="490">
      <c r="M490" s="283" t="n"/>
    </row>
    <row r="491">
      <c r="M491" s="283" t="n"/>
    </row>
    <row r="492">
      <c r="M492" s="283" t="n"/>
    </row>
    <row r="493">
      <c r="M493" s="283" t="n"/>
    </row>
    <row r="494">
      <c r="M494" s="283" t="n"/>
    </row>
    <row r="495">
      <c r="M495" s="283" t="n"/>
    </row>
    <row r="496">
      <c r="M496" s="283" t="n"/>
    </row>
    <row r="497">
      <c r="M497" s="283" t="n"/>
    </row>
    <row r="498">
      <c r="M498" s="283" t="n"/>
    </row>
    <row r="499">
      <c r="M499" s="283" t="n"/>
    </row>
    <row r="500">
      <c r="M500" s="283" t="n"/>
    </row>
    <row r="501">
      <c r="M501" s="283" t="n"/>
    </row>
    <row r="502">
      <c r="M502" s="283" t="n"/>
    </row>
    <row r="503">
      <c r="M503" s="283" t="n"/>
    </row>
    <row r="504">
      <c r="M504" s="283" t="n"/>
    </row>
    <row r="505">
      <c r="M505" s="283" t="n"/>
    </row>
  </sheetData>
  <mergeCells count="2">
    <mergeCell ref="A1:N2"/>
    <mergeCell ref="A3:N3"/>
  </mergeCells>
  <dataValidations count="3">
    <dataValidation sqref="E6:E505" showDropDown="0" showInputMessage="0" showErrorMessage="0" allowBlank="0" type="list">
      <formula1>"Tender Notice,RfS,NIT,Corrigendum,Amendment,Extension,Award,Other"</formula1>
    </dataValidation>
    <dataValidation sqref="H6:H505" showDropDown="0" showInputMessage="0" showErrorMessage="0" allowBlank="0" type="list">
      <formula1>"Pending,Downloaded,Skipped,Failed"</formula1>
    </dataValidation>
    <dataValidation sqref="I6:I505" showDropDown="0" showInputMessage="0" showErrorMessage="0" allowBlank="0" type="list">
      <formula1>"Pending,Extracted,Needs OCR,Failed"</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S504"/>
  <sheetViews>
    <sheetView workbookViewId="0">
      <selection activeCell="A1" sqref="A1"/>
    </sheetView>
  </sheetViews>
  <sheetFormatPr baseColWidth="8" defaultRowHeight="15"/>
  <cols>
    <col width="18" customWidth="1" style="64" min="1" max="1"/>
    <col width="16" customWidth="1" style="64" min="2" max="2"/>
    <col width="18" customWidth="1" style="64" min="3" max="3"/>
    <col width="18" customWidth="1" style="64" min="4" max="4"/>
    <col width="18" customWidth="1" style="64" min="5" max="5"/>
    <col width="18" customWidth="1" style="64" min="6" max="6"/>
    <col width="13" customWidth="1" style="64" min="7" max="7"/>
    <col width="13" customWidth="1" style="64" min="8" max="8"/>
    <col width="13" customWidth="1" style="64" min="9" max="9"/>
    <col width="25" customWidth="1" style="64" min="10" max="10"/>
    <col width="14" customWidth="1" style="64" min="11" max="11"/>
    <col width="18" customWidth="1" style="64" min="12" max="12"/>
    <col width="34" customWidth="1" style="64" min="13" max="13"/>
    <col width="16" customWidth="1" style="64" min="14" max="14"/>
    <col width="16" customWidth="1" style="64" min="15" max="15"/>
    <col width="16" customWidth="1" style="64" min="16" max="16"/>
    <col width="14" customWidth="1" style="64" min="17" max="17"/>
    <col width="18" customWidth="1" style="64" min="18" max="18"/>
    <col width="20" customWidth="1" style="64" min="19" max="19"/>
  </cols>
  <sheetData>
    <row r="1">
      <c r="A1" s="289" t="inlineStr">
        <is>
          <t>PDF Tender Field Extraction Results</t>
        </is>
      </c>
      <c r="B1" s="1" t="n"/>
      <c r="C1" s="1" t="n"/>
      <c r="D1" s="1" t="n"/>
      <c r="E1" s="1" t="n"/>
      <c r="F1" s="1" t="n"/>
      <c r="G1" s="1" t="n"/>
      <c r="H1" s="1" t="n"/>
      <c r="I1" s="1" t="n"/>
      <c r="J1" s="1" t="n"/>
      <c r="K1" s="1" t="n"/>
      <c r="L1" s="1" t="n"/>
      <c r="M1" s="1" t="n"/>
      <c r="N1" s="1" t="n"/>
      <c r="O1" s="1" t="n"/>
      <c r="P1" s="1" t="n"/>
      <c r="Q1" s="1" t="n"/>
      <c r="R1" s="1" t="n"/>
      <c r="S1" s="1" t="n"/>
    </row>
    <row r="2">
      <c r="A2" s="1" t="n"/>
      <c r="B2" s="1" t="n"/>
      <c r="C2" s="1" t="n"/>
      <c r="D2" s="1" t="n"/>
      <c r="E2" s="1" t="n"/>
      <c r="F2" s="1" t="n"/>
      <c r="G2" s="1" t="n"/>
      <c r="H2" s="1" t="n"/>
      <c r="I2" s="1" t="n"/>
      <c r="J2" s="1" t="n"/>
      <c r="K2" s="1" t="n"/>
      <c r="L2" s="1" t="n"/>
      <c r="M2" s="1" t="n"/>
      <c r="N2" s="1" t="n"/>
      <c r="O2" s="1" t="n"/>
      <c r="P2" s="1" t="n"/>
      <c r="Q2" s="1" t="n"/>
      <c r="R2" s="1" t="n"/>
      <c r="S2" s="1" t="n"/>
    </row>
    <row r="4">
      <c r="A4" s="122" t="inlineStr">
        <is>
          <t>Extraction ID</t>
        </is>
      </c>
      <c r="B4" s="122" t="inlineStr">
        <is>
          <t>Queue ID</t>
        </is>
      </c>
      <c r="C4" s="122" t="inlineStr">
        <is>
          <t>Tender ID</t>
        </is>
      </c>
      <c r="D4" s="122" t="inlineStr">
        <is>
          <t>Agency</t>
        </is>
      </c>
      <c r="E4" s="122" t="inlineStr">
        <is>
          <t>Document Type</t>
        </is>
      </c>
      <c r="F4" s="122" t="inlineStr">
        <is>
          <t>Technology</t>
        </is>
      </c>
      <c r="G4" s="122" t="inlineStr">
        <is>
          <t>Capacity MW</t>
        </is>
      </c>
      <c r="H4" s="122" t="inlineStr">
        <is>
          <t>Energy MWh</t>
        </is>
      </c>
      <c r="I4" s="122" t="inlineStr">
        <is>
          <t>Storage Hours</t>
        </is>
      </c>
      <c r="J4" s="122" t="inlineStr">
        <is>
          <t>Dispatch Condition</t>
        </is>
      </c>
      <c r="K4" s="122" t="inlineStr">
        <is>
          <t>Minimum PLF %</t>
        </is>
      </c>
      <c r="L4" s="122" t="inlineStr">
        <is>
          <t>EMD</t>
        </is>
      </c>
      <c r="M4" s="122" t="inlineStr">
        <is>
          <t>BG / PBG Conditions</t>
        </is>
      </c>
      <c r="N4" s="122" t="inlineStr">
        <is>
          <t>Bid Submission Date</t>
        </is>
      </c>
      <c r="O4" s="122" t="inlineStr">
        <is>
          <t>Opening Date</t>
        </is>
      </c>
      <c r="P4" s="122" t="inlineStr">
        <is>
          <t>PPA Tenure Years</t>
        </is>
      </c>
      <c r="Q4" s="122" t="inlineStr">
        <is>
          <t>Confidence %</t>
        </is>
      </c>
      <c r="R4" s="122" t="inlineStr">
        <is>
          <t>Extracted On</t>
        </is>
      </c>
      <c r="S4" s="122" t="inlineStr">
        <is>
          <t>Review Status</t>
        </is>
      </c>
    </row>
    <row r="5">
      <c r="N5" s="281" t="n"/>
      <c r="O5" s="281" t="n"/>
      <c r="Q5" s="284" t="n"/>
      <c r="R5" s="283" t="n"/>
    </row>
    <row r="6">
      <c r="N6" s="281" t="n"/>
      <c r="O6" s="281" t="n"/>
      <c r="Q6" s="284" t="n"/>
      <c r="R6" s="283" t="n"/>
    </row>
    <row r="7">
      <c r="N7" s="281" t="n"/>
      <c r="O7" s="281" t="n"/>
      <c r="Q7" s="284" t="n"/>
      <c r="R7" s="283" t="n"/>
    </row>
    <row r="8">
      <c r="N8" s="281" t="n"/>
      <c r="O8" s="281" t="n"/>
      <c r="Q8" s="284" t="n"/>
      <c r="R8" s="283" t="n"/>
    </row>
    <row r="9">
      <c r="N9" s="281" t="n"/>
      <c r="O9" s="281" t="n"/>
      <c r="Q9" s="284" t="n"/>
      <c r="R9" s="283" t="n"/>
    </row>
    <row r="10">
      <c r="N10" s="281" t="n"/>
      <c r="O10" s="281" t="n"/>
      <c r="Q10" s="284" t="n"/>
      <c r="R10" s="283" t="n"/>
    </row>
    <row r="11">
      <c r="N11" s="281" t="n"/>
      <c r="O11" s="281" t="n"/>
      <c r="Q11" s="284" t="n"/>
      <c r="R11" s="283" t="n"/>
    </row>
    <row r="12">
      <c r="N12" s="281" t="n"/>
      <c r="O12" s="281" t="n"/>
      <c r="Q12" s="284" t="n"/>
      <c r="R12" s="283" t="n"/>
    </row>
    <row r="13">
      <c r="N13" s="281" t="n"/>
      <c r="O13" s="281" t="n"/>
      <c r="Q13" s="284" t="n"/>
      <c r="R13" s="283" t="n"/>
    </row>
    <row r="14">
      <c r="N14" s="281" t="n"/>
      <c r="O14" s="281" t="n"/>
      <c r="Q14" s="284" t="n"/>
      <c r="R14" s="283" t="n"/>
    </row>
    <row r="15">
      <c r="N15" s="281" t="n"/>
      <c r="O15" s="281" t="n"/>
      <c r="Q15" s="284" t="n"/>
      <c r="R15" s="283" t="n"/>
    </row>
    <row r="16">
      <c r="N16" s="281" t="n"/>
      <c r="O16" s="281" t="n"/>
      <c r="Q16" s="284" t="n"/>
      <c r="R16" s="283" t="n"/>
    </row>
    <row r="17">
      <c r="N17" s="281" t="n"/>
      <c r="O17" s="281" t="n"/>
      <c r="Q17" s="284" t="n"/>
      <c r="R17" s="283" t="n"/>
    </row>
    <row r="18">
      <c r="N18" s="281" t="n"/>
      <c r="O18" s="281" t="n"/>
      <c r="Q18" s="284" t="n"/>
      <c r="R18" s="283" t="n"/>
    </row>
    <row r="19">
      <c r="N19" s="281" t="n"/>
      <c r="O19" s="281" t="n"/>
      <c r="Q19" s="284" t="n"/>
      <c r="R19" s="283" t="n"/>
    </row>
    <row r="20">
      <c r="N20" s="281" t="n"/>
      <c r="O20" s="281" t="n"/>
      <c r="Q20" s="284" t="n"/>
      <c r="R20" s="283" t="n"/>
    </row>
    <row r="21">
      <c r="N21" s="281" t="n"/>
      <c r="O21" s="281" t="n"/>
      <c r="Q21" s="284" t="n"/>
      <c r="R21" s="283" t="n"/>
    </row>
    <row r="22">
      <c r="N22" s="281" t="n"/>
      <c r="O22" s="281" t="n"/>
      <c r="Q22" s="284" t="n"/>
      <c r="R22" s="283" t="n"/>
    </row>
    <row r="23">
      <c r="N23" s="281" t="n"/>
      <c r="O23" s="281" t="n"/>
      <c r="Q23" s="284" t="n"/>
      <c r="R23" s="283" t="n"/>
    </row>
    <row r="24">
      <c r="N24" s="281" t="n"/>
      <c r="O24" s="281" t="n"/>
      <c r="Q24" s="284" t="n"/>
      <c r="R24" s="283" t="n"/>
    </row>
    <row r="25">
      <c r="N25" s="281" t="n"/>
      <c r="O25" s="281" t="n"/>
      <c r="Q25" s="284" t="n"/>
      <c r="R25" s="283" t="n"/>
    </row>
    <row r="26">
      <c r="N26" s="281" t="n"/>
      <c r="O26" s="281" t="n"/>
      <c r="Q26" s="284" t="n"/>
      <c r="R26" s="283" t="n"/>
    </row>
    <row r="27">
      <c r="N27" s="281" t="n"/>
      <c r="O27" s="281" t="n"/>
      <c r="Q27" s="284" t="n"/>
      <c r="R27" s="283" t="n"/>
    </row>
    <row r="28">
      <c r="N28" s="281" t="n"/>
      <c r="O28" s="281" t="n"/>
      <c r="Q28" s="284" t="n"/>
      <c r="R28" s="283" t="n"/>
    </row>
    <row r="29">
      <c r="N29" s="281" t="n"/>
      <c r="O29" s="281" t="n"/>
      <c r="Q29" s="284" t="n"/>
      <c r="R29" s="283" t="n"/>
    </row>
    <row r="30">
      <c r="N30" s="281" t="n"/>
      <c r="O30" s="281" t="n"/>
      <c r="Q30" s="284" t="n"/>
      <c r="R30" s="283" t="n"/>
    </row>
    <row r="31">
      <c r="N31" s="281" t="n"/>
      <c r="O31" s="281" t="n"/>
      <c r="Q31" s="284" t="n"/>
      <c r="R31" s="283" t="n"/>
    </row>
    <row r="32">
      <c r="N32" s="281" t="n"/>
      <c r="O32" s="281" t="n"/>
      <c r="Q32" s="284" t="n"/>
      <c r="R32" s="283" t="n"/>
    </row>
    <row r="33">
      <c r="N33" s="281" t="n"/>
      <c r="O33" s="281" t="n"/>
      <c r="Q33" s="284" t="n"/>
      <c r="R33" s="283" t="n"/>
    </row>
    <row r="34">
      <c r="N34" s="281" t="n"/>
      <c r="O34" s="281" t="n"/>
      <c r="Q34" s="284" t="n"/>
      <c r="R34" s="283" t="n"/>
    </row>
    <row r="35">
      <c r="N35" s="281" t="n"/>
      <c r="O35" s="281" t="n"/>
      <c r="Q35" s="284" t="n"/>
      <c r="R35" s="283" t="n"/>
    </row>
    <row r="36">
      <c r="N36" s="281" t="n"/>
      <c r="O36" s="281" t="n"/>
      <c r="Q36" s="284" t="n"/>
      <c r="R36" s="283" t="n"/>
    </row>
    <row r="37">
      <c r="N37" s="281" t="n"/>
      <c r="O37" s="281" t="n"/>
      <c r="Q37" s="284" t="n"/>
      <c r="R37" s="283" t="n"/>
    </row>
    <row r="38">
      <c r="N38" s="281" t="n"/>
      <c r="O38" s="281" t="n"/>
      <c r="Q38" s="284" t="n"/>
      <c r="R38" s="283" t="n"/>
    </row>
    <row r="39">
      <c r="N39" s="281" t="n"/>
      <c r="O39" s="281" t="n"/>
      <c r="Q39" s="284" t="n"/>
      <c r="R39" s="283" t="n"/>
    </row>
    <row r="40">
      <c r="N40" s="281" t="n"/>
      <c r="O40" s="281" t="n"/>
      <c r="Q40" s="284" t="n"/>
      <c r="R40" s="283" t="n"/>
    </row>
    <row r="41">
      <c r="N41" s="281" t="n"/>
      <c r="O41" s="281" t="n"/>
      <c r="Q41" s="284" t="n"/>
      <c r="R41" s="283" t="n"/>
    </row>
    <row r="42">
      <c r="N42" s="281" t="n"/>
      <c r="O42" s="281" t="n"/>
      <c r="Q42" s="284" t="n"/>
      <c r="R42" s="283" t="n"/>
    </row>
    <row r="43">
      <c r="N43" s="281" t="n"/>
      <c r="O43" s="281" t="n"/>
      <c r="Q43" s="284" t="n"/>
      <c r="R43" s="283" t="n"/>
    </row>
    <row r="44">
      <c r="N44" s="281" t="n"/>
      <c r="O44" s="281" t="n"/>
      <c r="Q44" s="284" t="n"/>
      <c r="R44" s="283" t="n"/>
    </row>
    <row r="45">
      <c r="N45" s="281" t="n"/>
      <c r="O45" s="281" t="n"/>
      <c r="Q45" s="284" t="n"/>
      <c r="R45" s="283" t="n"/>
    </row>
    <row r="46">
      <c r="N46" s="281" t="n"/>
      <c r="O46" s="281" t="n"/>
      <c r="Q46" s="284" t="n"/>
      <c r="R46" s="283" t="n"/>
    </row>
    <row r="47">
      <c r="N47" s="281" t="n"/>
      <c r="O47" s="281" t="n"/>
      <c r="Q47" s="284" t="n"/>
      <c r="R47" s="283" t="n"/>
    </row>
    <row r="48">
      <c r="N48" s="281" t="n"/>
      <c r="O48" s="281" t="n"/>
      <c r="Q48" s="284" t="n"/>
      <c r="R48" s="283" t="n"/>
    </row>
    <row r="49">
      <c r="N49" s="281" t="n"/>
      <c r="O49" s="281" t="n"/>
      <c r="Q49" s="284" t="n"/>
      <c r="R49" s="283" t="n"/>
    </row>
    <row r="50">
      <c r="N50" s="281" t="n"/>
      <c r="O50" s="281" t="n"/>
      <c r="Q50" s="284" t="n"/>
      <c r="R50" s="283" t="n"/>
    </row>
    <row r="51">
      <c r="N51" s="281" t="n"/>
      <c r="O51" s="281" t="n"/>
      <c r="Q51" s="284" t="n"/>
      <c r="R51" s="283" t="n"/>
    </row>
    <row r="52">
      <c r="N52" s="281" t="n"/>
      <c r="O52" s="281" t="n"/>
      <c r="Q52" s="284" t="n"/>
      <c r="R52" s="283" t="n"/>
    </row>
    <row r="53">
      <c r="N53" s="281" t="n"/>
      <c r="O53" s="281" t="n"/>
      <c r="Q53" s="284" t="n"/>
      <c r="R53" s="283" t="n"/>
    </row>
    <row r="54">
      <c r="N54" s="281" t="n"/>
      <c r="O54" s="281" t="n"/>
      <c r="Q54" s="284" t="n"/>
      <c r="R54" s="283" t="n"/>
    </row>
    <row r="55">
      <c r="N55" s="281" t="n"/>
      <c r="O55" s="281" t="n"/>
      <c r="Q55" s="284" t="n"/>
      <c r="R55" s="283" t="n"/>
    </row>
    <row r="56">
      <c r="N56" s="281" t="n"/>
      <c r="O56" s="281" t="n"/>
      <c r="Q56" s="284" t="n"/>
      <c r="R56" s="283" t="n"/>
    </row>
    <row r="57">
      <c r="N57" s="281" t="n"/>
      <c r="O57" s="281" t="n"/>
      <c r="Q57" s="284" t="n"/>
      <c r="R57" s="283" t="n"/>
    </row>
    <row r="58">
      <c r="N58" s="281" t="n"/>
      <c r="O58" s="281" t="n"/>
      <c r="Q58" s="284" t="n"/>
      <c r="R58" s="283" t="n"/>
    </row>
    <row r="59">
      <c r="N59" s="281" t="n"/>
      <c r="O59" s="281" t="n"/>
      <c r="Q59" s="284" t="n"/>
      <c r="R59" s="283" t="n"/>
    </row>
    <row r="60">
      <c r="N60" s="281" t="n"/>
      <c r="O60" s="281" t="n"/>
      <c r="Q60" s="284" t="n"/>
      <c r="R60" s="283" t="n"/>
    </row>
    <row r="61">
      <c r="N61" s="281" t="n"/>
      <c r="O61" s="281" t="n"/>
      <c r="Q61" s="284" t="n"/>
      <c r="R61" s="283" t="n"/>
    </row>
    <row r="62">
      <c r="N62" s="281" t="n"/>
      <c r="O62" s="281" t="n"/>
      <c r="Q62" s="284" t="n"/>
      <c r="R62" s="283" t="n"/>
    </row>
    <row r="63">
      <c r="N63" s="281" t="n"/>
      <c r="O63" s="281" t="n"/>
      <c r="Q63" s="284" t="n"/>
      <c r="R63" s="283" t="n"/>
    </row>
    <row r="64">
      <c r="N64" s="281" t="n"/>
      <c r="O64" s="281" t="n"/>
      <c r="Q64" s="284" t="n"/>
      <c r="R64" s="283" t="n"/>
    </row>
    <row r="65">
      <c r="N65" s="281" t="n"/>
      <c r="O65" s="281" t="n"/>
      <c r="Q65" s="284" t="n"/>
      <c r="R65" s="283" t="n"/>
    </row>
    <row r="66">
      <c r="N66" s="281" t="n"/>
      <c r="O66" s="281" t="n"/>
      <c r="Q66" s="284" t="n"/>
      <c r="R66" s="283" t="n"/>
    </row>
    <row r="67">
      <c r="N67" s="281" t="n"/>
      <c r="O67" s="281" t="n"/>
      <c r="Q67" s="284" t="n"/>
      <c r="R67" s="283" t="n"/>
    </row>
    <row r="68">
      <c r="N68" s="281" t="n"/>
      <c r="O68" s="281" t="n"/>
      <c r="Q68" s="284" t="n"/>
      <c r="R68" s="283" t="n"/>
    </row>
    <row r="69">
      <c r="N69" s="281" t="n"/>
      <c r="O69" s="281" t="n"/>
      <c r="Q69" s="284" t="n"/>
      <c r="R69" s="283" t="n"/>
    </row>
    <row r="70">
      <c r="N70" s="281" t="n"/>
      <c r="O70" s="281" t="n"/>
      <c r="Q70" s="284" t="n"/>
      <c r="R70" s="283" t="n"/>
    </row>
    <row r="71">
      <c r="N71" s="281" t="n"/>
      <c r="O71" s="281" t="n"/>
      <c r="Q71" s="284" t="n"/>
      <c r="R71" s="283" t="n"/>
    </row>
    <row r="72">
      <c r="N72" s="281" t="n"/>
      <c r="O72" s="281" t="n"/>
      <c r="Q72" s="284" t="n"/>
      <c r="R72" s="283" t="n"/>
    </row>
    <row r="73">
      <c r="N73" s="281" t="n"/>
      <c r="O73" s="281" t="n"/>
      <c r="Q73" s="284" t="n"/>
      <c r="R73" s="283" t="n"/>
    </row>
    <row r="74">
      <c r="N74" s="281" t="n"/>
      <c r="O74" s="281" t="n"/>
      <c r="Q74" s="284" t="n"/>
      <c r="R74" s="283" t="n"/>
    </row>
    <row r="75">
      <c r="N75" s="281" t="n"/>
      <c r="O75" s="281" t="n"/>
      <c r="Q75" s="284" t="n"/>
      <c r="R75" s="283" t="n"/>
    </row>
    <row r="76">
      <c r="N76" s="281" t="n"/>
      <c r="O76" s="281" t="n"/>
      <c r="Q76" s="284" t="n"/>
      <c r="R76" s="283" t="n"/>
    </row>
    <row r="77">
      <c r="N77" s="281" t="n"/>
      <c r="O77" s="281" t="n"/>
      <c r="Q77" s="284" t="n"/>
      <c r="R77" s="283" t="n"/>
    </row>
    <row r="78">
      <c r="N78" s="281" t="n"/>
      <c r="O78" s="281" t="n"/>
      <c r="Q78" s="284" t="n"/>
      <c r="R78" s="283" t="n"/>
    </row>
    <row r="79">
      <c r="N79" s="281" t="n"/>
      <c r="O79" s="281" t="n"/>
      <c r="Q79" s="284" t="n"/>
      <c r="R79" s="283" t="n"/>
    </row>
    <row r="80">
      <c r="N80" s="281" t="n"/>
      <c r="O80" s="281" t="n"/>
      <c r="Q80" s="284" t="n"/>
      <c r="R80" s="283" t="n"/>
    </row>
    <row r="81">
      <c r="N81" s="281" t="n"/>
      <c r="O81" s="281" t="n"/>
      <c r="Q81" s="284" t="n"/>
      <c r="R81" s="283" t="n"/>
    </row>
    <row r="82">
      <c r="N82" s="281" t="n"/>
      <c r="O82" s="281" t="n"/>
      <c r="Q82" s="284" t="n"/>
      <c r="R82" s="283" t="n"/>
    </row>
    <row r="83">
      <c r="N83" s="281" t="n"/>
      <c r="O83" s="281" t="n"/>
      <c r="Q83" s="284" t="n"/>
      <c r="R83" s="283" t="n"/>
    </row>
    <row r="84">
      <c r="N84" s="281" t="n"/>
      <c r="O84" s="281" t="n"/>
      <c r="Q84" s="284" t="n"/>
      <c r="R84" s="283" t="n"/>
    </row>
    <row r="85">
      <c r="N85" s="281" t="n"/>
      <c r="O85" s="281" t="n"/>
      <c r="Q85" s="284" t="n"/>
      <c r="R85" s="283" t="n"/>
    </row>
    <row r="86">
      <c r="N86" s="281" t="n"/>
      <c r="O86" s="281" t="n"/>
      <c r="Q86" s="284" t="n"/>
      <c r="R86" s="283" t="n"/>
    </row>
    <row r="87">
      <c r="N87" s="281" t="n"/>
      <c r="O87" s="281" t="n"/>
      <c r="Q87" s="284" t="n"/>
      <c r="R87" s="283" t="n"/>
    </row>
    <row r="88">
      <c r="N88" s="281" t="n"/>
      <c r="O88" s="281" t="n"/>
      <c r="Q88" s="284" t="n"/>
      <c r="R88" s="283" t="n"/>
    </row>
    <row r="89">
      <c r="N89" s="281" t="n"/>
      <c r="O89" s="281" t="n"/>
      <c r="Q89" s="284" t="n"/>
      <c r="R89" s="283" t="n"/>
    </row>
    <row r="90">
      <c r="N90" s="281" t="n"/>
      <c r="O90" s="281" t="n"/>
      <c r="Q90" s="284" t="n"/>
      <c r="R90" s="283" t="n"/>
    </row>
    <row r="91">
      <c r="N91" s="281" t="n"/>
      <c r="O91" s="281" t="n"/>
      <c r="Q91" s="284" t="n"/>
      <c r="R91" s="283" t="n"/>
    </row>
    <row r="92">
      <c r="N92" s="281" t="n"/>
      <c r="O92" s="281" t="n"/>
      <c r="Q92" s="284" t="n"/>
      <c r="R92" s="283" t="n"/>
    </row>
    <row r="93">
      <c r="N93" s="281" t="n"/>
      <c r="O93" s="281" t="n"/>
      <c r="Q93" s="284" t="n"/>
      <c r="R93" s="283" t="n"/>
    </row>
    <row r="94">
      <c r="N94" s="281" t="n"/>
      <c r="O94" s="281" t="n"/>
      <c r="Q94" s="284" t="n"/>
      <c r="R94" s="283" t="n"/>
    </row>
    <row r="95">
      <c r="N95" s="281" t="n"/>
      <c r="O95" s="281" t="n"/>
      <c r="Q95" s="284" t="n"/>
      <c r="R95" s="283" t="n"/>
    </row>
    <row r="96">
      <c r="N96" s="281" t="n"/>
      <c r="O96" s="281" t="n"/>
      <c r="Q96" s="284" t="n"/>
      <c r="R96" s="283" t="n"/>
    </row>
    <row r="97">
      <c r="N97" s="281" t="n"/>
      <c r="O97" s="281" t="n"/>
      <c r="Q97" s="284" t="n"/>
      <c r="R97" s="283" t="n"/>
    </row>
    <row r="98">
      <c r="N98" s="281" t="n"/>
      <c r="O98" s="281" t="n"/>
      <c r="Q98" s="284" t="n"/>
      <c r="R98" s="283" t="n"/>
    </row>
    <row r="99">
      <c r="N99" s="281" t="n"/>
      <c r="O99" s="281" t="n"/>
      <c r="Q99" s="284" t="n"/>
      <c r="R99" s="283" t="n"/>
    </row>
    <row r="100">
      <c r="N100" s="281" t="n"/>
      <c r="O100" s="281" t="n"/>
      <c r="Q100" s="284" t="n"/>
      <c r="R100" s="283" t="n"/>
    </row>
    <row r="101">
      <c r="N101" s="281" t="n"/>
      <c r="O101" s="281" t="n"/>
      <c r="Q101" s="284" t="n"/>
      <c r="R101" s="283" t="n"/>
    </row>
    <row r="102">
      <c r="N102" s="281" t="n"/>
      <c r="O102" s="281" t="n"/>
      <c r="Q102" s="284" t="n"/>
      <c r="R102" s="283" t="n"/>
    </row>
    <row r="103">
      <c r="N103" s="281" t="n"/>
      <c r="O103" s="281" t="n"/>
      <c r="Q103" s="284" t="n"/>
      <c r="R103" s="283" t="n"/>
    </row>
    <row r="104">
      <c r="N104" s="281" t="n"/>
      <c r="O104" s="281" t="n"/>
      <c r="Q104" s="284" t="n"/>
      <c r="R104" s="283" t="n"/>
    </row>
    <row r="105">
      <c r="N105" s="281" t="n"/>
      <c r="O105" s="281" t="n"/>
      <c r="Q105" s="284" t="n"/>
      <c r="R105" s="283" t="n"/>
    </row>
    <row r="106">
      <c r="N106" s="281" t="n"/>
      <c r="O106" s="281" t="n"/>
      <c r="Q106" s="284" t="n"/>
      <c r="R106" s="283" t="n"/>
    </row>
    <row r="107">
      <c r="N107" s="281" t="n"/>
      <c r="O107" s="281" t="n"/>
      <c r="Q107" s="284" t="n"/>
      <c r="R107" s="283" t="n"/>
    </row>
    <row r="108">
      <c r="N108" s="281" t="n"/>
      <c r="O108" s="281" t="n"/>
      <c r="Q108" s="284" t="n"/>
      <c r="R108" s="283" t="n"/>
    </row>
    <row r="109">
      <c r="N109" s="281" t="n"/>
      <c r="O109" s="281" t="n"/>
      <c r="Q109" s="284" t="n"/>
      <c r="R109" s="283" t="n"/>
    </row>
    <row r="110">
      <c r="N110" s="281" t="n"/>
      <c r="O110" s="281" t="n"/>
      <c r="Q110" s="284" t="n"/>
      <c r="R110" s="283" t="n"/>
    </row>
    <row r="111">
      <c r="N111" s="281" t="n"/>
      <c r="O111" s="281" t="n"/>
      <c r="Q111" s="284" t="n"/>
      <c r="R111" s="283" t="n"/>
    </row>
    <row r="112">
      <c r="N112" s="281" t="n"/>
      <c r="O112" s="281" t="n"/>
      <c r="Q112" s="284" t="n"/>
      <c r="R112" s="283" t="n"/>
    </row>
    <row r="113">
      <c r="N113" s="281" t="n"/>
      <c r="O113" s="281" t="n"/>
      <c r="Q113" s="284" t="n"/>
      <c r="R113" s="283" t="n"/>
    </row>
    <row r="114">
      <c r="N114" s="281" t="n"/>
      <c r="O114" s="281" t="n"/>
      <c r="Q114" s="284" t="n"/>
      <c r="R114" s="283" t="n"/>
    </row>
    <row r="115">
      <c r="N115" s="281" t="n"/>
      <c r="O115" s="281" t="n"/>
      <c r="Q115" s="284" t="n"/>
      <c r="R115" s="283" t="n"/>
    </row>
    <row r="116">
      <c r="N116" s="281" t="n"/>
      <c r="O116" s="281" t="n"/>
      <c r="Q116" s="284" t="n"/>
      <c r="R116" s="283" t="n"/>
    </row>
    <row r="117">
      <c r="N117" s="281" t="n"/>
      <c r="O117" s="281" t="n"/>
      <c r="Q117" s="284" t="n"/>
      <c r="R117" s="283" t="n"/>
    </row>
    <row r="118">
      <c r="N118" s="281" t="n"/>
      <c r="O118" s="281" t="n"/>
      <c r="Q118" s="284" t="n"/>
      <c r="R118" s="283" t="n"/>
    </row>
    <row r="119">
      <c r="N119" s="281" t="n"/>
      <c r="O119" s="281" t="n"/>
      <c r="Q119" s="284" t="n"/>
      <c r="R119" s="283" t="n"/>
    </row>
    <row r="120">
      <c r="N120" s="281" t="n"/>
      <c r="O120" s="281" t="n"/>
      <c r="Q120" s="284" t="n"/>
      <c r="R120" s="283" t="n"/>
    </row>
    <row r="121">
      <c r="N121" s="281" t="n"/>
      <c r="O121" s="281" t="n"/>
      <c r="Q121" s="284" t="n"/>
      <c r="R121" s="283" t="n"/>
    </row>
    <row r="122">
      <c r="N122" s="281" t="n"/>
      <c r="O122" s="281" t="n"/>
      <c r="Q122" s="284" t="n"/>
      <c r="R122" s="283" t="n"/>
    </row>
    <row r="123">
      <c r="N123" s="281" t="n"/>
      <c r="O123" s="281" t="n"/>
      <c r="Q123" s="284" t="n"/>
      <c r="R123" s="283" t="n"/>
    </row>
    <row r="124">
      <c r="N124" s="281" t="n"/>
      <c r="O124" s="281" t="n"/>
      <c r="Q124" s="284" t="n"/>
      <c r="R124" s="283" t="n"/>
    </row>
    <row r="125">
      <c r="N125" s="281" t="n"/>
      <c r="O125" s="281" t="n"/>
      <c r="Q125" s="284" t="n"/>
      <c r="R125" s="283" t="n"/>
    </row>
    <row r="126">
      <c r="N126" s="281" t="n"/>
      <c r="O126" s="281" t="n"/>
      <c r="Q126" s="284" t="n"/>
      <c r="R126" s="283" t="n"/>
    </row>
    <row r="127">
      <c r="N127" s="281" t="n"/>
      <c r="O127" s="281" t="n"/>
      <c r="Q127" s="284" t="n"/>
      <c r="R127" s="283" t="n"/>
    </row>
    <row r="128">
      <c r="N128" s="281" t="n"/>
      <c r="O128" s="281" t="n"/>
      <c r="Q128" s="284" t="n"/>
      <c r="R128" s="283" t="n"/>
    </row>
    <row r="129">
      <c r="N129" s="281" t="n"/>
      <c r="O129" s="281" t="n"/>
      <c r="Q129" s="284" t="n"/>
      <c r="R129" s="283" t="n"/>
    </row>
    <row r="130">
      <c r="N130" s="281" t="n"/>
      <c r="O130" s="281" t="n"/>
      <c r="Q130" s="284" t="n"/>
      <c r="R130" s="283" t="n"/>
    </row>
    <row r="131">
      <c r="N131" s="281" t="n"/>
      <c r="O131" s="281" t="n"/>
      <c r="Q131" s="284" t="n"/>
      <c r="R131" s="283" t="n"/>
    </row>
    <row r="132">
      <c r="N132" s="281" t="n"/>
      <c r="O132" s="281" t="n"/>
      <c r="Q132" s="284" t="n"/>
      <c r="R132" s="283" t="n"/>
    </row>
    <row r="133">
      <c r="N133" s="281" t="n"/>
      <c r="O133" s="281" t="n"/>
      <c r="Q133" s="284" t="n"/>
      <c r="R133" s="283" t="n"/>
    </row>
    <row r="134">
      <c r="N134" s="281" t="n"/>
      <c r="O134" s="281" t="n"/>
      <c r="Q134" s="284" t="n"/>
      <c r="R134" s="283" t="n"/>
    </row>
    <row r="135">
      <c r="N135" s="281" t="n"/>
      <c r="O135" s="281" t="n"/>
      <c r="Q135" s="284" t="n"/>
      <c r="R135" s="283" t="n"/>
    </row>
    <row r="136">
      <c r="N136" s="281" t="n"/>
      <c r="O136" s="281" t="n"/>
      <c r="Q136" s="284" t="n"/>
      <c r="R136" s="283" t="n"/>
    </row>
    <row r="137">
      <c r="N137" s="281" t="n"/>
      <c r="O137" s="281" t="n"/>
      <c r="Q137" s="284" t="n"/>
      <c r="R137" s="283" t="n"/>
    </row>
    <row r="138">
      <c r="N138" s="281" t="n"/>
      <c r="O138" s="281" t="n"/>
      <c r="Q138" s="284" t="n"/>
      <c r="R138" s="283" t="n"/>
    </row>
    <row r="139">
      <c r="N139" s="281" t="n"/>
      <c r="O139" s="281" t="n"/>
      <c r="Q139" s="284" t="n"/>
      <c r="R139" s="283" t="n"/>
    </row>
    <row r="140">
      <c r="N140" s="281" t="n"/>
      <c r="O140" s="281" t="n"/>
      <c r="Q140" s="284" t="n"/>
      <c r="R140" s="283" t="n"/>
    </row>
    <row r="141">
      <c r="N141" s="281" t="n"/>
      <c r="O141" s="281" t="n"/>
      <c r="Q141" s="284" t="n"/>
      <c r="R141" s="283" t="n"/>
    </row>
    <row r="142">
      <c r="N142" s="281" t="n"/>
      <c r="O142" s="281" t="n"/>
      <c r="Q142" s="284" t="n"/>
      <c r="R142" s="283" t="n"/>
    </row>
    <row r="143">
      <c r="N143" s="281" t="n"/>
      <c r="O143" s="281" t="n"/>
      <c r="Q143" s="284" t="n"/>
      <c r="R143" s="283" t="n"/>
    </row>
    <row r="144">
      <c r="N144" s="281" t="n"/>
      <c r="O144" s="281" t="n"/>
      <c r="Q144" s="284" t="n"/>
      <c r="R144" s="283" t="n"/>
    </row>
    <row r="145">
      <c r="N145" s="281" t="n"/>
      <c r="O145" s="281" t="n"/>
      <c r="Q145" s="284" t="n"/>
      <c r="R145" s="283" t="n"/>
    </row>
    <row r="146">
      <c r="N146" s="281" t="n"/>
      <c r="O146" s="281" t="n"/>
      <c r="Q146" s="284" t="n"/>
      <c r="R146" s="283" t="n"/>
    </row>
    <row r="147">
      <c r="N147" s="281" t="n"/>
      <c r="O147" s="281" t="n"/>
      <c r="Q147" s="284" t="n"/>
      <c r="R147" s="283" t="n"/>
    </row>
    <row r="148">
      <c r="N148" s="281" t="n"/>
      <c r="O148" s="281" t="n"/>
      <c r="Q148" s="284" t="n"/>
      <c r="R148" s="283" t="n"/>
    </row>
    <row r="149">
      <c r="N149" s="281" t="n"/>
      <c r="O149" s="281" t="n"/>
      <c r="Q149" s="284" t="n"/>
      <c r="R149" s="283" t="n"/>
    </row>
    <row r="150">
      <c r="N150" s="281" t="n"/>
      <c r="O150" s="281" t="n"/>
      <c r="Q150" s="284" t="n"/>
      <c r="R150" s="283" t="n"/>
    </row>
    <row r="151">
      <c r="N151" s="281" t="n"/>
      <c r="O151" s="281" t="n"/>
      <c r="Q151" s="284" t="n"/>
      <c r="R151" s="283" t="n"/>
    </row>
    <row r="152">
      <c r="N152" s="281" t="n"/>
      <c r="O152" s="281" t="n"/>
      <c r="Q152" s="284" t="n"/>
      <c r="R152" s="283" t="n"/>
    </row>
    <row r="153">
      <c r="N153" s="281" t="n"/>
      <c r="O153" s="281" t="n"/>
      <c r="Q153" s="284" t="n"/>
      <c r="R153" s="283" t="n"/>
    </row>
    <row r="154">
      <c r="N154" s="281" t="n"/>
      <c r="O154" s="281" t="n"/>
      <c r="Q154" s="284" t="n"/>
      <c r="R154" s="283" t="n"/>
    </row>
    <row r="155">
      <c r="N155" s="281" t="n"/>
      <c r="O155" s="281" t="n"/>
      <c r="Q155" s="284" t="n"/>
      <c r="R155" s="283" t="n"/>
    </row>
    <row r="156">
      <c r="N156" s="281" t="n"/>
      <c r="O156" s="281" t="n"/>
      <c r="Q156" s="284" t="n"/>
      <c r="R156" s="283" t="n"/>
    </row>
    <row r="157">
      <c r="N157" s="281" t="n"/>
      <c r="O157" s="281" t="n"/>
      <c r="Q157" s="284" t="n"/>
      <c r="R157" s="283" t="n"/>
    </row>
    <row r="158">
      <c r="N158" s="281" t="n"/>
      <c r="O158" s="281" t="n"/>
      <c r="Q158" s="284" t="n"/>
      <c r="R158" s="283" t="n"/>
    </row>
    <row r="159">
      <c r="N159" s="281" t="n"/>
      <c r="O159" s="281" t="n"/>
      <c r="Q159" s="284" t="n"/>
      <c r="R159" s="283" t="n"/>
    </row>
    <row r="160">
      <c r="N160" s="281" t="n"/>
      <c r="O160" s="281" t="n"/>
      <c r="Q160" s="284" t="n"/>
      <c r="R160" s="283" t="n"/>
    </row>
    <row r="161">
      <c r="N161" s="281" t="n"/>
      <c r="O161" s="281" t="n"/>
      <c r="Q161" s="284" t="n"/>
      <c r="R161" s="283" t="n"/>
    </row>
    <row r="162">
      <c r="N162" s="281" t="n"/>
      <c r="O162" s="281" t="n"/>
      <c r="Q162" s="284" t="n"/>
      <c r="R162" s="283" t="n"/>
    </row>
    <row r="163">
      <c r="N163" s="281" t="n"/>
      <c r="O163" s="281" t="n"/>
      <c r="Q163" s="284" t="n"/>
      <c r="R163" s="283" t="n"/>
    </row>
    <row r="164">
      <c r="N164" s="281" t="n"/>
      <c r="O164" s="281" t="n"/>
      <c r="Q164" s="284" t="n"/>
      <c r="R164" s="283" t="n"/>
    </row>
    <row r="165">
      <c r="N165" s="281" t="n"/>
      <c r="O165" s="281" t="n"/>
      <c r="Q165" s="284" t="n"/>
      <c r="R165" s="283" t="n"/>
    </row>
    <row r="166">
      <c r="N166" s="281" t="n"/>
      <c r="O166" s="281" t="n"/>
      <c r="Q166" s="284" t="n"/>
      <c r="R166" s="283" t="n"/>
    </row>
    <row r="167">
      <c r="N167" s="281" t="n"/>
      <c r="O167" s="281" t="n"/>
      <c r="Q167" s="284" t="n"/>
      <c r="R167" s="283" t="n"/>
    </row>
    <row r="168">
      <c r="N168" s="281" t="n"/>
      <c r="O168" s="281" t="n"/>
      <c r="Q168" s="284" t="n"/>
      <c r="R168" s="283" t="n"/>
    </row>
    <row r="169">
      <c r="N169" s="281" t="n"/>
      <c r="O169" s="281" t="n"/>
      <c r="Q169" s="284" t="n"/>
      <c r="R169" s="283" t="n"/>
    </row>
    <row r="170">
      <c r="N170" s="281" t="n"/>
      <c r="O170" s="281" t="n"/>
      <c r="Q170" s="284" t="n"/>
      <c r="R170" s="283" t="n"/>
    </row>
    <row r="171">
      <c r="N171" s="281" t="n"/>
      <c r="O171" s="281" t="n"/>
      <c r="Q171" s="284" t="n"/>
      <c r="R171" s="283" t="n"/>
    </row>
    <row r="172">
      <c r="N172" s="281" t="n"/>
      <c r="O172" s="281" t="n"/>
      <c r="Q172" s="284" t="n"/>
      <c r="R172" s="283" t="n"/>
    </row>
    <row r="173">
      <c r="N173" s="281" t="n"/>
      <c r="O173" s="281" t="n"/>
      <c r="Q173" s="284" t="n"/>
      <c r="R173" s="283" t="n"/>
    </row>
    <row r="174">
      <c r="N174" s="281" t="n"/>
      <c r="O174" s="281" t="n"/>
      <c r="Q174" s="284" t="n"/>
      <c r="R174" s="283" t="n"/>
    </row>
    <row r="175">
      <c r="N175" s="281" t="n"/>
      <c r="O175" s="281" t="n"/>
      <c r="Q175" s="284" t="n"/>
      <c r="R175" s="283" t="n"/>
    </row>
    <row r="176">
      <c r="N176" s="281" t="n"/>
      <c r="O176" s="281" t="n"/>
      <c r="Q176" s="284" t="n"/>
      <c r="R176" s="283" t="n"/>
    </row>
    <row r="177">
      <c r="N177" s="281" t="n"/>
      <c r="O177" s="281" t="n"/>
      <c r="Q177" s="284" t="n"/>
      <c r="R177" s="283" t="n"/>
    </row>
    <row r="178">
      <c r="N178" s="281" t="n"/>
      <c r="O178" s="281" t="n"/>
      <c r="Q178" s="284" t="n"/>
      <c r="R178" s="283" t="n"/>
    </row>
    <row r="179">
      <c r="N179" s="281" t="n"/>
      <c r="O179" s="281" t="n"/>
      <c r="Q179" s="284" t="n"/>
      <c r="R179" s="283" t="n"/>
    </row>
    <row r="180">
      <c r="N180" s="281" t="n"/>
      <c r="O180" s="281" t="n"/>
      <c r="Q180" s="284" t="n"/>
      <c r="R180" s="283" t="n"/>
    </row>
    <row r="181">
      <c r="N181" s="281" t="n"/>
      <c r="O181" s="281" t="n"/>
      <c r="Q181" s="284" t="n"/>
      <c r="R181" s="283" t="n"/>
    </row>
    <row r="182">
      <c r="N182" s="281" t="n"/>
      <c r="O182" s="281" t="n"/>
      <c r="Q182" s="284" t="n"/>
      <c r="R182" s="283" t="n"/>
    </row>
    <row r="183">
      <c r="N183" s="281" t="n"/>
      <c r="O183" s="281" t="n"/>
      <c r="Q183" s="284" t="n"/>
      <c r="R183" s="283" t="n"/>
    </row>
    <row r="184">
      <c r="N184" s="281" t="n"/>
      <c r="O184" s="281" t="n"/>
      <c r="Q184" s="284" t="n"/>
      <c r="R184" s="283" t="n"/>
    </row>
    <row r="185">
      <c r="N185" s="281" t="n"/>
      <c r="O185" s="281" t="n"/>
      <c r="Q185" s="284" t="n"/>
      <c r="R185" s="283" t="n"/>
    </row>
    <row r="186">
      <c r="N186" s="281" t="n"/>
      <c r="O186" s="281" t="n"/>
      <c r="Q186" s="284" t="n"/>
      <c r="R186" s="283" t="n"/>
    </row>
    <row r="187">
      <c r="N187" s="281" t="n"/>
      <c r="O187" s="281" t="n"/>
      <c r="Q187" s="284" t="n"/>
      <c r="R187" s="283" t="n"/>
    </row>
    <row r="188">
      <c r="N188" s="281" t="n"/>
      <c r="O188" s="281" t="n"/>
      <c r="Q188" s="284" t="n"/>
      <c r="R188" s="283" t="n"/>
    </row>
    <row r="189">
      <c r="N189" s="281" t="n"/>
      <c r="O189" s="281" t="n"/>
      <c r="Q189" s="284" t="n"/>
      <c r="R189" s="283" t="n"/>
    </row>
    <row r="190">
      <c r="N190" s="281" t="n"/>
      <c r="O190" s="281" t="n"/>
      <c r="Q190" s="284" t="n"/>
      <c r="R190" s="283" t="n"/>
    </row>
    <row r="191">
      <c r="N191" s="281" t="n"/>
      <c r="O191" s="281" t="n"/>
      <c r="Q191" s="284" t="n"/>
      <c r="R191" s="283" t="n"/>
    </row>
    <row r="192">
      <c r="N192" s="281" t="n"/>
      <c r="O192" s="281" t="n"/>
      <c r="Q192" s="284" t="n"/>
      <c r="R192" s="283" t="n"/>
    </row>
    <row r="193">
      <c r="N193" s="281" t="n"/>
      <c r="O193" s="281" t="n"/>
      <c r="Q193" s="284" t="n"/>
      <c r="R193" s="283" t="n"/>
    </row>
    <row r="194">
      <c r="N194" s="281" t="n"/>
      <c r="O194" s="281" t="n"/>
      <c r="Q194" s="284" t="n"/>
      <c r="R194" s="283" t="n"/>
    </row>
    <row r="195">
      <c r="N195" s="281" t="n"/>
      <c r="O195" s="281" t="n"/>
      <c r="Q195" s="284" t="n"/>
      <c r="R195" s="283" t="n"/>
    </row>
    <row r="196">
      <c r="N196" s="281" t="n"/>
      <c r="O196" s="281" t="n"/>
      <c r="Q196" s="284" t="n"/>
      <c r="R196" s="283" t="n"/>
    </row>
    <row r="197">
      <c r="N197" s="281" t="n"/>
      <c r="O197" s="281" t="n"/>
      <c r="Q197" s="284" t="n"/>
      <c r="R197" s="283" t="n"/>
    </row>
    <row r="198">
      <c r="N198" s="281" t="n"/>
      <c r="O198" s="281" t="n"/>
      <c r="Q198" s="284" t="n"/>
      <c r="R198" s="283" t="n"/>
    </row>
    <row r="199">
      <c r="N199" s="281" t="n"/>
      <c r="O199" s="281" t="n"/>
      <c r="Q199" s="284" t="n"/>
      <c r="R199" s="283" t="n"/>
    </row>
    <row r="200">
      <c r="N200" s="281" t="n"/>
      <c r="O200" s="281" t="n"/>
      <c r="Q200" s="284" t="n"/>
      <c r="R200" s="283" t="n"/>
    </row>
    <row r="201">
      <c r="N201" s="281" t="n"/>
      <c r="O201" s="281" t="n"/>
      <c r="Q201" s="284" t="n"/>
      <c r="R201" s="283" t="n"/>
    </row>
    <row r="202">
      <c r="N202" s="281" t="n"/>
      <c r="O202" s="281" t="n"/>
      <c r="Q202" s="284" t="n"/>
      <c r="R202" s="283" t="n"/>
    </row>
    <row r="203">
      <c r="N203" s="281" t="n"/>
      <c r="O203" s="281" t="n"/>
      <c r="Q203" s="284" t="n"/>
      <c r="R203" s="283" t="n"/>
    </row>
    <row r="204">
      <c r="N204" s="281" t="n"/>
      <c r="O204" s="281" t="n"/>
      <c r="Q204" s="284" t="n"/>
      <c r="R204" s="283" t="n"/>
    </row>
    <row r="205">
      <c r="N205" s="281" t="n"/>
      <c r="O205" s="281" t="n"/>
      <c r="Q205" s="284" t="n"/>
      <c r="R205" s="283" t="n"/>
    </row>
    <row r="206">
      <c r="N206" s="281" t="n"/>
      <c r="O206" s="281" t="n"/>
      <c r="Q206" s="284" t="n"/>
      <c r="R206" s="283" t="n"/>
    </row>
    <row r="207">
      <c r="N207" s="281" t="n"/>
      <c r="O207" s="281" t="n"/>
      <c r="Q207" s="284" t="n"/>
      <c r="R207" s="283" t="n"/>
    </row>
    <row r="208">
      <c r="N208" s="281" t="n"/>
      <c r="O208" s="281" t="n"/>
      <c r="Q208" s="284" t="n"/>
      <c r="R208" s="283" t="n"/>
    </row>
    <row r="209">
      <c r="N209" s="281" t="n"/>
      <c r="O209" s="281" t="n"/>
      <c r="Q209" s="284" t="n"/>
      <c r="R209" s="283" t="n"/>
    </row>
    <row r="210">
      <c r="N210" s="281" t="n"/>
      <c r="O210" s="281" t="n"/>
      <c r="Q210" s="284" t="n"/>
      <c r="R210" s="283" t="n"/>
    </row>
    <row r="211">
      <c r="N211" s="281" t="n"/>
      <c r="O211" s="281" t="n"/>
      <c r="Q211" s="284" t="n"/>
      <c r="R211" s="283" t="n"/>
    </row>
    <row r="212">
      <c r="N212" s="281" t="n"/>
      <c r="O212" s="281" t="n"/>
      <c r="Q212" s="284" t="n"/>
      <c r="R212" s="283" t="n"/>
    </row>
    <row r="213">
      <c r="N213" s="281" t="n"/>
      <c r="O213" s="281" t="n"/>
      <c r="Q213" s="284" t="n"/>
      <c r="R213" s="283" t="n"/>
    </row>
    <row r="214">
      <c r="N214" s="281" t="n"/>
      <c r="O214" s="281" t="n"/>
      <c r="Q214" s="284" t="n"/>
      <c r="R214" s="283" t="n"/>
    </row>
    <row r="215">
      <c r="N215" s="281" t="n"/>
      <c r="O215" s="281" t="n"/>
      <c r="Q215" s="284" t="n"/>
      <c r="R215" s="283" t="n"/>
    </row>
    <row r="216">
      <c r="N216" s="281" t="n"/>
      <c r="O216" s="281" t="n"/>
      <c r="Q216" s="284" t="n"/>
      <c r="R216" s="283" t="n"/>
    </row>
    <row r="217">
      <c r="N217" s="281" t="n"/>
      <c r="O217" s="281" t="n"/>
      <c r="Q217" s="284" t="n"/>
      <c r="R217" s="283" t="n"/>
    </row>
    <row r="218">
      <c r="N218" s="281" t="n"/>
      <c r="O218" s="281" t="n"/>
      <c r="Q218" s="284" t="n"/>
      <c r="R218" s="283" t="n"/>
    </row>
    <row r="219">
      <c r="N219" s="281" t="n"/>
      <c r="O219" s="281" t="n"/>
      <c r="Q219" s="284" t="n"/>
      <c r="R219" s="283" t="n"/>
    </row>
    <row r="220">
      <c r="N220" s="281" t="n"/>
      <c r="O220" s="281" t="n"/>
      <c r="Q220" s="284" t="n"/>
      <c r="R220" s="283" t="n"/>
    </row>
    <row r="221">
      <c r="N221" s="281" t="n"/>
      <c r="O221" s="281" t="n"/>
      <c r="Q221" s="284" t="n"/>
      <c r="R221" s="283" t="n"/>
    </row>
    <row r="222">
      <c r="N222" s="281" t="n"/>
      <c r="O222" s="281" t="n"/>
      <c r="Q222" s="284" t="n"/>
      <c r="R222" s="283" t="n"/>
    </row>
    <row r="223">
      <c r="N223" s="281" t="n"/>
      <c r="O223" s="281" t="n"/>
      <c r="Q223" s="284" t="n"/>
      <c r="R223" s="283" t="n"/>
    </row>
    <row r="224">
      <c r="N224" s="281" t="n"/>
      <c r="O224" s="281" t="n"/>
      <c r="Q224" s="284" t="n"/>
      <c r="R224" s="283" t="n"/>
    </row>
    <row r="225">
      <c r="N225" s="281" t="n"/>
      <c r="O225" s="281" t="n"/>
      <c r="Q225" s="284" t="n"/>
      <c r="R225" s="283" t="n"/>
    </row>
    <row r="226">
      <c r="N226" s="281" t="n"/>
      <c r="O226" s="281" t="n"/>
      <c r="Q226" s="284" t="n"/>
      <c r="R226" s="283" t="n"/>
    </row>
    <row r="227">
      <c r="N227" s="281" t="n"/>
      <c r="O227" s="281" t="n"/>
      <c r="Q227" s="284" t="n"/>
      <c r="R227" s="283" t="n"/>
    </row>
    <row r="228">
      <c r="N228" s="281" t="n"/>
      <c r="O228" s="281" t="n"/>
      <c r="Q228" s="284" t="n"/>
      <c r="R228" s="283" t="n"/>
    </row>
    <row r="229">
      <c r="N229" s="281" t="n"/>
      <c r="O229" s="281" t="n"/>
      <c r="Q229" s="284" t="n"/>
      <c r="R229" s="283" t="n"/>
    </row>
    <row r="230">
      <c r="N230" s="281" t="n"/>
      <c r="O230" s="281" t="n"/>
      <c r="Q230" s="284" t="n"/>
      <c r="R230" s="283" t="n"/>
    </row>
    <row r="231">
      <c r="N231" s="281" t="n"/>
      <c r="O231" s="281" t="n"/>
      <c r="Q231" s="284" t="n"/>
      <c r="R231" s="283" t="n"/>
    </row>
    <row r="232">
      <c r="N232" s="281" t="n"/>
      <c r="O232" s="281" t="n"/>
      <c r="Q232" s="284" t="n"/>
      <c r="R232" s="283" t="n"/>
    </row>
    <row r="233">
      <c r="N233" s="281" t="n"/>
      <c r="O233" s="281" t="n"/>
      <c r="Q233" s="284" t="n"/>
      <c r="R233" s="283" t="n"/>
    </row>
    <row r="234">
      <c r="N234" s="281" t="n"/>
      <c r="O234" s="281" t="n"/>
      <c r="Q234" s="284" t="n"/>
      <c r="R234" s="283" t="n"/>
    </row>
    <row r="235">
      <c r="N235" s="281" t="n"/>
      <c r="O235" s="281" t="n"/>
      <c r="Q235" s="284" t="n"/>
      <c r="R235" s="283" t="n"/>
    </row>
    <row r="236">
      <c r="N236" s="281" t="n"/>
      <c r="O236" s="281" t="n"/>
      <c r="Q236" s="284" t="n"/>
      <c r="R236" s="283" t="n"/>
    </row>
    <row r="237">
      <c r="N237" s="281" t="n"/>
      <c r="O237" s="281" t="n"/>
      <c r="Q237" s="284" t="n"/>
      <c r="R237" s="283" t="n"/>
    </row>
    <row r="238">
      <c r="N238" s="281" t="n"/>
      <c r="O238" s="281" t="n"/>
      <c r="Q238" s="284" t="n"/>
      <c r="R238" s="283" t="n"/>
    </row>
    <row r="239">
      <c r="N239" s="281" t="n"/>
      <c r="O239" s="281" t="n"/>
      <c r="Q239" s="284" t="n"/>
      <c r="R239" s="283" t="n"/>
    </row>
    <row r="240">
      <c r="N240" s="281" t="n"/>
      <c r="O240" s="281" t="n"/>
      <c r="Q240" s="284" t="n"/>
      <c r="R240" s="283" t="n"/>
    </row>
    <row r="241">
      <c r="N241" s="281" t="n"/>
      <c r="O241" s="281" t="n"/>
      <c r="Q241" s="284" t="n"/>
      <c r="R241" s="283" t="n"/>
    </row>
    <row r="242">
      <c r="N242" s="281" t="n"/>
      <c r="O242" s="281" t="n"/>
      <c r="Q242" s="284" t="n"/>
      <c r="R242" s="283" t="n"/>
    </row>
    <row r="243">
      <c r="N243" s="281" t="n"/>
      <c r="O243" s="281" t="n"/>
      <c r="Q243" s="284" t="n"/>
      <c r="R243" s="283" t="n"/>
    </row>
    <row r="244">
      <c r="N244" s="281" t="n"/>
      <c r="O244" s="281" t="n"/>
      <c r="Q244" s="284" t="n"/>
      <c r="R244" s="283" t="n"/>
    </row>
    <row r="245">
      <c r="N245" s="281" t="n"/>
      <c r="O245" s="281" t="n"/>
      <c r="Q245" s="284" t="n"/>
      <c r="R245" s="283" t="n"/>
    </row>
    <row r="246">
      <c r="N246" s="281" t="n"/>
      <c r="O246" s="281" t="n"/>
      <c r="Q246" s="284" t="n"/>
      <c r="R246" s="283" t="n"/>
    </row>
    <row r="247">
      <c r="N247" s="281" t="n"/>
      <c r="O247" s="281" t="n"/>
      <c r="Q247" s="284" t="n"/>
      <c r="R247" s="283" t="n"/>
    </row>
    <row r="248">
      <c r="N248" s="281" t="n"/>
      <c r="O248" s="281" t="n"/>
      <c r="Q248" s="284" t="n"/>
      <c r="R248" s="283" t="n"/>
    </row>
    <row r="249">
      <c r="N249" s="281" t="n"/>
      <c r="O249" s="281" t="n"/>
      <c r="Q249" s="284" t="n"/>
      <c r="R249" s="283" t="n"/>
    </row>
    <row r="250">
      <c r="N250" s="281" t="n"/>
      <c r="O250" s="281" t="n"/>
      <c r="Q250" s="284" t="n"/>
      <c r="R250" s="283" t="n"/>
    </row>
    <row r="251">
      <c r="N251" s="281" t="n"/>
      <c r="O251" s="281" t="n"/>
      <c r="Q251" s="284" t="n"/>
      <c r="R251" s="283" t="n"/>
    </row>
    <row r="252">
      <c r="N252" s="281" t="n"/>
      <c r="O252" s="281" t="n"/>
      <c r="Q252" s="284" t="n"/>
      <c r="R252" s="283" t="n"/>
    </row>
    <row r="253">
      <c r="N253" s="281" t="n"/>
      <c r="O253" s="281" t="n"/>
      <c r="Q253" s="284" t="n"/>
      <c r="R253" s="283" t="n"/>
    </row>
    <row r="254">
      <c r="N254" s="281" t="n"/>
      <c r="O254" s="281" t="n"/>
      <c r="Q254" s="284" t="n"/>
      <c r="R254" s="283" t="n"/>
    </row>
    <row r="255">
      <c r="N255" s="281" t="n"/>
      <c r="O255" s="281" t="n"/>
      <c r="Q255" s="284" t="n"/>
      <c r="R255" s="283" t="n"/>
    </row>
    <row r="256">
      <c r="N256" s="281" t="n"/>
      <c r="O256" s="281" t="n"/>
      <c r="Q256" s="284" t="n"/>
      <c r="R256" s="283" t="n"/>
    </row>
    <row r="257">
      <c r="N257" s="281" t="n"/>
      <c r="O257" s="281" t="n"/>
      <c r="Q257" s="284" t="n"/>
      <c r="R257" s="283" t="n"/>
    </row>
    <row r="258">
      <c r="N258" s="281" t="n"/>
      <c r="O258" s="281" t="n"/>
      <c r="Q258" s="284" t="n"/>
      <c r="R258" s="283" t="n"/>
    </row>
    <row r="259">
      <c r="N259" s="281" t="n"/>
      <c r="O259" s="281" t="n"/>
      <c r="Q259" s="284" t="n"/>
      <c r="R259" s="283" t="n"/>
    </row>
    <row r="260">
      <c r="N260" s="281" t="n"/>
      <c r="O260" s="281" t="n"/>
      <c r="Q260" s="284" t="n"/>
      <c r="R260" s="283" t="n"/>
    </row>
    <row r="261">
      <c r="N261" s="281" t="n"/>
      <c r="O261" s="281" t="n"/>
      <c r="Q261" s="284" t="n"/>
      <c r="R261" s="283" t="n"/>
    </row>
    <row r="262">
      <c r="N262" s="281" t="n"/>
      <c r="O262" s="281" t="n"/>
      <c r="Q262" s="284" t="n"/>
      <c r="R262" s="283" t="n"/>
    </row>
    <row r="263">
      <c r="N263" s="281" t="n"/>
      <c r="O263" s="281" t="n"/>
      <c r="Q263" s="284" t="n"/>
      <c r="R263" s="283" t="n"/>
    </row>
    <row r="264">
      <c r="N264" s="281" t="n"/>
      <c r="O264" s="281" t="n"/>
      <c r="Q264" s="284" t="n"/>
      <c r="R264" s="283" t="n"/>
    </row>
    <row r="265">
      <c r="N265" s="281" t="n"/>
      <c r="O265" s="281" t="n"/>
      <c r="Q265" s="284" t="n"/>
      <c r="R265" s="283" t="n"/>
    </row>
    <row r="266">
      <c r="N266" s="281" t="n"/>
      <c r="O266" s="281" t="n"/>
      <c r="Q266" s="284" t="n"/>
      <c r="R266" s="283" t="n"/>
    </row>
    <row r="267">
      <c r="N267" s="281" t="n"/>
      <c r="O267" s="281" t="n"/>
      <c r="Q267" s="284" t="n"/>
      <c r="R267" s="283" t="n"/>
    </row>
    <row r="268">
      <c r="N268" s="281" t="n"/>
      <c r="O268" s="281" t="n"/>
      <c r="Q268" s="284" t="n"/>
      <c r="R268" s="283" t="n"/>
    </row>
    <row r="269">
      <c r="N269" s="281" t="n"/>
      <c r="O269" s="281" t="n"/>
      <c r="Q269" s="284" t="n"/>
      <c r="R269" s="283" t="n"/>
    </row>
    <row r="270">
      <c r="N270" s="281" t="n"/>
      <c r="O270" s="281" t="n"/>
      <c r="Q270" s="284" t="n"/>
      <c r="R270" s="283" t="n"/>
    </row>
    <row r="271">
      <c r="N271" s="281" t="n"/>
      <c r="O271" s="281" t="n"/>
      <c r="Q271" s="284" t="n"/>
      <c r="R271" s="283" t="n"/>
    </row>
    <row r="272">
      <c r="N272" s="281" t="n"/>
      <c r="O272" s="281" t="n"/>
      <c r="Q272" s="284" t="n"/>
      <c r="R272" s="283" t="n"/>
    </row>
    <row r="273">
      <c r="N273" s="281" t="n"/>
      <c r="O273" s="281" t="n"/>
      <c r="Q273" s="284" t="n"/>
      <c r="R273" s="283" t="n"/>
    </row>
    <row r="274">
      <c r="N274" s="281" t="n"/>
      <c r="O274" s="281" t="n"/>
      <c r="Q274" s="284" t="n"/>
      <c r="R274" s="283" t="n"/>
    </row>
    <row r="275">
      <c r="N275" s="281" t="n"/>
      <c r="O275" s="281" t="n"/>
      <c r="Q275" s="284" t="n"/>
      <c r="R275" s="283" t="n"/>
    </row>
    <row r="276">
      <c r="N276" s="281" t="n"/>
      <c r="O276" s="281" t="n"/>
      <c r="Q276" s="284" t="n"/>
      <c r="R276" s="283" t="n"/>
    </row>
    <row r="277">
      <c r="N277" s="281" t="n"/>
      <c r="O277" s="281" t="n"/>
      <c r="Q277" s="284" t="n"/>
      <c r="R277" s="283" t="n"/>
    </row>
    <row r="278">
      <c r="N278" s="281" t="n"/>
      <c r="O278" s="281" t="n"/>
      <c r="Q278" s="284" t="n"/>
      <c r="R278" s="283" t="n"/>
    </row>
    <row r="279">
      <c r="N279" s="281" t="n"/>
      <c r="O279" s="281" t="n"/>
      <c r="Q279" s="284" t="n"/>
      <c r="R279" s="283" t="n"/>
    </row>
    <row r="280">
      <c r="N280" s="281" t="n"/>
      <c r="O280" s="281" t="n"/>
      <c r="Q280" s="284" t="n"/>
      <c r="R280" s="283" t="n"/>
    </row>
    <row r="281">
      <c r="N281" s="281" t="n"/>
      <c r="O281" s="281" t="n"/>
      <c r="Q281" s="284" t="n"/>
      <c r="R281" s="283" t="n"/>
    </row>
    <row r="282">
      <c r="N282" s="281" t="n"/>
      <c r="O282" s="281" t="n"/>
      <c r="Q282" s="284" t="n"/>
      <c r="R282" s="283" t="n"/>
    </row>
    <row r="283">
      <c r="N283" s="281" t="n"/>
      <c r="O283" s="281" t="n"/>
      <c r="Q283" s="284" t="n"/>
      <c r="R283" s="283" t="n"/>
    </row>
    <row r="284">
      <c r="N284" s="281" t="n"/>
      <c r="O284" s="281" t="n"/>
      <c r="Q284" s="284" t="n"/>
      <c r="R284" s="283" t="n"/>
    </row>
    <row r="285">
      <c r="N285" s="281" t="n"/>
      <c r="O285" s="281" t="n"/>
      <c r="Q285" s="284" t="n"/>
      <c r="R285" s="283" t="n"/>
    </row>
    <row r="286">
      <c r="N286" s="281" t="n"/>
      <c r="O286" s="281" t="n"/>
      <c r="Q286" s="284" t="n"/>
      <c r="R286" s="283" t="n"/>
    </row>
    <row r="287">
      <c r="N287" s="281" t="n"/>
      <c r="O287" s="281" t="n"/>
      <c r="Q287" s="284" t="n"/>
      <c r="R287" s="283" t="n"/>
    </row>
    <row r="288">
      <c r="N288" s="281" t="n"/>
      <c r="O288" s="281" t="n"/>
      <c r="Q288" s="284" t="n"/>
      <c r="R288" s="283" t="n"/>
    </row>
    <row r="289">
      <c r="N289" s="281" t="n"/>
      <c r="O289" s="281" t="n"/>
      <c r="Q289" s="284" t="n"/>
      <c r="R289" s="283" t="n"/>
    </row>
    <row r="290">
      <c r="N290" s="281" t="n"/>
      <c r="O290" s="281" t="n"/>
      <c r="Q290" s="284" t="n"/>
      <c r="R290" s="283" t="n"/>
    </row>
    <row r="291">
      <c r="N291" s="281" t="n"/>
      <c r="O291" s="281" t="n"/>
      <c r="Q291" s="284" t="n"/>
      <c r="R291" s="283" t="n"/>
    </row>
    <row r="292">
      <c r="N292" s="281" t="n"/>
      <c r="O292" s="281" t="n"/>
      <c r="Q292" s="284" t="n"/>
      <c r="R292" s="283" t="n"/>
    </row>
    <row r="293">
      <c r="N293" s="281" t="n"/>
      <c r="O293" s="281" t="n"/>
      <c r="Q293" s="284" t="n"/>
      <c r="R293" s="283" t="n"/>
    </row>
    <row r="294">
      <c r="N294" s="281" t="n"/>
      <c r="O294" s="281" t="n"/>
      <c r="Q294" s="284" t="n"/>
      <c r="R294" s="283" t="n"/>
    </row>
    <row r="295">
      <c r="N295" s="281" t="n"/>
      <c r="O295" s="281" t="n"/>
      <c r="Q295" s="284" t="n"/>
      <c r="R295" s="283" t="n"/>
    </row>
    <row r="296">
      <c r="N296" s="281" t="n"/>
      <c r="O296" s="281" t="n"/>
      <c r="Q296" s="284" t="n"/>
      <c r="R296" s="283" t="n"/>
    </row>
    <row r="297">
      <c r="N297" s="281" t="n"/>
      <c r="O297" s="281" t="n"/>
      <c r="Q297" s="284" t="n"/>
      <c r="R297" s="283" t="n"/>
    </row>
    <row r="298">
      <c r="N298" s="281" t="n"/>
      <c r="O298" s="281" t="n"/>
      <c r="Q298" s="284" t="n"/>
      <c r="R298" s="283" t="n"/>
    </row>
    <row r="299">
      <c r="N299" s="281" t="n"/>
      <c r="O299" s="281" t="n"/>
      <c r="Q299" s="284" t="n"/>
      <c r="R299" s="283" t="n"/>
    </row>
    <row r="300">
      <c r="N300" s="281" t="n"/>
      <c r="O300" s="281" t="n"/>
      <c r="Q300" s="284" t="n"/>
      <c r="R300" s="283" t="n"/>
    </row>
    <row r="301">
      <c r="N301" s="281" t="n"/>
      <c r="O301" s="281" t="n"/>
      <c r="Q301" s="284" t="n"/>
      <c r="R301" s="283" t="n"/>
    </row>
    <row r="302">
      <c r="N302" s="281" t="n"/>
      <c r="O302" s="281" t="n"/>
      <c r="Q302" s="284" t="n"/>
      <c r="R302" s="283" t="n"/>
    </row>
    <row r="303">
      <c r="N303" s="281" t="n"/>
      <c r="O303" s="281" t="n"/>
      <c r="Q303" s="284" t="n"/>
      <c r="R303" s="283" t="n"/>
    </row>
    <row r="304">
      <c r="N304" s="281" t="n"/>
      <c r="O304" s="281" t="n"/>
      <c r="Q304" s="284" t="n"/>
      <c r="R304" s="283" t="n"/>
    </row>
    <row r="305">
      <c r="N305" s="281" t="n"/>
      <c r="O305" s="281" t="n"/>
      <c r="Q305" s="284" t="n"/>
      <c r="R305" s="283" t="n"/>
    </row>
    <row r="306">
      <c r="N306" s="281" t="n"/>
      <c r="O306" s="281" t="n"/>
      <c r="Q306" s="284" t="n"/>
      <c r="R306" s="283" t="n"/>
    </row>
    <row r="307">
      <c r="N307" s="281" t="n"/>
      <c r="O307" s="281" t="n"/>
      <c r="Q307" s="284" t="n"/>
      <c r="R307" s="283" t="n"/>
    </row>
    <row r="308">
      <c r="N308" s="281" t="n"/>
      <c r="O308" s="281" t="n"/>
      <c r="Q308" s="284" t="n"/>
      <c r="R308" s="283" t="n"/>
    </row>
    <row r="309">
      <c r="N309" s="281" t="n"/>
      <c r="O309" s="281" t="n"/>
      <c r="Q309" s="284" t="n"/>
      <c r="R309" s="283" t="n"/>
    </row>
    <row r="310">
      <c r="N310" s="281" t="n"/>
      <c r="O310" s="281" t="n"/>
      <c r="Q310" s="284" t="n"/>
      <c r="R310" s="283" t="n"/>
    </row>
    <row r="311">
      <c r="N311" s="281" t="n"/>
      <c r="O311" s="281" t="n"/>
      <c r="Q311" s="284" t="n"/>
      <c r="R311" s="283" t="n"/>
    </row>
    <row r="312">
      <c r="N312" s="281" t="n"/>
      <c r="O312" s="281" t="n"/>
      <c r="Q312" s="284" t="n"/>
      <c r="R312" s="283" t="n"/>
    </row>
    <row r="313">
      <c r="N313" s="281" t="n"/>
      <c r="O313" s="281" t="n"/>
      <c r="Q313" s="284" t="n"/>
      <c r="R313" s="283" t="n"/>
    </row>
    <row r="314">
      <c r="N314" s="281" t="n"/>
      <c r="O314" s="281" t="n"/>
      <c r="Q314" s="284" t="n"/>
      <c r="R314" s="283" t="n"/>
    </row>
    <row r="315">
      <c r="N315" s="281" t="n"/>
      <c r="O315" s="281" t="n"/>
      <c r="Q315" s="284" t="n"/>
      <c r="R315" s="283" t="n"/>
    </row>
    <row r="316">
      <c r="N316" s="281" t="n"/>
      <c r="O316" s="281" t="n"/>
      <c r="Q316" s="284" t="n"/>
      <c r="R316" s="283" t="n"/>
    </row>
    <row r="317">
      <c r="N317" s="281" t="n"/>
      <c r="O317" s="281" t="n"/>
      <c r="Q317" s="284" t="n"/>
      <c r="R317" s="283" t="n"/>
    </row>
    <row r="318">
      <c r="N318" s="281" t="n"/>
      <c r="O318" s="281" t="n"/>
      <c r="Q318" s="284" t="n"/>
      <c r="R318" s="283" t="n"/>
    </row>
    <row r="319">
      <c r="N319" s="281" t="n"/>
      <c r="O319" s="281" t="n"/>
      <c r="Q319" s="284" t="n"/>
      <c r="R319" s="283" t="n"/>
    </row>
    <row r="320">
      <c r="N320" s="281" t="n"/>
      <c r="O320" s="281" t="n"/>
      <c r="Q320" s="284" t="n"/>
      <c r="R320" s="283" t="n"/>
    </row>
    <row r="321">
      <c r="N321" s="281" t="n"/>
      <c r="O321" s="281" t="n"/>
      <c r="Q321" s="284" t="n"/>
      <c r="R321" s="283" t="n"/>
    </row>
    <row r="322">
      <c r="N322" s="281" t="n"/>
      <c r="O322" s="281" t="n"/>
      <c r="Q322" s="284" t="n"/>
      <c r="R322" s="283" t="n"/>
    </row>
    <row r="323">
      <c r="N323" s="281" t="n"/>
      <c r="O323" s="281" t="n"/>
      <c r="Q323" s="284" t="n"/>
      <c r="R323" s="283" t="n"/>
    </row>
    <row r="324">
      <c r="N324" s="281" t="n"/>
      <c r="O324" s="281" t="n"/>
      <c r="Q324" s="284" t="n"/>
      <c r="R324" s="283" t="n"/>
    </row>
    <row r="325">
      <c r="N325" s="281" t="n"/>
      <c r="O325" s="281" t="n"/>
      <c r="Q325" s="284" t="n"/>
      <c r="R325" s="283" t="n"/>
    </row>
    <row r="326">
      <c r="N326" s="281" t="n"/>
      <c r="O326" s="281" t="n"/>
      <c r="Q326" s="284" t="n"/>
      <c r="R326" s="283" t="n"/>
    </row>
    <row r="327">
      <c r="N327" s="281" t="n"/>
      <c r="O327" s="281" t="n"/>
      <c r="Q327" s="284" t="n"/>
      <c r="R327" s="283" t="n"/>
    </row>
    <row r="328">
      <c r="N328" s="281" t="n"/>
      <c r="O328" s="281" t="n"/>
      <c r="Q328" s="284" t="n"/>
      <c r="R328" s="283" t="n"/>
    </row>
    <row r="329">
      <c r="N329" s="281" t="n"/>
      <c r="O329" s="281" t="n"/>
      <c r="Q329" s="284" t="n"/>
      <c r="R329" s="283" t="n"/>
    </row>
    <row r="330">
      <c r="N330" s="281" t="n"/>
      <c r="O330" s="281" t="n"/>
      <c r="Q330" s="284" t="n"/>
      <c r="R330" s="283" t="n"/>
    </row>
    <row r="331">
      <c r="N331" s="281" t="n"/>
      <c r="O331" s="281" t="n"/>
      <c r="Q331" s="284" t="n"/>
      <c r="R331" s="283" t="n"/>
    </row>
    <row r="332">
      <c r="N332" s="281" t="n"/>
      <c r="O332" s="281" t="n"/>
      <c r="Q332" s="284" t="n"/>
      <c r="R332" s="283" t="n"/>
    </row>
    <row r="333">
      <c r="N333" s="281" t="n"/>
      <c r="O333" s="281" t="n"/>
      <c r="Q333" s="284" t="n"/>
      <c r="R333" s="283" t="n"/>
    </row>
    <row r="334">
      <c r="N334" s="281" t="n"/>
      <c r="O334" s="281" t="n"/>
      <c r="Q334" s="284" t="n"/>
      <c r="R334" s="283" t="n"/>
    </row>
    <row r="335">
      <c r="N335" s="281" t="n"/>
      <c r="O335" s="281" t="n"/>
      <c r="Q335" s="284" t="n"/>
      <c r="R335" s="283" t="n"/>
    </row>
    <row r="336">
      <c r="N336" s="281" t="n"/>
      <c r="O336" s="281" t="n"/>
      <c r="Q336" s="284" t="n"/>
      <c r="R336" s="283" t="n"/>
    </row>
    <row r="337">
      <c r="N337" s="281" t="n"/>
      <c r="O337" s="281" t="n"/>
      <c r="Q337" s="284" t="n"/>
      <c r="R337" s="283" t="n"/>
    </row>
    <row r="338">
      <c r="N338" s="281" t="n"/>
      <c r="O338" s="281" t="n"/>
      <c r="Q338" s="284" t="n"/>
      <c r="R338" s="283" t="n"/>
    </row>
    <row r="339">
      <c r="N339" s="281" t="n"/>
      <c r="O339" s="281" t="n"/>
      <c r="Q339" s="284" t="n"/>
      <c r="R339" s="283" t="n"/>
    </row>
    <row r="340">
      <c r="N340" s="281" t="n"/>
      <c r="O340" s="281" t="n"/>
      <c r="Q340" s="284" t="n"/>
      <c r="R340" s="283" t="n"/>
    </row>
    <row r="341">
      <c r="N341" s="281" t="n"/>
      <c r="O341" s="281" t="n"/>
      <c r="Q341" s="284" t="n"/>
      <c r="R341" s="283" t="n"/>
    </row>
    <row r="342">
      <c r="N342" s="281" t="n"/>
      <c r="O342" s="281" t="n"/>
      <c r="Q342" s="284" t="n"/>
      <c r="R342" s="283" t="n"/>
    </row>
    <row r="343">
      <c r="N343" s="281" t="n"/>
      <c r="O343" s="281" t="n"/>
      <c r="Q343" s="284" t="n"/>
      <c r="R343" s="283" t="n"/>
    </row>
    <row r="344">
      <c r="N344" s="281" t="n"/>
      <c r="O344" s="281" t="n"/>
      <c r="Q344" s="284" t="n"/>
      <c r="R344" s="283" t="n"/>
    </row>
    <row r="345">
      <c r="N345" s="281" t="n"/>
      <c r="O345" s="281" t="n"/>
      <c r="Q345" s="284" t="n"/>
      <c r="R345" s="283" t="n"/>
    </row>
    <row r="346">
      <c r="N346" s="281" t="n"/>
      <c r="O346" s="281" t="n"/>
      <c r="Q346" s="284" t="n"/>
      <c r="R346" s="283" t="n"/>
    </row>
    <row r="347">
      <c r="N347" s="281" t="n"/>
      <c r="O347" s="281" t="n"/>
      <c r="Q347" s="284" t="n"/>
      <c r="R347" s="283" t="n"/>
    </row>
    <row r="348">
      <c r="N348" s="281" t="n"/>
      <c r="O348" s="281" t="n"/>
      <c r="Q348" s="284" t="n"/>
      <c r="R348" s="283" t="n"/>
    </row>
    <row r="349">
      <c r="N349" s="281" t="n"/>
      <c r="O349" s="281" t="n"/>
      <c r="Q349" s="284" t="n"/>
      <c r="R349" s="283" t="n"/>
    </row>
    <row r="350">
      <c r="N350" s="281" t="n"/>
      <c r="O350" s="281" t="n"/>
      <c r="Q350" s="284" t="n"/>
      <c r="R350" s="283" t="n"/>
    </row>
    <row r="351">
      <c r="N351" s="281" t="n"/>
      <c r="O351" s="281" t="n"/>
      <c r="Q351" s="284" t="n"/>
      <c r="R351" s="283" t="n"/>
    </row>
    <row r="352">
      <c r="N352" s="281" t="n"/>
      <c r="O352" s="281" t="n"/>
      <c r="Q352" s="284" t="n"/>
      <c r="R352" s="283" t="n"/>
    </row>
    <row r="353">
      <c r="N353" s="281" t="n"/>
      <c r="O353" s="281" t="n"/>
      <c r="Q353" s="284" t="n"/>
      <c r="R353" s="283" t="n"/>
    </row>
    <row r="354">
      <c r="N354" s="281" t="n"/>
      <c r="O354" s="281" t="n"/>
      <c r="Q354" s="284" t="n"/>
      <c r="R354" s="283" t="n"/>
    </row>
    <row r="355">
      <c r="N355" s="281" t="n"/>
      <c r="O355" s="281" t="n"/>
      <c r="Q355" s="284" t="n"/>
      <c r="R355" s="283" t="n"/>
    </row>
    <row r="356">
      <c r="N356" s="281" t="n"/>
      <c r="O356" s="281" t="n"/>
      <c r="Q356" s="284" t="n"/>
      <c r="R356" s="283" t="n"/>
    </row>
    <row r="357">
      <c r="N357" s="281" t="n"/>
      <c r="O357" s="281" t="n"/>
      <c r="Q357" s="284" t="n"/>
      <c r="R357" s="283" t="n"/>
    </row>
    <row r="358">
      <c r="N358" s="281" t="n"/>
      <c r="O358" s="281" t="n"/>
      <c r="Q358" s="284" t="n"/>
      <c r="R358" s="283" t="n"/>
    </row>
    <row r="359">
      <c r="N359" s="281" t="n"/>
      <c r="O359" s="281" t="n"/>
      <c r="Q359" s="284" t="n"/>
      <c r="R359" s="283" t="n"/>
    </row>
    <row r="360">
      <c r="N360" s="281" t="n"/>
      <c r="O360" s="281" t="n"/>
      <c r="Q360" s="284" t="n"/>
      <c r="R360" s="283" t="n"/>
    </row>
    <row r="361">
      <c r="N361" s="281" t="n"/>
      <c r="O361" s="281" t="n"/>
      <c r="Q361" s="284" t="n"/>
      <c r="R361" s="283" t="n"/>
    </row>
    <row r="362">
      <c r="N362" s="281" t="n"/>
      <c r="O362" s="281" t="n"/>
      <c r="Q362" s="284" t="n"/>
      <c r="R362" s="283" t="n"/>
    </row>
    <row r="363">
      <c r="N363" s="281" t="n"/>
      <c r="O363" s="281" t="n"/>
      <c r="Q363" s="284" t="n"/>
      <c r="R363" s="283" t="n"/>
    </row>
    <row r="364">
      <c r="N364" s="281" t="n"/>
      <c r="O364" s="281" t="n"/>
      <c r="Q364" s="284" t="n"/>
      <c r="R364" s="283" t="n"/>
    </row>
    <row r="365">
      <c r="N365" s="281" t="n"/>
      <c r="O365" s="281" t="n"/>
      <c r="Q365" s="284" t="n"/>
      <c r="R365" s="283" t="n"/>
    </row>
    <row r="366">
      <c r="N366" s="281" t="n"/>
      <c r="O366" s="281" t="n"/>
      <c r="Q366" s="284" t="n"/>
      <c r="R366" s="283" t="n"/>
    </row>
    <row r="367">
      <c r="N367" s="281" t="n"/>
      <c r="O367" s="281" t="n"/>
      <c r="Q367" s="284" t="n"/>
      <c r="R367" s="283" t="n"/>
    </row>
    <row r="368">
      <c r="N368" s="281" t="n"/>
      <c r="O368" s="281" t="n"/>
      <c r="Q368" s="284" t="n"/>
      <c r="R368" s="283" t="n"/>
    </row>
    <row r="369">
      <c r="N369" s="281" t="n"/>
      <c r="O369" s="281" t="n"/>
      <c r="Q369" s="284" t="n"/>
      <c r="R369" s="283" t="n"/>
    </row>
    <row r="370">
      <c r="N370" s="281" t="n"/>
      <c r="O370" s="281" t="n"/>
      <c r="Q370" s="284" t="n"/>
      <c r="R370" s="283" t="n"/>
    </row>
    <row r="371">
      <c r="N371" s="281" t="n"/>
      <c r="O371" s="281" t="n"/>
      <c r="Q371" s="284" t="n"/>
      <c r="R371" s="283" t="n"/>
    </row>
    <row r="372">
      <c r="N372" s="281" t="n"/>
      <c r="O372" s="281" t="n"/>
      <c r="Q372" s="284" t="n"/>
      <c r="R372" s="283" t="n"/>
    </row>
    <row r="373">
      <c r="N373" s="281" t="n"/>
      <c r="O373" s="281" t="n"/>
      <c r="Q373" s="284" t="n"/>
      <c r="R373" s="283" t="n"/>
    </row>
    <row r="374">
      <c r="N374" s="281" t="n"/>
      <c r="O374" s="281" t="n"/>
      <c r="Q374" s="284" t="n"/>
      <c r="R374" s="283" t="n"/>
    </row>
    <row r="375">
      <c r="N375" s="281" t="n"/>
      <c r="O375" s="281" t="n"/>
      <c r="Q375" s="284" t="n"/>
      <c r="R375" s="283" t="n"/>
    </row>
    <row r="376">
      <c r="N376" s="281" t="n"/>
      <c r="O376" s="281" t="n"/>
      <c r="Q376" s="284" t="n"/>
      <c r="R376" s="283" t="n"/>
    </row>
    <row r="377">
      <c r="N377" s="281" t="n"/>
      <c r="O377" s="281" t="n"/>
      <c r="Q377" s="284" t="n"/>
      <c r="R377" s="283" t="n"/>
    </row>
    <row r="378">
      <c r="N378" s="281" t="n"/>
      <c r="O378" s="281" t="n"/>
      <c r="Q378" s="284" t="n"/>
      <c r="R378" s="283" t="n"/>
    </row>
    <row r="379">
      <c r="N379" s="281" t="n"/>
      <c r="O379" s="281" t="n"/>
      <c r="Q379" s="284" t="n"/>
      <c r="R379" s="283" t="n"/>
    </row>
    <row r="380">
      <c r="N380" s="281" t="n"/>
      <c r="O380" s="281" t="n"/>
      <c r="Q380" s="284" t="n"/>
      <c r="R380" s="283" t="n"/>
    </row>
    <row r="381">
      <c r="N381" s="281" t="n"/>
      <c r="O381" s="281" t="n"/>
      <c r="Q381" s="284" t="n"/>
      <c r="R381" s="283" t="n"/>
    </row>
    <row r="382">
      <c r="N382" s="281" t="n"/>
      <c r="O382" s="281" t="n"/>
      <c r="Q382" s="284" t="n"/>
      <c r="R382" s="283" t="n"/>
    </row>
    <row r="383">
      <c r="N383" s="281" t="n"/>
      <c r="O383" s="281" t="n"/>
      <c r="Q383" s="284" t="n"/>
      <c r="R383" s="283" t="n"/>
    </row>
    <row r="384">
      <c r="N384" s="281" t="n"/>
      <c r="O384" s="281" t="n"/>
      <c r="Q384" s="284" t="n"/>
      <c r="R384" s="283" t="n"/>
    </row>
    <row r="385">
      <c r="N385" s="281" t="n"/>
      <c r="O385" s="281" t="n"/>
      <c r="Q385" s="284" t="n"/>
      <c r="R385" s="283" t="n"/>
    </row>
    <row r="386">
      <c r="N386" s="281" t="n"/>
      <c r="O386" s="281" t="n"/>
      <c r="Q386" s="284" t="n"/>
      <c r="R386" s="283" t="n"/>
    </row>
    <row r="387">
      <c r="N387" s="281" t="n"/>
      <c r="O387" s="281" t="n"/>
      <c r="Q387" s="284" t="n"/>
      <c r="R387" s="283" t="n"/>
    </row>
    <row r="388">
      <c r="N388" s="281" t="n"/>
      <c r="O388" s="281" t="n"/>
      <c r="Q388" s="284" t="n"/>
      <c r="R388" s="283" t="n"/>
    </row>
    <row r="389">
      <c r="N389" s="281" t="n"/>
      <c r="O389" s="281" t="n"/>
      <c r="Q389" s="284" t="n"/>
      <c r="R389" s="283" t="n"/>
    </row>
    <row r="390">
      <c r="N390" s="281" t="n"/>
      <c r="O390" s="281" t="n"/>
      <c r="Q390" s="284" t="n"/>
      <c r="R390" s="283" t="n"/>
    </row>
    <row r="391">
      <c r="N391" s="281" t="n"/>
      <c r="O391" s="281" t="n"/>
      <c r="Q391" s="284" t="n"/>
      <c r="R391" s="283" t="n"/>
    </row>
    <row r="392">
      <c r="N392" s="281" t="n"/>
      <c r="O392" s="281" t="n"/>
      <c r="Q392" s="284" t="n"/>
      <c r="R392" s="283" t="n"/>
    </row>
    <row r="393">
      <c r="N393" s="281" t="n"/>
      <c r="O393" s="281" t="n"/>
      <c r="Q393" s="284" t="n"/>
      <c r="R393" s="283" t="n"/>
    </row>
    <row r="394">
      <c r="N394" s="281" t="n"/>
      <c r="O394" s="281" t="n"/>
      <c r="Q394" s="284" t="n"/>
      <c r="R394" s="283" t="n"/>
    </row>
    <row r="395">
      <c r="N395" s="281" t="n"/>
      <c r="O395" s="281" t="n"/>
      <c r="Q395" s="284" t="n"/>
      <c r="R395" s="283" t="n"/>
    </row>
    <row r="396">
      <c r="N396" s="281" t="n"/>
      <c r="O396" s="281" t="n"/>
      <c r="Q396" s="284" t="n"/>
      <c r="R396" s="283" t="n"/>
    </row>
    <row r="397">
      <c r="N397" s="281" t="n"/>
      <c r="O397" s="281" t="n"/>
      <c r="Q397" s="284" t="n"/>
      <c r="R397" s="283" t="n"/>
    </row>
    <row r="398">
      <c r="N398" s="281" t="n"/>
      <c r="O398" s="281" t="n"/>
      <c r="Q398" s="284" t="n"/>
      <c r="R398" s="283" t="n"/>
    </row>
    <row r="399">
      <c r="N399" s="281" t="n"/>
      <c r="O399" s="281" t="n"/>
      <c r="Q399" s="284" t="n"/>
      <c r="R399" s="283" t="n"/>
    </row>
    <row r="400">
      <c r="N400" s="281" t="n"/>
      <c r="O400" s="281" t="n"/>
      <c r="Q400" s="284" t="n"/>
      <c r="R400" s="283" t="n"/>
    </row>
    <row r="401">
      <c r="N401" s="281" t="n"/>
      <c r="O401" s="281" t="n"/>
      <c r="Q401" s="284" t="n"/>
      <c r="R401" s="283" t="n"/>
    </row>
    <row r="402">
      <c r="N402" s="281" t="n"/>
      <c r="O402" s="281" t="n"/>
      <c r="Q402" s="284" t="n"/>
      <c r="R402" s="283" t="n"/>
    </row>
    <row r="403">
      <c r="N403" s="281" t="n"/>
      <c r="O403" s="281" t="n"/>
      <c r="Q403" s="284" t="n"/>
      <c r="R403" s="283" t="n"/>
    </row>
    <row r="404">
      <c r="N404" s="281" t="n"/>
      <c r="O404" s="281" t="n"/>
      <c r="Q404" s="284" t="n"/>
      <c r="R404" s="283" t="n"/>
    </row>
    <row r="405">
      <c r="N405" s="281" t="n"/>
      <c r="O405" s="281" t="n"/>
      <c r="Q405" s="284" t="n"/>
      <c r="R405" s="283" t="n"/>
    </row>
    <row r="406">
      <c r="N406" s="281" t="n"/>
      <c r="O406" s="281" t="n"/>
      <c r="Q406" s="284" t="n"/>
      <c r="R406" s="283" t="n"/>
    </row>
    <row r="407">
      <c r="N407" s="281" t="n"/>
      <c r="O407" s="281" t="n"/>
      <c r="Q407" s="284" t="n"/>
      <c r="R407" s="283" t="n"/>
    </row>
    <row r="408">
      <c r="N408" s="281" t="n"/>
      <c r="O408" s="281" t="n"/>
      <c r="Q408" s="284" t="n"/>
      <c r="R408" s="283" t="n"/>
    </row>
    <row r="409">
      <c r="N409" s="281" t="n"/>
      <c r="O409" s="281" t="n"/>
      <c r="Q409" s="284" t="n"/>
      <c r="R409" s="283" t="n"/>
    </row>
    <row r="410">
      <c r="N410" s="281" t="n"/>
      <c r="O410" s="281" t="n"/>
      <c r="Q410" s="284" t="n"/>
      <c r="R410" s="283" t="n"/>
    </row>
    <row r="411">
      <c r="N411" s="281" t="n"/>
      <c r="O411" s="281" t="n"/>
      <c r="Q411" s="284" t="n"/>
      <c r="R411" s="283" t="n"/>
    </row>
    <row r="412">
      <c r="N412" s="281" t="n"/>
      <c r="O412" s="281" t="n"/>
      <c r="Q412" s="284" t="n"/>
      <c r="R412" s="283" t="n"/>
    </row>
    <row r="413">
      <c r="N413" s="281" t="n"/>
      <c r="O413" s="281" t="n"/>
      <c r="Q413" s="284" t="n"/>
      <c r="R413" s="283" t="n"/>
    </row>
    <row r="414">
      <c r="N414" s="281" t="n"/>
      <c r="O414" s="281" t="n"/>
      <c r="Q414" s="284" t="n"/>
      <c r="R414" s="283" t="n"/>
    </row>
    <row r="415">
      <c r="N415" s="281" t="n"/>
      <c r="O415" s="281" t="n"/>
      <c r="Q415" s="284" t="n"/>
      <c r="R415" s="283" t="n"/>
    </row>
    <row r="416">
      <c r="N416" s="281" t="n"/>
      <c r="O416" s="281" t="n"/>
      <c r="Q416" s="284" t="n"/>
      <c r="R416" s="283" t="n"/>
    </row>
    <row r="417">
      <c r="N417" s="281" t="n"/>
      <c r="O417" s="281" t="n"/>
      <c r="Q417" s="284" t="n"/>
      <c r="R417" s="283" t="n"/>
    </row>
    <row r="418">
      <c r="N418" s="281" t="n"/>
      <c r="O418" s="281" t="n"/>
      <c r="Q418" s="284" t="n"/>
      <c r="R418" s="283" t="n"/>
    </row>
    <row r="419">
      <c r="N419" s="281" t="n"/>
      <c r="O419" s="281" t="n"/>
      <c r="Q419" s="284" t="n"/>
      <c r="R419" s="283" t="n"/>
    </row>
    <row r="420">
      <c r="N420" s="281" t="n"/>
      <c r="O420" s="281" t="n"/>
      <c r="Q420" s="284" t="n"/>
      <c r="R420" s="283" t="n"/>
    </row>
    <row r="421">
      <c r="N421" s="281" t="n"/>
      <c r="O421" s="281" t="n"/>
      <c r="Q421" s="284" t="n"/>
      <c r="R421" s="283" t="n"/>
    </row>
    <row r="422">
      <c r="N422" s="281" t="n"/>
      <c r="O422" s="281" t="n"/>
      <c r="Q422" s="284" t="n"/>
      <c r="R422" s="283" t="n"/>
    </row>
    <row r="423">
      <c r="N423" s="281" t="n"/>
      <c r="O423" s="281" t="n"/>
      <c r="Q423" s="284" t="n"/>
      <c r="R423" s="283" t="n"/>
    </row>
    <row r="424">
      <c r="N424" s="281" t="n"/>
      <c r="O424" s="281" t="n"/>
      <c r="Q424" s="284" t="n"/>
      <c r="R424" s="283" t="n"/>
    </row>
    <row r="425">
      <c r="N425" s="281" t="n"/>
      <c r="O425" s="281" t="n"/>
      <c r="Q425" s="284" t="n"/>
      <c r="R425" s="283" t="n"/>
    </row>
    <row r="426">
      <c r="N426" s="281" t="n"/>
      <c r="O426" s="281" t="n"/>
      <c r="Q426" s="284" t="n"/>
      <c r="R426" s="283" t="n"/>
    </row>
    <row r="427">
      <c r="N427" s="281" t="n"/>
      <c r="O427" s="281" t="n"/>
      <c r="Q427" s="284" t="n"/>
      <c r="R427" s="283" t="n"/>
    </row>
    <row r="428">
      <c r="N428" s="281" t="n"/>
      <c r="O428" s="281" t="n"/>
      <c r="Q428" s="284" t="n"/>
      <c r="R428" s="283" t="n"/>
    </row>
    <row r="429">
      <c r="N429" s="281" t="n"/>
      <c r="O429" s="281" t="n"/>
      <c r="Q429" s="284" t="n"/>
      <c r="R429" s="283" t="n"/>
    </row>
    <row r="430">
      <c r="N430" s="281" t="n"/>
      <c r="O430" s="281" t="n"/>
      <c r="Q430" s="284" t="n"/>
      <c r="R430" s="283" t="n"/>
    </row>
    <row r="431">
      <c r="N431" s="281" t="n"/>
      <c r="O431" s="281" t="n"/>
      <c r="Q431" s="284" t="n"/>
      <c r="R431" s="283" t="n"/>
    </row>
    <row r="432">
      <c r="N432" s="281" t="n"/>
      <c r="O432" s="281" t="n"/>
      <c r="Q432" s="284" t="n"/>
      <c r="R432" s="283" t="n"/>
    </row>
    <row r="433">
      <c r="N433" s="281" t="n"/>
      <c r="O433" s="281" t="n"/>
      <c r="Q433" s="284" t="n"/>
      <c r="R433" s="283" t="n"/>
    </row>
    <row r="434">
      <c r="N434" s="281" t="n"/>
      <c r="O434" s="281" t="n"/>
      <c r="Q434" s="284" t="n"/>
      <c r="R434" s="283" t="n"/>
    </row>
    <row r="435">
      <c r="N435" s="281" t="n"/>
      <c r="O435" s="281" t="n"/>
      <c r="Q435" s="284" t="n"/>
      <c r="R435" s="283" t="n"/>
    </row>
    <row r="436">
      <c r="N436" s="281" t="n"/>
      <c r="O436" s="281" t="n"/>
      <c r="Q436" s="284" t="n"/>
      <c r="R436" s="283" t="n"/>
    </row>
    <row r="437">
      <c r="N437" s="281" t="n"/>
      <c r="O437" s="281" t="n"/>
      <c r="Q437" s="284" t="n"/>
      <c r="R437" s="283" t="n"/>
    </row>
    <row r="438">
      <c r="N438" s="281" t="n"/>
      <c r="O438" s="281" t="n"/>
      <c r="Q438" s="284" t="n"/>
      <c r="R438" s="283" t="n"/>
    </row>
    <row r="439">
      <c r="N439" s="281" t="n"/>
      <c r="O439" s="281" t="n"/>
      <c r="Q439" s="284" t="n"/>
      <c r="R439" s="283" t="n"/>
    </row>
    <row r="440">
      <c r="N440" s="281" t="n"/>
      <c r="O440" s="281" t="n"/>
      <c r="Q440" s="284" t="n"/>
      <c r="R440" s="283" t="n"/>
    </row>
    <row r="441">
      <c r="N441" s="281" t="n"/>
      <c r="O441" s="281" t="n"/>
      <c r="Q441" s="284" t="n"/>
      <c r="R441" s="283" t="n"/>
    </row>
    <row r="442">
      <c r="N442" s="281" t="n"/>
      <c r="O442" s="281" t="n"/>
      <c r="Q442" s="284" t="n"/>
      <c r="R442" s="283" t="n"/>
    </row>
    <row r="443">
      <c r="N443" s="281" t="n"/>
      <c r="O443" s="281" t="n"/>
      <c r="Q443" s="284" t="n"/>
      <c r="R443" s="283" t="n"/>
    </row>
    <row r="444">
      <c r="N444" s="281" t="n"/>
      <c r="O444" s="281" t="n"/>
      <c r="Q444" s="284" t="n"/>
      <c r="R444" s="283" t="n"/>
    </row>
    <row r="445">
      <c r="N445" s="281" t="n"/>
      <c r="O445" s="281" t="n"/>
      <c r="Q445" s="284" t="n"/>
      <c r="R445" s="283" t="n"/>
    </row>
    <row r="446">
      <c r="N446" s="281" t="n"/>
      <c r="O446" s="281" t="n"/>
      <c r="Q446" s="284" t="n"/>
      <c r="R446" s="283" t="n"/>
    </row>
    <row r="447">
      <c r="N447" s="281" t="n"/>
      <c r="O447" s="281" t="n"/>
      <c r="Q447" s="284" t="n"/>
      <c r="R447" s="283" t="n"/>
    </row>
    <row r="448">
      <c r="N448" s="281" t="n"/>
      <c r="O448" s="281" t="n"/>
      <c r="Q448" s="284" t="n"/>
      <c r="R448" s="283" t="n"/>
    </row>
    <row r="449">
      <c r="N449" s="281" t="n"/>
      <c r="O449" s="281" t="n"/>
      <c r="Q449" s="284" t="n"/>
      <c r="R449" s="283" t="n"/>
    </row>
    <row r="450">
      <c r="N450" s="281" t="n"/>
      <c r="O450" s="281" t="n"/>
      <c r="Q450" s="284" t="n"/>
      <c r="R450" s="283" t="n"/>
    </row>
    <row r="451">
      <c r="N451" s="281" t="n"/>
      <c r="O451" s="281" t="n"/>
      <c r="Q451" s="284" t="n"/>
      <c r="R451" s="283" t="n"/>
    </row>
    <row r="452">
      <c r="N452" s="281" t="n"/>
      <c r="O452" s="281" t="n"/>
      <c r="Q452" s="284" t="n"/>
      <c r="R452" s="283" t="n"/>
    </row>
    <row r="453">
      <c r="N453" s="281" t="n"/>
      <c r="O453" s="281" t="n"/>
      <c r="Q453" s="284" t="n"/>
      <c r="R453" s="283" t="n"/>
    </row>
    <row r="454">
      <c r="N454" s="281" t="n"/>
      <c r="O454" s="281" t="n"/>
      <c r="Q454" s="284" t="n"/>
      <c r="R454" s="283" t="n"/>
    </row>
    <row r="455">
      <c r="N455" s="281" t="n"/>
      <c r="O455" s="281" t="n"/>
      <c r="Q455" s="284" t="n"/>
      <c r="R455" s="283" t="n"/>
    </row>
    <row r="456">
      <c r="N456" s="281" t="n"/>
      <c r="O456" s="281" t="n"/>
      <c r="Q456" s="284" t="n"/>
      <c r="R456" s="283" t="n"/>
    </row>
    <row r="457">
      <c r="N457" s="281" t="n"/>
      <c r="O457" s="281" t="n"/>
      <c r="Q457" s="284" t="n"/>
      <c r="R457" s="283" t="n"/>
    </row>
    <row r="458">
      <c r="N458" s="281" t="n"/>
      <c r="O458" s="281" t="n"/>
      <c r="Q458" s="284" t="n"/>
      <c r="R458" s="283" t="n"/>
    </row>
    <row r="459">
      <c r="N459" s="281" t="n"/>
      <c r="O459" s="281" t="n"/>
      <c r="Q459" s="284" t="n"/>
      <c r="R459" s="283" t="n"/>
    </row>
    <row r="460">
      <c r="N460" s="281" t="n"/>
      <c r="O460" s="281" t="n"/>
      <c r="Q460" s="284" t="n"/>
      <c r="R460" s="283" t="n"/>
    </row>
    <row r="461">
      <c r="N461" s="281" t="n"/>
      <c r="O461" s="281" t="n"/>
      <c r="Q461" s="284" t="n"/>
      <c r="R461" s="283" t="n"/>
    </row>
    <row r="462">
      <c r="N462" s="281" t="n"/>
      <c r="O462" s="281" t="n"/>
      <c r="Q462" s="284" t="n"/>
      <c r="R462" s="283" t="n"/>
    </row>
    <row r="463">
      <c r="N463" s="281" t="n"/>
      <c r="O463" s="281" t="n"/>
      <c r="Q463" s="284" t="n"/>
      <c r="R463" s="283" t="n"/>
    </row>
    <row r="464">
      <c r="N464" s="281" t="n"/>
      <c r="O464" s="281" t="n"/>
      <c r="Q464" s="284" t="n"/>
      <c r="R464" s="283" t="n"/>
    </row>
    <row r="465">
      <c r="N465" s="281" t="n"/>
      <c r="O465" s="281" t="n"/>
      <c r="Q465" s="284" t="n"/>
      <c r="R465" s="283" t="n"/>
    </row>
    <row r="466">
      <c r="N466" s="281" t="n"/>
      <c r="O466" s="281" t="n"/>
      <c r="Q466" s="284" t="n"/>
      <c r="R466" s="283" t="n"/>
    </row>
    <row r="467">
      <c r="N467" s="281" t="n"/>
      <c r="O467" s="281" t="n"/>
      <c r="Q467" s="284" t="n"/>
      <c r="R467" s="283" t="n"/>
    </row>
    <row r="468">
      <c r="N468" s="281" t="n"/>
      <c r="O468" s="281" t="n"/>
      <c r="Q468" s="284" t="n"/>
      <c r="R468" s="283" t="n"/>
    </row>
    <row r="469">
      <c r="N469" s="281" t="n"/>
      <c r="O469" s="281" t="n"/>
      <c r="Q469" s="284" t="n"/>
      <c r="R469" s="283" t="n"/>
    </row>
    <row r="470">
      <c r="N470" s="281" t="n"/>
      <c r="O470" s="281" t="n"/>
      <c r="Q470" s="284" t="n"/>
      <c r="R470" s="283" t="n"/>
    </row>
    <row r="471">
      <c r="N471" s="281" t="n"/>
      <c r="O471" s="281" t="n"/>
      <c r="Q471" s="284" t="n"/>
      <c r="R471" s="283" t="n"/>
    </row>
    <row r="472">
      <c r="N472" s="281" t="n"/>
      <c r="O472" s="281" t="n"/>
      <c r="Q472" s="284" t="n"/>
      <c r="R472" s="283" t="n"/>
    </row>
    <row r="473">
      <c r="N473" s="281" t="n"/>
      <c r="O473" s="281" t="n"/>
      <c r="Q473" s="284" t="n"/>
      <c r="R473" s="283" t="n"/>
    </row>
    <row r="474">
      <c r="N474" s="281" t="n"/>
      <c r="O474" s="281" t="n"/>
      <c r="Q474" s="284" t="n"/>
      <c r="R474" s="283" t="n"/>
    </row>
    <row r="475">
      <c r="N475" s="281" t="n"/>
      <c r="O475" s="281" t="n"/>
      <c r="Q475" s="284" t="n"/>
      <c r="R475" s="283" t="n"/>
    </row>
    <row r="476">
      <c r="N476" s="281" t="n"/>
      <c r="O476" s="281" t="n"/>
      <c r="Q476" s="284" t="n"/>
      <c r="R476" s="283" t="n"/>
    </row>
    <row r="477">
      <c r="N477" s="281" t="n"/>
      <c r="O477" s="281" t="n"/>
      <c r="Q477" s="284" t="n"/>
      <c r="R477" s="283" t="n"/>
    </row>
    <row r="478">
      <c r="N478" s="281" t="n"/>
      <c r="O478" s="281" t="n"/>
      <c r="Q478" s="284" t="n"/>
      <c r="R478" s="283" t="n"/>
    </row>
    <row r="479">
      <c r="N479" s="281" t="n"/>
      <c r="O479" s="281" t="n"/>
      <c r="Q479" s="284" t="n"/>
      <c r="R479" s="283" t="n"/>
    </row>
    <row r="480">
      <c r="N480" s="281" t="n"/>
      <c r="O480" s="281" t="n"/>
      <c r="Q480" s="284" t="n"/>
      <c r="R480" s="283" t="n"/>
    </row>
    <row r="481">
      <c r="N481" s="281" t="n"/>
      <c r="O481" s="281" t="n"/>
      <c r="Q481" s="284" t="n"/>
      <c r="R481" s="283" t="n"/>
    </row>
    <row r="482">
      <c r="N482" s="281" t="n"/>
      <c r="O482" s="281" t="n"/>
      <c r="Q482" s="284" t="n"/>
      <c r="R482" s="283" t="n"/>
    </row>
    <row r="483">
      <c r="N483" s="281" t="n"/>
      <c r="O483" s="281" t="n"/>
      <c r="Q483" s="284" t="n"/>
      <c r="R483" s="283" t="n"/>
    </row>
    <row r="484">
      <c r="N484" s="281" t="n"/>
      <c r="O484" s="281" t="n"/>
      <c r="Q484" s="284" t="n"/>
      <c r="R484" s="283" t="n"/>
    </row>
    <row r="485">
      <c r="N485" s="281" t="n"/>
      <c r="O485" s="281" t="n"/>
      <c r="Q485" s="284" t="n"/>
      <c r="R485" s="283" t="n"/>
    </row>
    <row r="486">
      <c r="N486" s="281" t="n"/>
      <c r="O486" s="281" t="n"/>
      <c r="Q486" s="284" t="n"/>
      <c r="R486" s="283" t="n"/>
    </row>
    <row r="487">
      <c r="N487" s="281" t="n"/>
      <c r="O487" s="281" t="n"/>
      <c r="Q487" s="284" t="n"/>
      <c r="R487" s="283" t="n"/>
    </row>
    <row r="488">
      <c r="N488" s="281" t="n"/>
      <c r="O488" s="281" t="n"/>
      <c r="Q488" s="284" t="n"/>
      <c r="R488" s="283" t="n"/>
    </row>
    <row r="489">
      <c r="N489" s="281" t="n"/>
      <c r="O489" s="281" t="n"/>
      <c r="Q489" s="284" t="n"/>
      <c r="R489" s="283" t="n"/>
    </row>
    <row r="490">
      <c r="N490" s="281" t="n"/>
      <c r="O490" s="281" t="n"/>
      <c r="Q490" s="284" t="n"/>
      <c r="R490" s="283" t="n"/>
    </row>
    <row r="491">
      <c r="N491" s="281" t="n"/>
      <c r="O491" s="281" t="n"/>
      <c r="Q491" s="284" t="n"/>
      <c r="R491" s="283" t="n"/>
    </row>
    <row r="492">
      <c r="N492" s="281" t="n"/>
      <c r="O492" s="281" t="n"/>
      <c r="Q492" s="284" t="n"/>
      <c r="R492" s="283" t="n"/>
    </row>
    <row r="493">
      <c r="N493" s="281" t="n"/>
      <c r="O493" s="281" t="n"/>
      <c r="Q493" s="284" t="n"/>
      <c r="R493" s="283" t="n"/>
    </row>
    <row r="494">
      <c r="N494" s="281" t="n"/>
      <c r="O494" s="281" t="n"/>
      <c r="Q494" s="284" t="n"/>
      <c r="R494" s="283" t="n"/>
    </row>
    <row r="495">
      <c r="N495" s="281" t="n"/>
      <c r="O495" s="281" t="n"/>
      <c r="Q495" s="284" t="n"/>
      <c r="R495" s="283" t="n"/>
    </row>
    <row r="496">
      <c r="N496" s="281" t="n"/>
      <c r="O496" s="281" t="n"/>
      <c r="Q496" s="284" t="n"/>
      <c r="R496" s="283" t="n"/>
    </row>
    <row r="497">
      <c r="N497" s="281" t="n"/>
      <c r="O497" s="281" t="n"/>
      <c r="Q497" s="284" t="n"/>
      <c r="R497" s="283" t="n"/>
    </row>
    <row r="498">
      <c r="N498" s="281" t="n"/>
      <c r="O498" s="281" t="n"/>
      <c r="Q498" s="284" t="n"/>
      <c r="R498" s="283" t="n"/>
    </row>
    <row r="499">
      <c r="N499" s="281" t="n"/>
      <c r="O499" s="281" t="n"/>
      <c r="Q499" s="284" t="n"/>
      <c r="R499" s="283" t="n"/>
    </row>
    <row r="500">
      <c r="N500" s="281" t="n"/>
      <c r="O500" s="281" t="n"/>
      <c r="Q500" s="284" t="n"/>
      <c r="R500" s="283" t="n"/>
    </row>
    <row r="501">
      <c r="N501" s="281" t="n"/>
      <c r="O501" s="281" t="n"/>
      <c r="Q501" s="284" t="n"/>
      <c r="R501" s="283" t="n"/>
    </row>
    <row r="502">
      <c r="N502" s="281" t="n"/>
      <c r="O502" s="281" t="n"/>
      <c r="Q502" s="284" t="n"/>
      <c r="R502" s="283" t="n"/>
    </row>
    <row r="503">
      <c r="N503" s="281" t="n"/>
      <c r="O503" s="281" t="n"/>
      <c r="Q503" s="284" t="n"/>
      <c r="R503" s="283" t="n"/>
    </row>
    <row r="504">
      <c r="N504" s="281" t="n"/>
      <c r="O504" s="281" t="n"/>
      <c r="Q504" s="284" t="n"/>
      <c r="R504" s="283" t="n"/>
    </row>
  </sheetData>
  <mergeCells count="1">
    <mergeCell ref="A1:S2"/>
  </mergeCells>
  <conditionalFormatting sqref="Q5:Q504">
    <cfRule type="colorScale" priority="1">
      <colorScale>
        <cfvo type="min"/>
        <cfvo type="percentile" val="50"/>
        <cfvo type="max"/>
        <color rgb="FFF4CCCC"/>
        <color rgb="FFFFF2CC"/>
        <color rgb="FFD9EAD3"/>
      </colorScale>
    </cfRule>
  </conditionalFormatting>
  <dataValidations count="2">
    <dataValidation sqref="F5:F504" showDropDown="0" showInputMessage="0" showErrorMessage="0" allowBlank="0" type="list">
      <formula1>"Solar,Solar + BESS,FDRE,Wind,Hybrid,BESS,Pumped Storage,RTC,Other"</formula1>
    </dataValidation>
    <dataValidation sqref="S5:S504" showDropDown="0" showInputMessage="0" showErrorMessage="0" allowBlank="0" type="list">
      <formula1>"Pending Review,Approved,Rejected,Partially Approved"</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505"/>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20" customWidth="1" style="64" min="6" max="6"/>
    <col width="28" customWidth="1" style="64" min="7" max="7"/>
    <col width="28" customWidth="1" style="64" min="8" max="8"/>
    <col width="18" customWidth="1" style="64" min="9" max="9"/>
    <col width="14" customWidth="1" style="64" min="10" max="10"/>
    <col width="18" customWidth="1" style="64" min="11" max="11"/>
    <col width="14" customWidth="1" style="64" min="12" max="12"/>
    <col width="30" customWidth="1" style="64" min="13" max="13"/>
    <col width="40" customWidth="1" style="64" min="14" max="14"/>
    <col width="18" customWidth="1" style="64" min="15" max="15"/>
    <col width="24" customWidth="1" style="64" min="16" max="16"/>
  </cols>
  <sheetData>
    <row r="1">
      <c r="A1" s="289" t="inlineStr">
        <is>
          <t>Tender Change &amp; Corrigendum Review Queue</t>
        </is>
      </c>
      <c r="B1" s="1" t="n"/>
      <c r="C1" s="1" t="n"/>
      <c r="D1" s="1" t="n"/>
      <c r="E1" s="1" t="n"/>
      <c r="F1" s="1" t="n"/>
      <c r="G1" s="1" t="n"/>
      <c r="H1" s="1" t="n"/>
      <c r="I1" s="1" t="n"/>
      <c r="J1" s="1" t="n"/>
      <c r="K1" s="1" t="n"/>
      <c r="L1" s="1" t="n"/>
      <c r="M1" s="1" t="n"/>
      <c r="N1" s="1" t="n"/>
      <c r="O1" s="1" t="n"/>
      <c r="P1" s="1" t="n"/>
    </row>
    <row r="2">
      <c r="A2" s="1" t="n"/>
      <c r="B2" s="1" t="n"/>
      <c r="C2" s="1" t="n"/>
      <c r="D2" s="1" t="n"/>
      <c r="E2" s="1" t="n"/>
      <c r="F2" s="1" t="n"/>
      <c r="G2" s="1" t="n"/>
      <c r="H2" s="1" t="n"/>
      <c r="I2" s="1" t="n"/>
      <c r="J2" s="1" t="n"/>
      <c r="K2" s="1" t="n"/>
      <c r="L2" s="1" t="n"/>
      <c r="M2" s="1" t="n"/>
      <c r="N2" s="1" t="n"/>
      <c r="O2" s="1" t="n"/>
      <c r="P2" s="1" t="n"/>
    </row>
    <row r="3">
      <c r="A3" s="290" t="inlineStr">
        <is>
          <t>Proposed changes are generated by comparing the current tender record with newly scanned pages or documents. Approve before applying.</t>
        </is>
      </c>
      <c r="B3" s="1" t="n"/>
      <c r="C3" s="1" t="n"/>
      <c r="D3" s="1" t="n"/>
      <c r="E3" s="1" t="n"/>
      <c r="F3" s="1" t="n"/>
      <c r="G3" s="1" t="n"/>
      <c r="H3" s="1" t="n"/>
      <c r="I3" s="1" t="n"/>
      <c r="J3" s="1" t="n"/>
      <c r="K3" s="1" t="n"/>
      <c r="L3" s="1" t="n"/>
      <c r="M3" s="1" t="n"/>
      <c r="N3" s="1" t="n"/>
      <c r="O3" s="1" t="n"/>
      <c r="P3" s="1" t="n"/>
    </row>
    <row r="5">
      <c r="A5" s="122" t="inlineStr">
        <is>
          <t>Review ID</t>
        </is>
      </c>
      <c r="B5" s="122" t="inlineStr">
        <is>
          <t>Tender ID</t>
        </is>
      </c>
      <c r="C5" s="122" t="inlineStr">
        <is>
          <t>Agency</t>
        </is>
      </c>
      <c r="D5" s="122" t="inlineStr">
        <is>
          <t>Tender Number</t>
        </is>
      </c>
      <c r="E5" s="122" t="inlineStr">
        <is>
          <t>Change Source</t>
        </is>
      </c>
      <c r="F5" s="122" t="inlineStr">
        <is>
          <t>Field</t>
        </is>
      </c>
      <c r="G5" s="122" t="inlineStr">
        <is>
          <t>Current Value</t>
        </is>
      </c>
      <c r="H5" s="122" t="inlineStr">
        <is>
          <t>Proposed Value</t>
        </is>
      </c>
      <c r="I5" s="122" t="inlineStr">
        <is>
          <t>Change Type</t>
        </is>
      </c>
      <c r="J5" s="122" t="inlineStr">
        <is>
          <t>Confidence %</t>
        </is>
      </c>
      <c r="K5" s="122" t="inlineStr">
        <is>
          <t>Detected On</t>
        </is>
      </c>
      <c r="L5" s="122" t="inlineStr">
        <is>
          <t>Decision</t>
        </is>
      </c>
      <c r="M5" s="122" t="inlineStr">
        <is>
          <t>Reviewer Notes</t>
        </is>
      </c>
      <c r="N5" s="122" t="inlineStr">
        <is>
          <t>Source URL</t>
        </is>
      </c>
      <c r="O5" s="122" t="inlineStr">
        <is>
          <t>Applied On</t>
        </is>
      </c>
      <c r="P5" s="122" t="inlineStr">
        <is>
          <t>Apply Result</t>
        </is>
      </c>
    </row>
    <row r="6">
      <c r="J6" s="284" t="n"/>
      <c r="K6" s="283" t="n"/>
      <c r="O6" s="283" t="n"/>
    </row>
    <row r="7">
      <c r="J7" s="284" t="n"/>
      <c r="K7" s="283" t="n"/>
      <c r="O7" s="283" t="n"/>
    </row>
    <row r="8">
      <c r="J8" s="284" t="n"/>
      <c r="K8" s="283" t="n"/>
      <c r="O8" s="283" t="n"/>
    </row>
    <row r="9">
      <c r="J9" s="284" t="n"/>
      <c r="K9" s="283" t="n"/>
      <c r="O9" s="283" t="n"/>
    </row>
    <row r="10">
      <c r="J10" s="284" t="n"/>
      <c r="K10" s="283" t="n"/>
      <c r="O10" s="283" t="n"/>
    </row>
    <row r="11">
      <c r="J11" s="284" t="n"/>
      <c r="K11" s="283" t="n"/>
      <c r="O11" s="283" t="n"/>
    </row>
    <row r="12">
      <c r="J12" s="284" t="n"/>
      <c r="K12" s="283" t="n"/>
      <c r="O12" s="283" t="n"/>
    </row>
    <row r="13">
      <c r="J13" s="284" t="n"/>
      <c r="K13" s="283" t="n"/>
      <c r="O13" s="283" t="n"/>
    </row>
    <row r="14">
      <c r="J14" s="284" t="n"/>
      <c r="K14" s="283" t="n"/>
      <c r="O14" s="283" t="n"/>
    </row>
    <row r="15">
      <c r="J15" s="284" t="n"/>
      <c r="K15" s="283" t="n"/>
      <c r="O15" s="283" t="n"/>
    </row>
    <row r="16">
      <c r="J16" s="284" t="n"/>
      <c r="K16" s="283" t="n"/>
      <c r="O16" s="283" t="n"/>
    </row>
    <row r="17">
      <c r="J17" s="284" t="n"/>
      <c r="K17" s="283" t="n"/>
      <c r="O17" s="283" t="n"/>
    </row>
    <row r="18">
      <c r="J18" s="284" t="n"/>
      <c r="K18" s="283" t="n"/>
      <c r="O18" s="283" t="n"/>
    </row>
    <row r="19">
      <c r="J19" s="284" t="n"/>
      <c r="K19" s="283" t="n"/>
      <c r="O19" s="283" t="n"/>
    </row>
    <row r="20">
      <c r="J20" s="284" t="n"/>
      <c r="K20" s="283" t="n"/>
      <c r="O20" s="283" t="n"/>
    </row>
    <row r="21">
      <c r="J21" s="284" t="n"/>
      <c r="K21" s="283" t="n"/>
      <c r="O21" s="283" t="n"/>
    </row>
    <row r="22">
      <c r="J22" s="284" t="n"/>
      <c r="K22" s="283" t="n"/>
      <c r="O22" s="283" t="n"/>
    </row>
    <row r="23">
      <c r="J23" s="284" t="n"/>
      <c r="K23" s="283" t="n"/>
      <c r="O23" s="283" t="n"/>
    </row>
    <row r="24">
      <c r="J24" s="284" t="n"/>
      <c r="K24" s="283" t="n"/>
      <c r="O24" s="283" t="n"/>
    </row>
    <row r="25">
      <c r="J25" s="284" t="n"/>
      <c r="K25" s="283" t="n"/>
      <c r="O25" s="283" t="n"/>
    </row>
    <row r="26">
      <c r="J26" s="284" t="n"/>
      <c r="K26" s="283" t="n"/>
      <c r="O26" s="283" t="n"/>
    </row>
    <row r="27">
      <c r="J27" s="284" t="n"/>
      <c r="K27" s="283" t="n"/>
      <c r="O27" s="283" t="n"/>
    </row>
    <row r="28">
      <c r="J28" s="284" t="n"/>
      <c r="K28" s="283" t="n"/>
      <c r="O28" s="283" t="n"/>
    </row>
    <row r="29">
      <c r="J29" s="284" t="n"/>
      <c r="K29" s="283" t="n"/>
      <c r="O29" s="283" t="n"/>
    </row>
    <row r="30">
      <c r="J30" s="284" t="n"/>
      <c r="K30" s="283" t="n"/>
      <c r="O30" s="283" t="n"/>
    </row>
    <row r="31">
      <c r="J31" s="284" t="n"/>
      <c r="K31" s="283" t="n"/>
      <c r="O31" s="283" t="n"/>
    </row>
    <row r="32">
      <c r="J32" s="284" t="n"/>
      <c r="K32" s="283" t="n"/>
      <c r="O32" s="283" t="n"/>
    </row>
    <row r="33">
      <c r="J33" s="284" t="n"/>
      <c r="K33" s="283" t="n"/>
      <c r="O33" s="283" t="n"/>
    </row>
    <row r="34">
      <c r="J34" s="284" t="n"/>
      <c r="K34" s="283" t="n"/>
      <c r="O34" s="283" t="n"/>
    </row>
    <row r="35">
      <c r="J35" s="284" t="n"/>
      <c r="K35" s="283" t="n"/>
      <c r="O35" s="283" t="n"/>
    </row>
    <row r="36">
      <c r="J36" s="284" t="n"/>
      <c r="K36" s="283" t="n"/>
      <c r="O36" s="283" t="n"/>
    </row>
    <row r="37">
      <c r="J37" s="284" t="n"/>
      <c r="K37" s="283" t="n"/>
      <c r="O37" s="283" t="n"/>
    </row>
    <row r="38">
      <c r="J38" s="284" t="n"/>
      <c r="K38" s="283" t="n"/>
      <c r="O38" s="283" t="n"/>
    </row>
    <row r="39">
      <c r="J39" s="284" t="n"/>
      <c r="K39" s="283" t="n"/>
      <c r="O39" s="283" t="n"/>
    </row>
    <row r="40">
      <c r="J40" s="284" t="n"/>
      <c r="K40" s="283" t="n"/>
      <c r="O40" s="283" t="n"/>
    </row>
    <row r="41">
      <c r="J41" s="284" t="n"/>
      <c r="K41" s="283" t="n"/>
      <c r="O41" s="283" t="n"/>
    </row>
    <row r="42">
      <c r="J42" s="284" t="n"/>
      <c r="K42" s="283" t="n"/>
      <c r="O42" s="283" t="n"/>
    </row>
    <row r="43">
      <c r="J43" s="284" t="n"/>
      <c r="K43" s="283" t="n"/>
      <c r="O43" s="283" t="n"/>
    </row>
    <row r="44">
      <c r="J44" s="284" t="n"/>
      <c r="K44" s="283" t="n"/>
      <c r="O44" s="283" t="n"/>
    </row>
    <row r="45">
      <c r="J45" s="284" t="n"/>
      <c r="K45" s="283" t="n"/>
      <c r="O45" s="283" t="n"/>
    </row>
    <row r="46">
      <c r="J46" s="284" t="n"/>
      <c r="K46" s="283" t="n"/>
      <c r="O46" s="283" t="n"/>
    </row>
    <row r="47">
      <c r="J47" s="284" t="n"/>
      <c r="K47" s="283" t="n"/>
      <c r="O47" s="283" t="n"/>
    </row>
    <row r="48">
      <c r="J48" s="284" t="n"/>
      <c r="K48" s="283" t="n"/>
      <c r="O48" s="283" t="n"/>
    </row>
    <row r="49">
      <c r="J49" s="284" t="n"/>
      <c r="K49" s="283" t="n"/>
      <c r="O49" s="283" t="n"/>
    </row>
    <row r="50">
      <c r="J50" s="284" t="n"/>
      <c r="K50" s="283" t="n"/>
      <c r="O50" s="283" t="n"/>
    </row>
    <row r="51">
      <c r="J51" s="284" t="n"/>
      <c r="K51" s="283" t="n"/>
      <c r="O51" s="283" t="n"/>
    </row>
    <row r="52">
      <c r="J52" s="284" t="n"/>
      <c r="K52" s="283" t="n"/>
      <c r="O52" s="283" t="n"/>
    </row>
    <row r="53">
      <c r="J53" s="284" t="n"/>
      <c r="K53" s="283" t="n"/>
      <c r="O53" s="283" t="n"/>
    </row>
    <row r="54">
      <c r="J54" s="284" t="n"/>
      <c r="K54" s="283" t="n"/>
      <c r="O54" s="283" t="n"/>
    </row>
    <row r="55">
      <c r="J55" s="284" t="n"/>
      <c r="K55" s="283" t="n"/>
      <c r="O55" s="283" t="n"/>
    </row>
    <row r="56">
      <c r="J56" s="284" t="n"/>
      <c r="K56" s="283" t="n"/>
      <c r="O56" s="283" t="n"/>
    </row>
    <row r="57">
      <c r="J57" s="284" t="n"/>
      <c r="K57" s="283" t="n"/>
      <c r="O57" s="283" t="n"/>
    </row>
    <row r="58">
      <c r="J58" s="284" t="n"/>
      <c r="K58" s="283" t="n"/>
      <c r="O58" s="283" t="n"/>
    </row>
    <row r="59">
      <c r="J59" s="284" t="n"/>
      <c r="K59" s="283" t="n"/>
      <c r="O59" s="283" t="n"/>
    </row>
    <row r="60">
      <c r="J60" s="284" t="n"/>
      <c r="K60" s="283" t="n"/>
      <c r="O60" s="283" t="n"/>
    </row>
    <row r="61">
      <c r="J61" s="284" t="n"/>
      <c r="K61" s="283" t="n"/>
      <c r="O61" s="283" t="n"/>
    </row>
    <row r="62">
      <c r="J62" s="284" t="n"/>
      <c r="K62" s="283" t="n"/>
      <c r="O62" s="283" t="n"/>
    </row>
    <row r="63">
      <c r="J63" s="284" t="n"/>
      <c r="K63" s="283" t="n"/>
      <c r="O63" s="283" t="n"/>
    </row>
    <row r="64">
      <c r="J64" s="284" t="n"/>
      <c r="K64" s="283" t="n"/>
      <c r="O64" s="283" t="n"/>
    </row>
    <row r="65">
      <c r="J65" s="284" t="n"/>
      <c r="K65" s="283" t="n"/>
      <c r="O65" s="283" t="n"/>
    </row>
    <row r="66">
      <c r="J66" s="284" t="n"/>
      <c r="K66" s="283" t="n"/>
      <c r="O66" s="283" t="n"/>
    </row>
    <row r="67">
      <c r="J67" s="284" t="n"/>
      <c r="K67" s="283" t="n"/>
      <c r="O67" s="283" t="n"/>
    </row>
    <row r="68">
      <c r="J68" s="284" t="n"/>
      <c r="K68" s="283" t="n"/>
      <c r="O68" s="283" t="n"/>
    </row>
    <row r="69">
      <c r="J69" s="284" t="n"/>
      <c r="K69" s="283" t="n"/>
      <c r="O69" s="283" t="n"/>
    </row>
    <row r="70">
      <c r="J70" s="284" t="n"/>
      <c r="K70" s="283" t="n"/>
      <c r="O70" s="283" t="n"/>
    </row>
    <row r="71">
      <c r="J71" s="284" t="n"/>
      <c r="K71" s="283" t="n"/>
      <c r="O71" s="283" t="n"/>
    </row>
    <row r="72">
      <c r="J72" s="284" t="n"/>
      <c r="K72" s="283" t="n"/>
      <c r="O72" s="283" t="n"/>
    </row>
    <row r="73">
      <c r="J73" s="284" t="n"/>
      <c r="K73" s="283" t="n"/>
      <c r="O73" s="283" t="n"/>
    </row>
    <row r="74">
      <c r="J74" s="284" t="n"/>
      <c r="K74" s="283" t="n"/>
      <c r="O74" s="283" t="n"/>
    </row>
    <row r="75">
      <c r="J75" s="284" t="n"/>
      <c r="K75" s="283" t="n"/>
      <c r="O75" s="283" t="n"/>
    </row>
    <row r="76">
      <c r="J76" s="284" t="n"/>
      <c r="K76" s="283" t="n"/>
      <c r="O76" s="283" t="n"/>
    </row>
    <row r="77">
      <c r="J77" s="284" t="n"/>
      <c r="K77" s="283" t="n"/>
      <c r="O77" s="283" t="n"/>
    </row>
    <row r="78">
      <c r="J78" s="284" t="n"/>
      <c r="K78" s="283" t="n"/>
      <c r="O78" s="283" t="n"/>
    </row>
    <row r="79">
      <c r="J79" s="284" t="n"/>
      <c r="K79" s="283" t="n"/>
      <c r="O79" s="283" t="n"/>
    </row>
    <row r="80">
      <c r="J80" s="284" t="n"/>
      <c r="K80" s="283" t="n"/>
      <c r="O80" s="283" t="n"/>
    </row>
    <row r="81">
      <c r="J81" s="284" t="n"/>
      <c r="K81" s="283" t="n"/>
      <c r="O81" s="283" t="n"/>
    </row>
    <row r="82">
      <c r="J82" s="284" t="n"/>
      <c r="K82" s="283" t="n"/>
      <c r="O82" s="283" t="n"/>
    </row>
    <row r="83">
      <c r="J83" s="284" t="n"/>
      <c r="K83" s="283" t="n"/>
      <c r="O83" s="283" t="n"/>
    </row>
    <row r="84">
      <c r="J84" s="284" t="n"/>
      <c r="K84" s="283" t="n"/>
      <c r="O84" s="283" t="n"/>
    </row>
    <row r="85">
      <c r="J85" s="284" t="n"/>
      <c r="K85" s="283" t="n"/>
      <c r="O85" s="283" t="n"/>
    </row>
    <row r="86">
      <c r="J86" s="284" t="n"/>
      <c r="K86" s="283" t="n"/>
      <c r="O86" s="283" t="n"/>
    </row>
    <row r="87">
      <c r="J87" s="284" t="n"/>
      <c r="K87" s="283" t="n"/>
      <c r="O87" s="283" t="n"/>
    </row>
    <row r="88">
      <c r="J88" s="284" t="n"/>
      <c r="K88" s="283" t="n"/>
      <c r="O88" s="283" t="n"/>
    </row>
    <row r="89">
      <c r="J89" s="284" t="n"/>
      <c r="K89" s="283" t="n"/>
      <c r="O89" s="283" t="n"/>
    </row>
    <row r="90">
      <c r="J90" s="284" t="n"/>
      <c r="K90" s="283" t="n"/>
      <c r="O90" s="283" t="n"/>
    </row>
    <row r="91">
      <c r="J91" s="284" t="n"/>
      <c r="K91" s="283" t="n"/>
      <c r="O91" s="283" t="n"/>
    </row>
    <row r="92">
      <c r="J92" s="284" t="n"/>
      <c r="K92" s="283" t="n"/>
      <c r="O92" s="283" t="n"/>
    </row>
    <row r="93">
      <c r="J93" s="284" t="n"/>
      <c r="K93" s="283" t="n"/>
      <c r="O93" s="283" t="n"/>
    </row>
    <row r="94">
      <c r="J94" s="284" t="n"/>
      <c r="K94" s="283" t="n"/>
      <c r="O94" s="283" t="n"/>
    </row>
    <row r="95">
      <c r="J95" s="284" t="n"/>
      <c r="K95" s="283" t="n"/>
      <c r="O95" s="283" t="n"/>
    </row>
    <row r="96">
      <c r="J96" s="284" t="n"/>
      <c r="K96" s="283" t="n"/>
      <c r="O96" s="283" t="n"/>
    </row>
    <row r="97">
      <c r="J97" s="284" t="n"/>
      <c r="K97" s="283" t="n"/>
      <c r="O97" s="283" t="n"/>
    </row>
    <row r="98">
      <c r="J98" s="284" t="n"/>
      <c r="K98" s="283" t="n"/>
      <c r="O98" s="283" t="n"/>
    </row>
    <row r="99">
      <c r="J99" s="284" t="n"/>
      <c r="K99" s="283" t="n"/>
      <c r="O99" s="283" t="n"/>
    </row>
    <row r="100">
      <c r="J100" s="284" t="n"/>
      <c r="K100" s="283" t="n"/>
      <c r="O100" s="283" t="n"/>
    </row>
    <row r="101">
      <c r="J101" s="284" t="n"/>
      <c r="K101" s="283" t="n"/>
      <c r="O101" s="283" t="n"/>
    </row>
    <row r="102">
      <c r="J102" s="284" t="n"/>
      <c r="K102" s="283" t="n"/>
      <c r="O102" s="283" t="n"/>
    </row>
    <row r="103">
      <c r="J103" s="284" t="n"/>
      <c r="K103" s="283" t="n"/>
      <c r="O103" s="283" t="n"/>
    </row>
    <row r="104">
      <c r="J104" s="284" t="n"/>
      <c r="K104" s="283" t="n"/>
      <c r="O104" s="283" t="n"/>
    </row>
    <row r="105">
      <c r="J105" s="284" t="n"/>
      <c r="K105" s="283" t="n"/>
      <c r="O105" s="283" t="n"/>
    </row>
    <row r="106">
      <c r="J106" s="284" t="n"/>
      <c r="K106" s="283" t="n"/>
      <c r="O106" s="283" t="n"/>
    </row>
    <row r="107">
      <c r="J107" s="284" t="n"/>
      <c r="K107" s="283" t="n"/>
      <c r="O107" s="283" t="n"/>
    </row>
    <row r="108">
      <c r="J108" s="284" t="n"/>
      <c r="K108" s="283" t="n"/>
      <c r="O108" s="283" t="n"/>
    </row>
    <row r="109">
      <c r="J109" s="284" t="n"/>
      <c r="K109" s="283" t="n"/>
      <c r="O109" s="283" t="n"/>
    </row>
    <row r="110">
      <c r="J110" s="284" t="n"/>
      <c r="K110" s="283" t="n"/>
      <c r="O110" s="283" t="n"/>
    </row>
    <row r="111">
      <c r="J111" s="284" t="n"/>
      <c r="K111" s="283" t="n"/>
      <c r="O111" s="283" t="n"/>
    </row>
    <row r="112">
      <c r="J112" s="284" t="n"/>
      <c r="K112" s="283" t="n"/>
      <c r="O112" s="283" t="n"/>
    </row>
    <row r="113">
      <c r="J113" s="284" t="n"/>
      <c r="K113" s="283" t="n"/>
      <c r="O113" s="283" t="n"/>
    </row>
    <row r="114">
      <c r="J114" s="284" t="n"/>
      <c r="K114" s="283" t="n"/>
      <c r="O114" s="283" t="n"/>
    </row>
    <row r="115">
      <c r="J115" s="284" t="n"/>
      <c r="K115" s="283" t="n"/>
      <c r="O115" s="283" t="n"/>
    </row>
    <row r="116">
      <c r="J116" s="284" t="n"/>
      <c r="K116" s="283" t="n"/>
      <c r="O116" s="283" t="n"/>
    </row>
    <row r="117">
      <c r="J117" s="284" t="n"/>
      <c r="K117" s="283" t="n"/>
      <c r="O117" s="283" t="n"/>
    </row>
    <row r="118">
      <c r="J118" s="284" t="n"/>
      <c r="K118" s="283" t="n"/>
      <c r="O118" s="283" t="n"/>
    </row>
    <row r="119">
      <c r="J119" s="284" t="n"/>
      <c r="K119" s="283" t="n"/>
      <c r="O119" s="283" t="n"/>
    </row>
    <row r="120">
      <c r="J120" s="284" t="n"/>
      <c r="K120" s="283" t="n"/>
      <c r="O120" s="283" t="n"/>
    </row>
    <row r="121">
      <c r="J121" s="284" t="n"/>
      <c r="K121" s="283" t="n"/>
      <c r="O121" s="283" t="n"/>
    </row>
    <row r="122">
      <c r="J122" s="284" t="n"/>
      <c r="K122" s="283" t="n"/>
      <c r="O122" s="283" t="n"/>
    </row>
    <row r="123">
      <c r="J123" s="284" t="n"/>
      <c r="K123" s="283" t="n"/>
      <c r="O123" s="283" t="n"/>
    </row>
    <row r="124">
      <c r="J124" s="284" t="n"/>
      <c r="K124" s="283" t="n"/>
      <c r="O124" s="283" t="n"/>
    </row>
    <row r="125">
      <c r="J125" s="284" t="n"/>
      <c r="K125" s="283" t="n"/>
      <c r="O125" s="283" t="n"/>
    </row>
    <row r="126">
      <c r="J126" s="284" t="n"/>
      <c r="K126" s="283" t="n"/>
      <c r="O126" s="283" t="n"/>
    </row>
    <row r="127">
      <c r="J127" s="284" t="n"/>
      <c r="K127" s="283" t="n"/>
      <c r="O127" s="283" t="n"/>
    </row>
    <row r="128">
      <c r="J128" s="284" t="n"/>
      <c r="K128" s="283" t="n"/>
      <c r="O128" s="283" t="n"/>
    </row>
    <row r="129">
      <c r="J129" s="284" t="n"/>
      <c r="K129" s="283" t="n"/>
      <c r="O129" s="283" t="n"/>
    </row>
    <row r="130">
      <c r="J130" s="284" t="n"/>
      <c r="K130" s="283" t="n"/>
      <c r="O130" s="283" t="n"/>
    </row>
    <row r="131">
      <c r="J131" s="284" t="n"/>
      <c r="K131" s="283" t="n"/>
      <c r="O131" s="283" t="n"/>
    </row>
    <row r="132">
      <c r="J132" s="284" t="n"/>
      <c r="K132" s="283" t="n"/>
      <c r="O132" s="283" t="n"/>
    </row>
    <row r="133">
      <c r="J133" s="284" t="n"/>
      <c r="K133" s="283" t="n"/>
      <c r="O133" s="283" t="n"/>
    </row>
    <row r="134">
      <c r="J134" s="284" t="n"/>
      <c r="K134" s="283" t="n"/>
      <c r="O134" s="283" t="n"/>
    </row>
    <row r="135">
      <c r="J135" s="284" t="n"/>
      <c r="K135" s="283" t="n"/>
      <c r="O135" s="283" t="n"/>
    </row>
    <row r="136">
      <c r="J136" s="284" t="n"/>
      <c r="K136" s="283" t="n"/>
      <c r="O136" s="283" t="n"/>
    </row>
    <row r="137">
      <c r="J137" s="284" t="n"/>
      <c r="K137" s="283" t="n"/>
      <c r="O137" s="283" t="n"/>
    </row>
    <row r="138">
      <c r="J138" s="284" t="n"/>
      <c r="K138" s="283" t="n"/>
      <c r="O138" s="283" t="n"/>
    </row>
    <row r="139">
      <c r="J139" s="284" t="n"/>
      <c r="K139" s="283" t="n"/>
      <c r="O139" s="283" t="n"/>
    </row>
    <row r="140">
      <c r="J140" s="284" t="n"/>
      <c r="K140" s="283" t="n"/>
      <c r="O140" s="283" t="n"/>
    </row>
    <row r="141">
      <c r="J141" s="284" t="n"/>
      <c r="K141" s="283" t="n"/>
      <c r="O141" s="283" t="n"/>
    </row>
    <row r="142">
      <c r="J142" s="284" t="n"/>
      <c r="K142" s="283" t="n"/>
      <c r="O142" s="283" t="n"/>
    </row>
    <row r="143">
      <c r="J143" s="284" t="n"/>
      <c r="K143" s="283" t="n"/>
      <c r="O143" s="283" t="n"/>
    </row>
    <row r="144">
      <c r="J144" s="284" t="n"/>
      <c r="K144" s="283" t="n"/>
      <c r="O144" s="283" t="n"/>
    </row>
    <row r="145">
      <c r="J145" s="284" t="n"/>
      <c r="K145" s="283" t="n"/>
      <c r="O145" s="283" t="n"/>
    </row>
    <row r="146">
      <c r="J146" s="284" t="n"/>
      <c r="K146" s="283" t="n"/>
      <c r="O146" s="283" t="n"/>
    </row>
    <row r="147">
      <c r="J147" s="284" t="n"/>
      <c r="K147" s="283" t="n"/>
      <c r="O147" s="283" t="n"/>
    </row>
    <row r="148">
      <c r="J148" s="284" t="n"/>
      <c r="K148" s="283" t="n"/>
      <c r="O148" s="283" t="n"/>
    </row>
    <row r="149">
      <c r="J149" s="284" t="n"/>
      <c r="K149" s="283" t="n"/>
      <c r="O149" s="283" t="n"/>
    </row>
    <row r="150">
      <c r="J150" s="284" t="n"/>
      <c r="K150" s="283" t="n"/>
      <c r="O150" s="283" t="n"/>
    </row>
    <row r="151">
      <c r="J151" s="284" t="n"/>
      <c r="K151" s="283" t="n"/>
      <c r="O151" s="283" t="n"/>
    </row>
    <row r="152">
      <c r="J152" s="284" t="n"/>
      <c r="K152" s="283" t="n"/>
      <c r="O152" s="283" t="n"/>
    </row>
    <row r="153">
      <c r="J153" s="284" t="n"/>
      <c r="K153" s="283" t="n"/>
      <c r="O153" s="283" t="n"/>
    </row>
    <row r="154">
      <c r="J154" s="284" t="n"/>
      <c r="K154" s="283" t="n"/>
      <c r="O154" s="283" t="n"/>
    </row>
    <row r="155">
      <c r="J155" s="284" t="n"/>
      <c r="K155" s="283" t="n"/>
      <c r="O155" s="283" t="n"/>
    </row>
    <row r="156">
      <c r="J156" s="284" t="n"/>
      <c r="K156" s="283" t="n"/>
      <c r="O156" s="283" t="n"/>
    </row>
    <row r="157">
      <c r="J157" s="284" t="n"/>
      <c r="K157" s="283" t="n"/>
      <c r="O157" s="283" t="n"/>
    </row>
    <row r="158">
      <c r="J158" s="284" t="n"/>
      <c r="K158" s="283" t="n"/>
      <c r="O158" s="283" t="n"/>
    </row>
    <row r="159">
      <c r="J159" s="284" t="n"/>
      <c r="K159" s="283" t="n"/>
      <c r="O159" s="283" t="n"/>
    </row>
    <row r="160">
      <c r="J160" s="284" t="n"/>
      <c r="K160" s="283" t="n"/>
      <c r="O160" s="283" t="n"/>
    </row>
    <row r="161">
      <c r="J161" s="284" t="n"/>
      <c r="K161" s="283" t="n"/>
      <c r="O161" s="283" t="n"/>
    </row>
    <row r="162">
      <c r="J162" s="284" t="n"/>
      <c r="K162" s="283" t="n"/>
      <c r="O162" s="283" t="n"/>
    </row>
    <row r="163">
      <c r="J163" s="284" t="n"/>
      <c r="K163" s="283" t="n"/>
      <c r="O163" s="283" t="n"/>
    </row>
    <row r="164">
      <c r="J164" s="284" t="n"/>
      <c r="K164" s="283" t="n"/>
      <c r="O164" s="283" t="n"/>
    </row>
    <row r="165">
      <c r="J165" s="284" t="n"/>
      <c r="K165" s="283" t="n"/>
      <c r="O165" s="283" t="n"/>
    </row>
    <row r="166">
      <c r="J166" s="284" t="n"/>
      <c r="K166" s="283" t="n"/>
      <c r="O166" s="283" t="n"/>
    </row>
    <row r="167">
      <c r="J167" s="284" t="n"/>
      <c r="K167" s="283" t="n"/>
      <c r="O167" s="283" t="n"/>
    </row>
    <row r="168">
      <c r="J168" s="284" t="n"/>
      <c r="K168" s="283" t="n"/>
      <c r="O168" s="283" t="n"/>
    </row>
    <row r="169">
      <c r="J169" s="284" t="n"/>
      <c r="K169" s="283" t="n"/>
      <c r="O169" s="283" t="n"/>
    </row>
    <row r="170">
      <c r="J170" s="284" t="n"/>
      <c r="K170" s="283" t="n"/>
      <c r="O170" s="283" t="n"/>
    </row>
    <row r="171">
      <c r="J171" s="284" t="n"/>
      <c r="K171" s="283" t="n"/>
      <c r="O171" s="283" t="n"/>
    </row>
    <row r="172">
      <c r="J172" s="284" t="n"/>
      <c r="K172" s="283" t="n"/>
      <c r="O172" s="283" t="n"/>
    </row>
    <row r="173">
      <c r="J173" s="284" t="n"/>
      <c r="K173" s="283" t="n"/>
      <c r="O173" s="283" t="n"/>
    </row>
    <row r="174">
      <c r="J174" s="284" t="n"/>
      <c r="K174" s="283" t="n"/>
      <c r="O174" s="283" t="n"/>
    </row>
    <row r="175">
      <c r="J175" s="284" t="n"/>
      <c r="K175" s="283" t="n"/>
      <c r="O175" s="283" t="n"/>
    </row>
    <row r="176">
      <c r="J176" s="284" t="n"/>
      <c r="K176" s="283" t="n"/>
      <c r="O176" s="283" t="n"/>
    </row>
    <row r="177">
      <c r="J177" s="284" t="n"/>
      <c r="K177" s="283" t="n"/>
      <c r="O177" s="283" t="n"/>
    </row>
    <row r="178">
      <c r="J178" s="284" t="n"/>
      <c r="K178" s="283" t="n"/>
      <c r="O178" s="283" t="n"/>
    </row>
    <row r="179">
      <c r="J179" s="284" t="n"/>
      <c r="K179" s="283" t="n"/>
      <c r="O179" s="283" t="n"/>
    </row>
    <row r="180">
      <c r="J180" s="284" t="n"/>
      <c r="K180" s="283" t="n"/>
      <c r="O180" s="283" t="n"/>
    </row>
    <row r="181">
      <c r="J181" s="284" t="n"/>
      <c r="K181" s="283" t="n"/>
      <c r="O181" s="283" t="n"/>
    </row>
    <row r="182">
      <c r="J182" s="284" t="n"/>
      <c r="K182" s="283" t="n"/>
      <c r="O182" s="283" t="n"/>
    </row>
    <row r="183">
      <c r="J183" s="284" t="n"/>
      <c r="K183" s="283" t="n"/>
      <c r="O183" s="283" t="n"/>
    </row>
    <row r="184">
      <c r="J184" s="284" t="n"/>
      <c r="K184" s="283" t="n"/>
      <c r="O184" s="283" t="n"/>
    </row>
    <row r="185">
      <c r="J185" s="284" t="n"/>
      <c r="K185" s="283" t="n"/>
      <c r="O185" s="283" t="n"/>
    </row>
    <row r="186">
      <c r="J186" s="284" t="n"/>
      <c r="K186" s="283" t="n"/>
      <c r="O186" s="283" t="n"/>
    </row>
    <row r="187">
      <c r="J187" s="284" t="n"/>
      <c r="K187" s="283" t="n"/>
      <c r="O187" s="283" t="n"/>
    </row>
    <row r="188">
      <c r="J188" s="284" t="n"/>
      <c r="K188" s="283" t="n"/>
      <c r="O188" s="283" t="n"/>
    </row>
    <row r="189">
      <c r="J189" s="284" t="n"/>
      <c r="K189" s="283" t="n"/>
      <c r="O189" s="283" t="n"/>
    </row>
    <row r="190">
      <c r="J190" s="284" t="n"/>
      <c r="K190" s="283" t="n"/>
      <c r="O190" s="283" t="n"/>
    </row>
    <row r="191">
      <c r="J191" s="284" t="n"/>
      <c r="K191" s="283" t="n"/>
      <c r="O191" s="283" t="n"/>
    </row>
    <row r="192">
      <c r="J192" s="284" t="n"/>
      <c r="K192" s="283" t="n"/>
      <c r="O192" s="283" t="n"/>
    </row>
    <row r="193">
      <c r="J193" s="284" t="n"/>
      <c r="K193" s="283" t="n"/>
      <c r="O193" s="283" t="n"/>
    </row>
    <row r="194">
      <c r="J194" s="284" t="n"/>
      <c r="K194" s="283" t="n"/>
      <c r="O194" s="283" t="n"/>
    </row>
    <row r="195">
      <c r="J195" s="284" t="n"/>
      <c r="K195" s="283" t="n"/>
      <c r="O195" s="283" t="n"/>
    </row>
    <row r="196">
      <c r="J196" s="284" t="n"/>
      <c r="K196" s="283" t="n"/>
      <c r="O196" s="283" t="n"/>
    </row>
    <row r="197">
      <c r="J197" s="284" t="n"/>
      <c r="K197" s="283" t="n"/>
      <c r="O197" s="283" t="n"/>
    </row>
    <row r="198">
      <c r="J198" s="284" t="n"/>
      <c r="K198" s="283" t="n"/>
      <c r="O198" s="283" t="n"/>
    </row>
    <row r="199">
      <c r="J199" s="284" t="n"/>
      <c r="K199" s="283" t="n"/>
      <c r="O199" s="283" t="n"/>
    </row>
    <row r="200">
      <c r="J200" s="284" t="n"/>
      <c r="K200" s="283" t="n"/>
      <c r="O200" s="283" t="n"/>
    </row>
    <row r="201">
      <c r="J201" s="284" t="n"/>
      <c r="K201" s="283" t="n"/>
      <c r="O201" s="283" t="n"/>
    </row>
    <row r="202">
      <c r="J202" s="284" t="n"/>
      <c r="K202" s="283" t="n"/>
      <c r="O202" s="283" t="n"/>
    </row>
    <row r="203">
      <c r="J203" s="284" t="n"/>
      <c r="K203" s="283" t="n"/>
      <c r="O203" s="283" t="n"/>
    </row>
    <row r="204">
      <c r="J204" s="284" t="n"/>
      <c r="K204" s="283" t="n"/>
      <c r="O204" s="283" t="n"/>
    </row>
    <row r="205">
      <c r="J205" s="284" t="n"/>
      <c r="K205" s="283" t="n"/>
      <c r="O205" s="283" t="n"/>
    </row>
    <row r="206">
      <c r="J206" s="284" t="n"/>
      <c r="K206" s="283" t="n"/>
      <c r="O206" s="283" t="n"/>
    </row>
    <row r="207">
      <c r="J207" s="284" t="n"/>
      <c r="K207" s="283" t="n"/>
      <c r="O207" s="283" t="n"/>
    </row>
    <row r="208">
      <c r="J208" s="284" t="n"/>
      <c r="K208" s="283" t="n"/>
      <c r="O208" s="283" t="n"/>
    </row>
    <row r="209">
      <c r="J209" s="284" t="n"/>
      <c r="K209" s="283" t="n"/>
      <c r="O209" s="283" t="n"/>
    </row>
    <row r="210">
      <c r="J210" s="284" t="n"/>
      <c r="K210" s="283" t="n"/>
      <c r="O210" s="283" t="n"/>
    </row>
    <row r="211">
      <c r="J211" s="284" t="n"/>
      <c r="K211" s="283" t="n"/>
      <c r="O211" s="283" t="n"/>
    </row>
    <row r="212">
      <c r="J212" s="284" t="n"/>
      <c r="K212" s="283" t="n"/>
      <c r="O212" s="283" t="n"/>
    </row>
    <row r="213">
      <c r="J213" s="284" t="n"/>
      <c r="K213" s="283" t="n"/>
      <c r="O213" s="283" t="n"/>
    </row>
    <row r="214">
      <c r="J214" s="284" t="n"/>
      <c r="K214" s="283" t="n"/>
      <c r="O214" s="283" t="n"/>
    </row>
    <row r="215">
      <c r="J215" s="284" t="n"/>
      <c r="K215" s="283" t="n"/>
      <c r="O215" s="283" t="n"/>
    </row>
    <row r="216">
      <c r="J216" s="284" t="n"/>
      <c r="K216" s="283" t="n"/>
      <c r="O216" s="283" t="n"/>
    </row>
    <row r="217">
      <c r="J217" s="284" t="n"/>
      <c r="K217" s="283" t="n"/>
      <c r="O217" s="283" t="n"/>
    </row>
    <row r="218">
      <c r="J218" s="284" t="n"/>
      <c r="K218" s="283" t="n"/>
      <c r="O218" s="283" t="n"/>
    </row>
    <row r="219">
      <c r="J219" s="284" t="n"/>
      <c r="K219" s="283" t="n"/>
      <c r="O219" s="283" t="n"/>
    </row>
    <row r="220">
      <c r="J220" s="284" t="n"/>
      <c r="K220" s="283" t="n"/>
      <c r="O220" s="283" t="n"/>
    </row>
    <row r="221">
      <c r="J221" s="284" t="n"/>
      <c r="K221" s="283" t="n"/>
      <c r="O221" s="283" t="n"/>
    </row>
    <row r="222">
      <c r="J222" s="284" t="n"/>
      <c r="K222" s="283" t="n"/>
      <c r="O222" s="283" t="n"/>
    </row>
    <row r="223">
      <c r="J223" s="284" t="n"/>
      <c r="K223" s="283" t="n"/>
      <c r="O223" s="283" t="n"/>
    </row>
    <row r="224">
      <c r="J224" s="284" t="n"/>
      <c r="K224" s="283" t="n"/>
      <c r="O224" s="283" t="n"/>
    </row>
    <row r="225">
      <c r="J225" s="284" t="n"/>
      <c r="K225" s="283" t="n"/>
      <c r="O225" s="283" t="n"/>
    </row>
    <row r="226">
      <c r="J226" s="284" t="n"/>
      <c r="K226" s="283" t="n"/>
      <c r="O226" s="283" t="n"/>
    </row>
    <row r="227">
      <c r="J227" s="284" t="n"/>
      <c r="K227" s="283" t="n"/>
      <c r="O227" s="283" t="n"/>
    </row>
    <row r="228">
      <c r="J228" s="284" t="n"/>
      <c r="K228" s="283" t="n"/>
      <c r="O228" s="283" t="n"/>
    </row>
    <row r="229">
      <c r="J229" s="284" t="n"/>
      <c r="K229" s="283" t="n"/>
      <c r="O229" s="283" t="n"/>
    </row>
    <row r="230">
      <c r="J230" s="284" t="n"/>
      <c r="K230" s="283" t="n"/>
      <c r="O230" s="283" t="n"/>
    </row>
    <row r="231">
      <c r="J231" s="284" t="n"/>
      <c r="K231" s="283" t="n"/>
      <c r="O231" s="283" t="n"/>
    </row>
    <row r="232">
      <c r="J232" s="284" t="n"/>
      <c r="K232" s="283" t="n"/>
      <c r="O232" s="283" t="n"/>
    </row>
    <row r="233">
      <c r="J233" s="284" t="n"/>
      <c r="K233" s="283" t="n"/>
      <c r="O233" s="283" t="n"/>
    </row>
    <row r="234">
      <c r="J234" s="284" t="n"/>
      <c r="K234" s="283" t="n"/>
      <c r="O234" s="283" t="n"/>
    </row>
    <row r="235">
      <c r="J235" s="284" t="n"/>
      <c r="K235" s="283" t="n"/>
      <c r="O235" s="283" t="n"/>
    </row>
    <row r="236">
      <c r="J236" s="284" t="n"/>
      <c r="K236" s="283" t="n"/>
      <c r="O236" s="283" t="n"/>
    </row>
    <row r="237">
      <c r="J237" s="284" t="n"/>
      <c r="K237" s="283" t="n"/>
      <c r="O237" s="283" t="n"/>
    </row>
    <row r="238">
      <c r="J238" s="284" t="n"/>
      <c r="K238" s="283" t="n"/>
      <c r="O238" s="283" t="n"/>
    </row>
    <row r="239">
      <c r="J239" s="284" t="n"/>
      <c r="K239" s="283" t="n"/>
      <c r="O239" s="283" t="n"/>
    </row>
    <row r="240">
      <c r="J240" s="284" t="n"/>
      <c r="K240" s="283" t="n"/>
      <c r="O240" s="283" t="n"/>
    </row>
    <row r="241">
      <c r="J241" s="284" t="n"/>
      <c r="K241" s="283" t="n"/>
      <c r="O241" s="283" t="n"/>
    </row>
    <row r="242">
      <c r="J242" s="284" t="n"/>
      <c r="K242" s="283" t="n"/>
      <c r="O242" s="283" t="n"/>
    </row>
    <row r="243">
      <c r="J243" s="284" t="n"/>
      <c r="K243" s="283" t="n"/>
      <c r="O243" s="283" t="n"/>
    </row>
    <row r="244">
      <c r="J244" s="284" t="n"/>
      <c r="K244" s="283" t="n"/>
      <c r="O244" s="283" t="n"/>
    </row>
    <row r="245">
      <c r="J245" s="284" t="n"/>
      <c r="K245" s="283" t="n"/>
      <c r="O245" s="283" t="n"/>
    </row>
    <row r="246">
      <c r="J246" s="284" t="n"/>
      <c r="K246" s="283" t="n"/>
      <c r="O246" s="283" t="n"/>
    </row>
    <row r="247">
      <c r="J247" s="284" t="n"/>
      <c r="K247" s="283" t="n"/>
      <c r="O247" s="283" t="n"/>
    </row>
    <row r="248">
      <c r="J248" s="284" t="n"/>
      <c r="K248" s="283" t="n"/>
      <c r="O248" s="283" t="n"/>
    </row>
    <row r="249">
      <c r="J249" s="284" t="n"/>
      <c r="K249" s="283" t="n"/>
      <c r="O249" s="283" t="n"/>
    </row>
    <row r="250">
      <c r="J250" s="284" t="n"/>
      <c r="K250" s="283" t="n"/>
      <c r="O250" s="283" t="n"/>
    </row>
    <row r="251">
      <c r="J251" s="284" t="n"/>
      <c r="K251" s="283" t="n"/>
      <c r="O251" s="283" t="n"/>
    </row>
    <row r="252">
      <c r="J252" s="284" t="n"/>
      <c r="K252" s="283" t="n"/>
      <c r="O252" s="283" t="n"/>
    </row>
    <row r="253">
      <c r="J253" s="284" t="n"/>
      <c r="K253" s="283" t="n"/>
      <c r="O253" s="283" t="n"/>
    </row>
    <row r="254">
      <c r="J254" s="284" t="n"/>
      <c r="K254" s="283" t="n"/>
      <c r="O254" s="283" t="n"/>
    </row>
    <row r="255">
      <c r="J255" s="284" t="n"/>
      <c r="K255" s="283" t="n"/>
      <c r="O255" s="283" t="n"/>
    </row>
    <row r="256">
      <c r="J256" s="284" t="n"/>
      <c r="K256" s="283" t="n"/>
      <c r="O256" s="283" t="n"/>
    </row>
    <row r="257">
      <c r="J257" s="284" t="n"/>
      <c r="K257" s="283" t="n"/>
      <c r="O257" s="283" t="n"/>
    </row>
    <row r="258">
      <c r="J258" s="284" t="n"/>
      <c r="K258" s="283" t="n"/>
      <c r="O258" s="283" t="n"/>
    </row>
    <row r="259">
      <c r="J259" s="284" t="n"/>
      <c r="K259" s="283" t="n"/>
      <c r="O259" s="283" t="n"/>
    </row>
    <row r="260">
      <c r="J260" s="284" t="n"/>
      <c r="K260" s="283" t="n"/>
      <c r="O260" s="283" t="n"/>
    </row>
    <row r="261">
      <c r="J261" s="284" t="n"/>
      <c r="K261" s="283" t="n"/>
      <c r="O261" s="283" t="n"/>
    </row>
    <row r="262">
      <c r="J262" s="284" t="n"/>
      <c r="K262" s="283" t="n"/>
      <c r="O262" s="283" t="n"/>
    </row>
    <row r="263">
      <c r="J263" s="284" t="n"/>
      <c r="K263" s="283" t="n"/>
      <c r="O263" s="283" t="n"/>
    </row>
    <row r="264">
      <c r="J264" s="284" t="n"/>
      <c r="K264" s="283" t="n"/>
      <c r="O264" s="283" t="n"/>
    </row>
    <row r="265">
      <c r="J265" s="284" t="n"/>
      <c r="K265" s="283" t="n"/>
      <c r="O265" s="283" t="n"/>
    </row>
    <row r="266">
      <c r="J266" s="284" t="n"/>
      <c r="K266" s="283" t="n"/>
      <c r="O266" s="283" t="n"/>
    </row>
    <row r="267">
      <c r="J267" s="284" t="n"/>
      <c r="K267" s="283" t="n"/>
      <c r="O267" s="283" t="n"/>
    </row>
    <row r="268">
      <c r="J268" s="284" t="n"/>
      <c r="K268" s="283" t="n"/>
      <c r="O268" s="283" t="n"/>
    </row>
    <row r="269">
      <c r="J269" s="284" t="n"/>
      <c r="K269" s="283" t="n"/>
      <c r="O269" s="283" t="n"/>
    </row>
    <row r="270">
      <c r="J270" s="284" t="n"/>
      <c r="K270" s="283" t="n"/>
      <c r="O270" s="283" t="n"/>
    </row>
    <row r="271">
      <c r="J271" s="284" t="n"/>
      <c r="K271" s="283" t="n"/>
      <c r="O271" s="283" t="n"/>
    </row>
    <row r="272">
      <c r="J272" s="284" t="n"/>
      <c r="K272" s="283" t="n"/>
      <c r="O272" s="283" t="n"/>
    </row>
    <row r="273">
      <c r="J273" s="284" t="n"/>
      <c r="K273" s="283" t="n"/>
      <c r="O273" s="283" t="n"/>
    </row>
    <row r="274">
      <c r="J274" s="284" t="n"/>
      <c r="K274" s="283" t="n"/>
      <c r="O274" s="283" t="n"/>
    </row>
    <row r="275">
      <c r="J275" s="284" t="n"/>
      <c r="K275" s="283" t="n"/>
      <c r="O275" s="283" t="n"/>
    </row>
    <row r="276">
      <c r="J276" s="284" t="n"/>
      <c r="K276" s="283" t="n"/>
      <c r="O276" s="283" t="n"/>
    </row>
    <row r="277">
      <c r="J277" s="284" t="n"/>
      <c r="K277" s="283" t="n"/>
      <c r="O277" s="283" t="n"/>
    </row>
    <row r="278">
      <c r="J278" s="284" t="n"/>
      <c r="K278" s="283" t="n"/>
      <c r="O278" s="283" t="n"/>
    </row>
    <row r="279">
      <c r="J279" s="284" t="n"/>
      <c r="K279" s="283" t="n"/>
      <c r="O279" s="283" t="n"/>
    </row>
    <row r="280">
      <c r="J280" s="284" t="n"/>
      <c r="K280" s="283" t="n"/>
      <c r="O280" s="283" t="n"/>
    </row>
    <row r="281">
      <c r="J281" s="284" t="n"/>
      <c r="K281" s="283" t="n"/>
      <c r="O281" s="283" t="n"/>
    </row>
    <row r="282">
      <c r="J282" s="284" t="n"/>
      <c r="K282" s="283" t="n"/>
      <c r="O282" s="283" t="n"/>
    </row>
    <row r="283">
      <c r="J283" s="284" t="n"/>
      <c r="K283" s="283" t="n"/>
      <c r="O283" s="283" t="n"/>
    </row>
    <row r="284">
      <c r="J284" s="284" t="n"/>
      <c r="K284" s="283" t="n"/>
      <c r="O284" s="283" t="n"/>
    </row>
    <row r="285">
      <c r="J285" s="284" t="n"/>
      <c r="K285" s="283" t="n"/>
      <c r="O285" s="283" t="n"/>
    </row>
    <row r="286">
      <c r="J286" s="284" t="n"/>
      <c r="K286" s="283" t="n"/>
      <c r="O286" s="283" t="n"/>
    </row>
    <row r="287">
      <c r="J287" s="284" t="n"/>
      <c r="K287" s="283" t="n"/>
      <c r="O287" s="283" t="n"/>
    </row>
    <row r="288">
      <c r="J288" s="284" t="n"/>
      <c r="K288" s="283" t="n"/>
      <c r="O288" s="283" t="n"/>
    </row>
    <row r="289">
      <c r="J289" s="284" t="n"/>
      <c r="K289" s="283" t="n"/>
      <c r="O289" s="283" t="n"/>
    </row>
    <row r="290">
      <c r="J290" s="284" t="n"/>
      <c r="K290" s="283" t="n"/>
      <c r="O290" s="283" t="n"/>
    </row>
    <row r="291">
      <c r="J291" s="284" t="n"/>
      <c r="K291" s="283" t="n"/>
      <c r="O291" s="283" t="n"/>
    </row>
    <row r="292">
      <c r="J292" s="284" t="n"/>
      <c r="K292" s="283" t="n"/>
      <c r="O292" s="283" t="n"/>
    </row>
    <row r="293">
      <c r="J293" s="284" t="n"/>
      <c r="K293" s="283" t="n"/>
      <c r="O293" s="283" t="n"/>
    </row>
    <row r="294">
      <c r="J294" s="284" t="n"/>
      <c r="K294" s="283" t="n"/>
      <c r="O294" s="283" t="n"/>
    </row>
    <row r="295">
      <c r="J295" s="284" t="n"/>
      <c r="K295" s="283" t="n"/>
      <c r="O295" s="283" t="n"/>
    </row>
    <row r="296">
      <c r="J296" s="284" t="n"/>
      <c r="K296" s="283" t="n"/>
      <c r="O296" s="283" t="n"/>
    </row>
    <row r="297">
      <c r="J297" s="284" t="n"/>
      <c r="K297" s="283" t="n"/>
      <c r="O297" s="283" t="n"/>
    </row>
    <row r="298">
      <c r="J298" s="284" t="n"/>
      <c r="K298" s="283" t="n"/>
      <c r="O298" s="283" t="n"/>
    </row>
    <row r="299">
      <c r="J299" s="284" t="n"/>
      <c r="K299" s="283" t="n"/>
      <c r="O299" s="283" t="n"/>
    </row>
    <row r="300">
      <c r="J300" s="284" t="n"/>
      <c r="K300" s="283" t="n"/>
      <c r="O300" s="283" t="n"/>
    </row>
    <row r="301">
      <c r="J301" s="284" t="n"/>
      <c r="K301" s="283" t="n"/>
      <c r="O301" s="283" t="n"/>
    </row>
    <row r="302">
      <c r="J302" s="284" t="n"/>
      <c r="K302" s="283" t="n"/>
      <c r="O302" s="283" t="n"/>
    </row>
    <row r="303">
      <c r="J303" s="284" t="n"/>
      <c r="K303" s="283" t="n"/>
      <c r="O303" s="283" t="n"/>
    </row>
    <row r="304">
      <c r="J304" s="284" t="n"/>
      <c r="K304" s="283" t="n"/>
      <c r="O304" s="283" t="n"/>
    </row>
    <row r="305">
      <c r="J305" s="284" t="n"/>
      <c r="K305" s="283" t="n"/>
      <c r="O305" s="283" t="n"/>
    </row>
    <row r="306">
      <c r="J306" s="284" t="n"/>
      <c r="K306" s="283" t="n"/>
      <c r="O306" s="283" t="n"/>
    </row>
    <row r="307">
      <c r="J307" s="284" t="n"/>
      <c r="K307" s="283" t="n"/>
      <c r="O307" s="283" t="n"/>
    </row>
    <row r="308">
      <c r="J308" s="284" t="n"/>
      <c r="K308" s="283" t="n"/>
      <c r="O308" s="283" t="n"/>
    </row>
    <row r="309">
      <c r="J309" s="284" t="n"/>
      <c r="K309" s="283" t="n"/>
      <c r="O309" s="283" t="n"/>
    </row>
    <row r="310">
      <c r="J310" s="284" t="n"/>
      <c r="K310" s="283" t="n"/>
      <c r="O310" s="283" t="n"/>
    </row>
    <row r="311">
      <c r="J311" s="284" t="n"/>
      <c r="K311" s="283" t="n"/>
      <c r="O311" s="283" t="n"/>
    </row>
    <row r="312">
      <c r="J312" s="284" t="n"/>
      <c r="K312" s="283" t="n"/>
      <c r="O312" s="283" t="n"/>
    </row>
    <row r="313">
      <c r="J313" s="284" t="n"/>
      <c r="K313" s="283" t="n"/>
      <c r="O313" s="283" t="n"/>
    </row>
    <row r="314">
      <c r="J314" s="284" t="n"/>
      <c r="K314" s="283" t="n"/>
      <c r="O314" s="283" t="n"/>
    </row>
    <row r="315">
      <c r="J315" s="284" t="n"/>
      <c r="K315" s="283" t="n"/>
      <c r="O315" s="283" t="n"/>
    </row>
    <row r="316">
      <c r="J316" s="284" t="n"/>
      <c r="K316" s="283" t="n"/>
      <c r="O316" s="283" t="n"/>
    </row>
    <row r="317">
      <c r="J317" s="284" t="n"/>
      <c r="K317" s="283" t="n"/>
      <c r="O317" s="283" t="n"/>
    </row>
    <row r="318">
      <c r="J318" s="284" t="n"/>
      <c r="K318" s="283" t="n"/>
      <c r="O318" s="283" t="n"/>
    </row>
    <row r="319">
      <c r="J319" s="284" t="n"/>
      <c r="K319" s="283" t="n"/>
      <c r="O319" s="283" t="n"/>
    </row>
    <row r="320">
      <c r="J320" s="284" t="n"/>
      <c r="K320" s="283" t="n"/>
      <c r="O320" s="283" t="n"/>
    </row>
    <row r="321">
      <c r="J321" s="284" t="n"/>
      <c r="K321" s="283" t="n"/>
      <c r="O321" s="283" t="n"/>
    </row>
    <row r="322">
      <c r="J322" s="284" t="n"/>
      <c r="K322" s="283" t="n"/>
      <c r="O322" s="283" t="n"/>
    </row>
    <row r="323">
      <c r="J323" s="284" t="n"/>
      <c r="K323" s="283" t="n"/>
      <c r="O323" s="283" t="n"/>
    </row>
    <row r="324">
      <c r="J324" s="284" t="n"/>
      <c r="K324" s="283" t="n"/>
      <c r="O324" s="283" t="n"/>
    </row>
    <row r="325">
      <c r="J325" s="284" t="n"/>
      <c r="K325" s="283" t="n"/>
      <c r="O325" s="283" t="n"/>
    </row>
    <row r="326">
      <c r="J326" s="284" t="n"/>
      <c r="K326" s="283" t="n"/>
      <c r="O326" s="283" t="n"/>
    </row>
    <row r="327">
      <c r="J327" s="284" t="n"/>
      <c r="K327" s="283" t="n"/>
      <c r="O327" s="283" t="n"/>
    </row>
    <row r="328">
      <c r="J328" s="284" t="n"/>
      <c r="K328" s="283" t="n"/>
      <c r="O328" s="283" t="n"/>
    </row>
    <row r="329">
      <c r="J329" s="284" t="n"/>
      <c r="K329" s="283" t="n"/>
      <c r="O329" s="283" t="n"/>
    </row>
    <row r="330">
      <c r="J330" s="284" t="n"/>
      <c r="K330" s="283" t="n"/>
      <c r="O330" s="283" t="n"/>
    </row>
    <row r="331">
      <c r="J331" s="284" t="n"/>
      <c r="K331" s="283" t="n"/>
      <c r="O331" s="283" t="n"/>
    </row>
    <row r="332">
      <c r="J332" s="284" t="n"/>
      <c r="K332" s="283" t="n"/>
      <c r="O332" s="283" t="n"/>
    </row>
    <row r="333">
      <c r="J333" s="284" t="n"/>
      <c r="K333" s="283" t="n"/>
      <c r="O333" s="283" t="n"/>
    </row>
    <row r="334">
      <c r="J334" s="284" t="n"/>
      <c r="K334" s="283" t="n"/>
      <c r="O334" s="283" t="n"/>
    </row>
    <row r="335">
      <c r="J335" s="284" t="n"/>
      <c r="K335" s="283" t="n"/>
      <c r="O335" s="283" t="n"/>
    </row>
    <row r="336">
      <c r="J336" s="284" t="n"/>
      <c r="K336" s="283" t="n"/>
      <c r="O336" s="283" t="n"/>
    </row>
    <row r="337">
      <c r="J337" s="284" t="n"/>
      <c r="K337" s="283" t="n"/>
      <c r="O337" s="283" t="n"/>
    </row>
    <row r="338">
      <c r="J338" s="284" t="n"/>
      <c r="K338" s="283" t="n"/>
      <c r="O338" s="283" t="n"/>
    </row>
    <row r="339">
      <c r="J339" s="284" t="n"/>
      <c r="K339" s="283" t="n"/>
      <c r="O339" s="283" t="n"/>
    </row>
    <row r="340">
      <c r="J340" s="284" t="n"/>
      <c r="K340" s="283" t="n"/>
      <c r="O340" s="283" t="n"/>
    </row>
    <row r="341">
      <c r="J341" s="284" t="n"/>
      <c r="K341" s="283" t="n"/>
      <c r="O341" s="283" t="n"/>
    </row>
    <row r="342">
      <c r="J342" s="284" t="n"/>
      <c r="K342" s="283" t="n"/>
      <c r="O342" s="283" t="n"/>
    </row>
    <row r="343">
      <c r="J343" s="284" t="n"/>
      <c r="K343" s="283" t="n"/>
      <c r="O343" s="283" t="n"/>
    </row>
    <row r="344">
      <c r="J344" s="284" t="n"/>
      <c r="K344" s="283" t="n"/>
      <c r="O344" s="283" t="n"/>
    </row>
    <row r="345">
      <c r="J345" s="284" t="n"/>
      <c r="K345" s="283" t="n"/>
      <c r="O345" s="283" t="n"/>
    </row>
    <row r="346">
      <c r="J346" s="284" t="n"/>
      <c r="K346" s="283" t="n"/>
      <c r="O346" s="283" t="n"/>
    </row>
    <row r="347">
      <c r="J347" s="284" t="n"/>
      <c r="K347" s="283" t="n"/>
      <c r="O347" s="283" t="n"/>
    </row>
    <row r="348">
      <c r="J348" s="284" t="n"/>
      <c r="K348" s="283" t="n"/>
      <c r="O348" s="283" t="n"/>
    </row>
    <row r="349">
      <c r="J349" s="284" t="n"/>
      <c r="K349" s="283" t="n"/>
      <c r="O349" s="283" t="n"/>
    </row>
    <row r="350">
      <c r="J350" s="284" t="n"/>
      <c r="K350" s="283" t="n"/>
      <c r="O350" s="283" t="n"/>
    </row>
    <row r="351">
      <c r="J351" s="284" t="n"/>
      <c r="K351" s="283" t="n"/>
      <c r="O351" s="283" t="n"/>
    </row>
    <row r="352">
      <c r="J352" s="284" t="n"/>
      <c r="K352" s="283" t="n"/>
      <c r="O352" s="283" t="n"/>
    </row>
    <row r="353">
      <c r="J353" s="284" t="n"/>
      <c r="K353" s="283" t="n"/>
      <c r="O353" s="283" t="n"/>
    </row>
    <row r="354">
      <c r="J354" s="284" t="n"/>
      <c r="K354" s="283" t="n"/>
      <c r="O354" s="283" t="n"/>
    </row>
    <row r="355">
      <c r="J355" s="284" t="n"/>
      <c r="K355" s="283" t="n"/>
      <c r="O355" s="283" t="n"/>
    </row>
    <row r="356">
      <c r="J356" s="284" t="n"/>
      <c r="K356" s="283" t="n"/>
      <c r="O356" s="283" t="n"/>
    </row>
    <row r="357">
      <c r="J357" s="284" t="n"/>
      <c r="K357" s="283" t="n"/>
      <c r="O357" s="283" t="n"/>
    </row>
    <row r="358">
      <c r="J358" s="284" t="n"/>
      <c r="K358" s="283" t="n"/>
      <c r="O358" s="283" t="n"/>
    </row>
    <row r="359">
      <c r="J359" s="284" t="n"/>
      <c r="K359" s="283" t="n"/>
      <c r="O359" s="283" t="n"/>
    </row>
    <row r="360">
      <c r="J360" s="284" t="n"/>
      <c r="K360" s="283" t="n"/>
      <c r="O360" s="283" t="n"/>
    </row>
    <row r="361">
      <c r="J361" s="284" t="n"/>
      <c r="K361" s="283" t="n"/>
      <c r="O361" s="283" t="n"/>
    </row>
    <row r="362">
      <c r="J362" s="284" t="n"/>
      <c r="K362" s="283" t="n"/>
      <c r="O362" s="283" t="n"/>
    </row>
    <row r="363">
      <c r="J363" s="284" t="n"/>
      <c r="K363" s="283" t="n"/>
      <c r="O363" s="283" t="n"/>
    </row>
    <row r="364">
      <c r="J364" s="284" t="n"/>
      <c r="K364" s="283" t="n"/>
      <c r="O364" s="283" t="n"/>
    </row>
    <row r="365">
      <c r="J365" s="284" t="n"/>
      <c r="K365" s="283" t="n"/>
      <c r="O365" s="283" t="n"/>
    </row>
    <row r="366">
      <c r="J366" s="284" t="n"/>
      <c r="K366" s="283" t="n"/>
      <c r="O366" s="283" t="n"/>
    </row>
    <row r="367">
      <c r="J367" s="284" t="n"/>
      <c r="K367" s="283" t="n"/>
      <c r="O367" s="283" t="n"/>
    </row>
    <row r="368">
      <c r="J368" s="284" t="n"/>
      <c r="K368" s="283" t="n"/>
      <c r="O368" s="283" t="n"/>
    </row>
    <row r="369">
      <c r="J369" s="284" t="n"/>
      <c r="K369" s="283" t="n"/>
      <c r="O369" s="283" t="n"/>
    </row>
    <row r="370">
      <c r="J370" s="284" t="n"/>
      <c r="K370" s="283" t="n"/>
      <c r="O370" s="283" t="n"/>
    </row>
    <row r="371">
      <c r="J371" s="284" t="n"/>
      <c r="K371" s="283" t="n"/>
      <c r="O371" s="283" t="n"/>
    </row>
    <row r="372">
      <c r="J372" s="284" t="n"/>
      <c r="K372" s="283" t="n"/>
      <c r="O372" s="283" t="n"/>
    </row>
    <row r="373">
      <c r="J373" s="284" t="n"/>
      <c r="K373" s="283" t="n"/>
      <c r="O373" s="283" t="n"/>
    </row>
    <row r="374">
      <c r="J374" s="284" t="n"/>
      <c r="K374" s="283" t="n"/>
      <c r="O374" s="283" t="n"/>
    </row>
    <row r="375">
      <c r="J375" s="284" t="n"/>
      <c r="K375" s="283" t="n"/>
      <c r="O375" s="283" t="n"/>
    </row>
    <row r="376">
      <c r="J376" s="284" t="n"/>
      <c r="K376" s="283" t="n"/>
      <c r="O376" s="283" t="n"/>
    </row>
    <row r="377">
      <c r="J377" s="284" t="n"/>
      <c r="K377" s="283" t="n"/>
      <c r="O377" s="283" t="n"/>
    </row>
    <row r="378">
      <c r="J378" s="284" t="n"/>
      <c r="K378" s="283" t="n"/>
      <c r="O378" s="283" t="n"/>
    </row>
    <row r="379">
      <c r="J379" s="284" t="n"/>
      <c r="K379" s="283" t="n"/>
      <c r="O379" s="283" t="n"/>
    </row>
    <row r="380">
      <c r="J380" s="284" t="n"/>
      <c r="K380" s="283" t="n"/>
      <c r="O380" s="283" t="n"/>
    </row>
    <row r="381">
      <c r="J381" s="284" t="n"/>
      <c r="K381" s="283" t="n"/>
      <c r="O381" s="283" t="n"/>
    </row>
    <row r="382">
      <c r="J382" s="284" t="n"/>
      <c r="K382" s="283" t="n"/>
      <c r="O382" s="283" t="n"/>
    </row>
    <row r="383">
      <c r="J383" s="284" t="n"/>
      <c r="K383" s="283" t="n"/>
      <c r="O383" s="283" t="n"/>
    </row>
    <row r="384">
      <c r="J384" s="284" t="n"/>
      <c r="K384" s="283" t="n"/>
      <c r="O384" s="283" t="n"/>
    </row>
    <row r="385">
      <c r="J385" s="284" t="n"/>
      <c r="K385" s="283" t="n"/>
      <c r="O385" s="283" t="n"/>
    </row>
    <row r="386">
      <c r="J386" s="284" t="n"/>
      <c r="K386" s="283" t="n"/>
      <c r="O386" s="283" t="n"/>
    </row>
    <row r="387">
      <c r="J387" s="284" t="n"/>
      <c r="K387" s="283" t="n"/>
      <c r="O387" s="283" t="n"/>
    </row>
    <row r="388">
      <c r="J388" s="284" t="n"/>
      <c r="K388" s="283" t="n"/>
      <c r="O388" s="283" t="n"/>
    </row>
    <row r="389">
      <c r="J389" s="284" t="n"/>
      <c r="K389" s="283" t="n"/>
      <c r="O389" s="283" t="n"/>
    </row>
    <row r="390">
      <c r="J390" s="284" t="n"/>
      <c r="K390" s="283" t="n"/>
      <c r="O390" s="283" t="n"/>
    </row>
    <row r="391">
      <c r="J391" s="284" t="n"/>
      <c r="K391" s="283" t="n"/>
      <c r="O391" s="283" t="n"/>
    </row>
    <row r="392">
      <c r="J392" s="284" t="n"/>
      <c r="K392" s="283" t="n"/>
      <c r="O392" s="283" t="n"/>
    </row>
    <row r="393">
      <c r="J393" s="284" t="n"/>
      <c r="K393" s="283" t="n"/>
      <c r="O393" s="283" t="n"/>
    </row>
    <row r="394">
      <c r="J394" s="284" t="n"/>
      <c r="K394" s="283" t="n"/>
      <c r="O394" s="283" t="n"/>
    </row>
    <row r="395">
      <c r="J395" s="284" t="n"/>
      <c r="K395" s="283" t="n"/>
      <c r="O395" s="283" t="n"/>
    </row>
    <row r="396">
      <c r="J396" s="284" t="n"/>
      <c r="K396" s="283" t="n"/>
      <c r="O396" s="283" t="n"/>
    </row>
    <row r="397">
      <c r="J397" s="284" t="n"/>
      <c r="K397" s="283" t="n"/>
      <c r="O397" s="283" t="n"/>
    </row>
    <row r="398">
      <c r="J398" s="284" t="n"/>
      <c r="K398" s="283" t="n"/>
      <c r="O398" s="283" t="n"/>
    </row>
    <row r="399">
      <c r="J399" s="284" t="n"/>
      <c r="K399" s="283" t="n"/>
      <c r="O399" s="283" t="n"/>
    </row>
    <row r="400">
      <c r="J400" s="284" t="n"/>
      <c r="K400" s="283" t="n"/>
      <c r="O400" s="283" t="n"/>
    </row>
    <row r="401">
      <c r="J401" s="284" t="n"/>
      <c r="K401" s="283" t="n"/>
      <c r="O401" s="283" t="n"/>
    </row>
    <row r="402">
      <c r="J402" s="284" t="n"/>
      <c r="K402" s="283" t="n"/>
      <c r="O402" s="283" t="n"/>
    </row>
    <row r="403">
      <c r="J403" s="284" t="n"/>
      <c r="K403" s="283" t="n"/>
      <c r="O403" s="283" t="n"/>
    </row>
    <row r="404">
      <c r="J404" s="284" t="n"/>
      <c r="K404" s="283" t="n"/>
      <c r="O404" s="283" t="n"/>
    </row>
    <row r="405">
      <c r="J405" s="284" t="n"/>
      <c r="K405" s="283" t="n"/>
      <c r="O405" s="283" t="n"/>
    </row>
    <row r="406">
      <c r="J406" s="284" t="n"/>
      <c r="K406" s="283" t="n"/>
      <c r="O406" s="283" t="n"/>
    </row>
    <row r="407">
      <c r="J407" s="284" t="n"/>
      <c r="K407" s="283" t="n"/>
      <c r="O407" s="283" t="n"/>
    </row>
    <row r="408">
      <c r="J408" s="284" t="n"/>
      <c r="K408" s="283" t="n"/>
      <c r="O408" s="283" t="n"/>
    </row>
    <row r="409">
      <c r="J409" s="284" t="n"/>
      <c r="K409" s="283" t="n"/>
      <c r="O409" s="283" t="n"/>
    </row>
    <row r="410">
      <c r="J410" s="284" t="n"/>
      <c r="K410" s="283" t="n"/>
      <c r="O410" s="283" t="n"/>
    </row>
    <row r="411">
      <c r="J411" s="284" t="n"/>
      <c r="K411" s="283" t="n"/>
      <c r="O411" s="283" t="n"/>
    </row>
    <row r="412">
      <c r="J412" s="284" t="n"/>
      <c r="K412" s="283" t="n"/>
      <c r="O412" s="283" t="n"/>
    </row>
    <row r="413">
      <c r="J413" s="284" t="n"/>
      <c r="K413" s="283" t="n"/>
      <c r="O413" s="283" t="n"/>
    </row>
    <row r="414">
      <c r="J414" s="284" t="n"/>
      <c r="K414" s="283" t="n"/>
      <c r="O414" s="283" t="n"/>
    </row>
    <row r="415">
      <c r="J415" s="284" t="n"/>
      <c r="K415" s="283" t="n"/>
      <c r="O415" s="283" t="n"/>
    </row>
    <row r="416">
      <c r="J416" s="284" t="n"/>
      <c r="K416" s="283" t="n"/>
      <c r="O416" s="283" t="n"/>
    </row>
    <row r="417">
      <c r="J417" s="284" t="n"/>
      <c r="K417" s="283" t="n"/>
      <c r="O417" s="283" t="n"/>
    </row>
    <row r="418">
      <c r="J418" s="284" t="n"/>
      <c r="K418" s="283" t="n"/>
      <c r="O418" s="283" t="n"/>
    </row>
    <row r="419">
      <c r="J419" s="284" t="n"/>
      <c r="K419" s="283" t="n"/>
      <c r="O419" s="283" t="n"/>
    </row>
    <row r="420">
      <c r="J420" s="284" t="n"/>
      <c r="K420" s="283" t="n"/>
      <c r="O420" s="283" t="n"/>
    </row>
    <row r="421">
      <c r="J421" s="284" t="n"/>
      <c r="K421" s="283" t="n"/>
      <c r="O421" s="283" t="n"/>
    </row>
    <row r="422">
      <c r="J422" s="284" t="n"/>
      <c r="K422" s="283" t="n"/>
      <c r="O422" s="283" t="n"/>
    </row>
    <row r="423">
      <c r="J423" s="284" t="n"/>
      <c r="K423" s="283" t="n"/>
      <c r="O423" s="283" t="n"/>
    </row>
    <row r="424">
      <c r="J424" s="284" t="n"/>
      <c r="K424" s="283" t="n"/>
      <c r="O424" s="283" t="n"/>
    </row>
    <row r="425">
      <c r="J425" s="284" t="n"/>
      <c r="K425" s="283" t="n"/>
      <c r="O425" s="283" t="n"/>
    </row>
    <row r="426">
      <c r="J426" s="284" t="n"/>
      <c r="K426" s="283" t="n"/>
      <c r="O426" s="283" t="n"/>
    </row>
    <row r="427">
      <c r="J427" s="284" t="n"/>
      <c r="K427" s="283" t="n"/>
      <c r="O427" s="283" t="n"/>
    </row>
    <row r="428">
      <c r="J428" s="284" t="n"/>
      <c r="K428" s="283" t="n"/>
      <c r="O428" s="283" t="n"/>
    </row>
    <row r="429">
      <c r="J429" s="284" t="n"/>
      <c r="K429" s="283" t="n"/>
      <c r="O429" s="283" t="n"/>
    </row>
    <row r="430">
      <c r="J430" s="284" t="n"/>
      <c r="K430" s="283" t="n"/>
      <c r="O430" s="283" t="n"/>
    </row>
    <row r="431">
      <c r="J431" s="284" t="n"/>
      <c r="K431" s="283" t="n"/>
      <c r="O431" s="283" t="n"/>
    </row>
    <row r="432">
      <c r="J432" s="284" t="n"/>
      <c r="K432" s="283" t="n"/>
      <c r="O432" s="283" t="n"/>
    </row>
    <row r="433">
      <c r="J433" s="284" t="n"/>
      <c r="K433" s="283" t="n"/>
      <c r="O433" s="283" t="n"/>
    </row>
    <row r="434">
      <c r="J434" s="284" t="n"/>
      <c r="K434" s="283" t="n"/>
      <c r="O434" s="283" t="n"/>
    </row>
    <row r="435">
      <c r="J435" s="284" t="n"/>
      <c r="K435" s="283" t="n"/>
      <c r="O435" s="283" t="n"/>
    </row>
    <row r="436">
      <c r="J436" s="284" t="n"/>
      <c r="K436" s="283" t="n"/>
      <c r="O436" s="283" t="n"/>
    </row>
    <row r="437">
      <c r="J437" s="284" t="n"/>
      <c r="K437" s="283" t="n"/>
      <c r="O437" s="283" t="n"/>
    </row>
    <row r="438">
      <c r="J438" s="284" t="n"/>
      <c r="K438" s="283" t="n"/>
      <c r="O438" s="283" t="n"/>
    </row>
    <row r="439">
      <c r="J439" s="284" t="n"/>
      <c r="K439" s="283" t="n"/>
      <c r="O439" s="283" t="n"/>
    </row>
    <row r="440">
      <c r="J440" s="284" t="n"/>
      <c r="K440" s="283" t="n"/>
      <c r="O440" s="283" t="n"/>
    </row>
    <row r="441">
      <c r="J441" s="284" t="n"/>
      <c r="K441" s="283" t="n"/>
      <c r="O441" s="283" t="n"/>
    </row>
    <row r="442">
      <c r="J442" s="284" t="n"/>
      <c r="K442" s="283" t="n"/>
      <c r="O442" s="283" t="n"/>
    </row>
    <row r="443">
      <c r="J443" s="284" t="n"/>
      <c r="K443" s="283" t="n"/>
      <c r="O443" s="283" t="n"/>
    </row>
    <row r="444">
      <c r="J444" s="284" t="n"/>
      <c r="K444" s="283" t="n"/>
      <c r="O444" s="283" t="n"/>
    </row>
    <row r="445">
      <c r="J445" s="284" t="n"/>
      <c r="K445" s="283" t="n"/>
      <c r="O445" s="283" t="n"/>
    </row>
    <row r="446">
      <c r="J446" s="284" t="n"/>
      <c r="K446" s="283" t="n"/>
      <c r="O446" s="283" t="n"/>
    </row>
    <row r="447">
      <c r="J447" s="284" t="n"/>
      <c r="K447" s="283" t="n"/>
      <c r="O447" s="283" t="n"/>
    </row>
    <row r="448">
      <c r="J448" s="284" t="n"/>
      <c r="K448" s="283" t="n"/>
      <c r="O448" s="283" t="n"/>
    </row>
    <row r="449">
      <c r="J449" s="284" t="n"/>
      <c r="K449" s="283" t="n"/>
      <c r="O449" s="283" t="n"/>
    </row>
    <row r="450">
      <c r="J450" s="284" t="n"/>
      <c r="K450" s="283" t="n"/>
      <c r="O450" s="283" t="n"/>
    </row>
    <row r="451">
      <c r="J451" s="284" t="n"/>
      <c r="K451" s="283" t="n"/>
      <c r="O451" s="283" t="n"/>
    </row>
    <row r="452">
      <c r="J452" s="284" t="n"/>
      <c r="K452" s="283" t="n"/>
      <c r="O452" s="283" t="n"/>
    </row>
    <row r="453">
      <c r="J453" s="284" t="n"/>
      <c r="K453" s="283" t="n"/>
      <c r="O453" s="283" t="n"/>
    </row>
    <row r="454">
      <c r="J454" s="284" t="n"/>
      <c r="K454" s="283" t="n"/>
      <c r="O454" s="283" t="n"/>
    </row>
    <row r="455">
      <c r="J455" s="284" t="n"/>
      <c r="K455" s="283" t="n"/>
      <c r="O455" s="283" t="n"/>
    </row>
    <row r="456">
      <c r="J456" s="284" t="n"/>
      <c r="K456" s="283" t="n"/>
      <c r="O456" s="283" t="n"/>
    </row>
    <row r="457">
      <c r="J457" s="284" t="n"/>
      <c r="K457" s="283" t="n"/>
      <c r="O457" s="283" t="n"/>
    </row>
    <row r="458">
      <c r="J458" s="284" t="n"/>
      <c r="K458" s="283" t="n"/>
      <c r="O458" s="283" t="n"/>
    </row>
    <row r="459">
      <c r="J459" s="284" t="n"/>
      <c r="K459" s="283" t="n"/>
      <c r="O459" s="283" t="n"/>
    </row>
    <row r="460">
      <c r="J460" s="284" t="n"/>
      <c r="K460" s="283" t="n"/>
      <c r="O460" s="283" t="n"/>
    </row>
    <row r="461">
      <c r="J461" s="284" t="n"/>
      <c r="K461" s="283" t="n"/>
      <c r="O461" s="283" t="n"/>
    </row>
    <row r="462">
      <c r="J462" s="284" t="n"/>
      <c r="K462" s="283" t="n"/>
      <c r="O462" s="283" t="n"/>
    </row>
    <row r="463">
      <c r="J463" s="284" t="n"/>
      <c r="K463" s="283" t="n"/>
      <c r="O463" s="283" t="n"/>
    </row>
    <row r="464">
      <c r="J464" s="284" t="n"/>
      <c r="K464" s="283" t="n"/>
      <c r="O464" s="283" t="n"/>
    </row>
    <row r="465">
      <c r="J465" s="284" t="n"/>
      <c r="K465" s="283" t="n"/>
      <c r="O465" s="283" t="n"/>
    </row>
    <row r="466">
      <c r="J466" s="284" t="n"/>
      <c r="K466" s="283" t="n"/>
      <c r="O466" s="283" t="n"/>
    </row>
    <row r="467">
      <c r="J467" s="284" t="n"/>
      <c r="K467" s="283" t="n"/>
      <c r="O467" s="283" t="n"/>
    </row>
    <row r="468">
      <c r="J468" s="284" t="n"/>
      <c r="K468" s="283" t="n"/>
      <c r="O468" s="283" t="n"/>
    </row>
    <row r="469">
      <c r="J469" s="284" t="n"/>
      <c r="K469" s="283" t="n"/>
      <c r="O469" s="283" t="n"/>
    </row>
    <row r="470">
      <c r="J470" s="284" t="n"/>
      <c r="K470" s="283" t="n"/>
      <c r="O470" s="283" t="n"/>
    </row>
    <row r="471">
      <c r="J471" s="284" t="n"/>
      <c r="K471" s="283" t="n"/>
      <c r="O471" s="283" t="n"/>
    </row>
    <row r="472">
      <c r="J472" s="284" t="n"/>
      <c r="K472" s="283" t="n"/>
      <c r="O472" s="283" t="n"/>
    </row>
    <row r="473">
      <c r="J473" s="284" t="n"/>
      <c r="K473" s="283" t="n"/>
      <c r="O473" s="283" t="n"/>
    </row>
    <row r="474">
      <c r="J474" s="284" t="n"/>
      <c r="K474" s="283" t="n"/>
      <c r="O474" s="283" t="n"/>
    </row>
    <row r="475">
      <c r="J475" s="284" t="n"/>
      <c r="K475" s="283" t="n"/>
      <c r="O475" s="283" t="n"/>
    </row>
    <row r="476">
      <c r="J476" s="284" t="n"/>
      <c r="K476" s="283" t="n"/>
      <c r="O476" s="283" t="n"/>
    </row>
    <row r="477">
      <c r="J477" s="284" t="n"/>
      <c r="K477" s="283" t="n"/>
      <c r="O477" s="283" t="n"/>
    </row>
    <row r="478">
      <c r="J478" s="284" t="n"/>
      <c r="K478" s="283" t="n"/>
      <c r="O478" s="283" t="n"/>
    </row>
    <row r="479">
      <c r="J479" s="284" t="n"/>
      <c r="K479" s="283" t="n"/>
      <c r="O479" s="283" t="n"/>
    </row>
    <row r="480">
      <c r="J480" s="284" t="n"/>
      <c r="K480" s="283" t="n"/>
      <c r="O480" s="283" t="n"/>
    </row>
    <row r="481">
      <c r="J481" s="284" t="n"/>
      <c r="K481" s="283" t="n"/>
      <c r="O481" s="283" t="n"/>
    </row>
    <row r="482">
      <c r="J482" s="284" t="n"/>
      <c r="K482" s="283" t="n"/>
      <c r="O482" s="283" t="n"/>
    </row>
    <row r="483">
      <c r="J483" s="284" t="n"/>
      <c r="K483" s="283" t="n"/>
      <c r="O483" s="283" t="n"/>
    </row>
    <row r="484">
      <c r="J484" s="284" t="n"/>
      <c r="K484" s="283" t="n"/>
      <c r="O484" s="283" t="n"/>
    </row>
    <row r="485">
      <c r="J485" s="284" t="n"/>
      <c r="K485" s="283" t="n"/>
      <c r="O485" s="283" t="n"/>
    </row>
    <row r="486">
      <c r="J486" s="284" t="n"/>
      <c r="K486" s="283" t="n"/>
      <c r="O486" s="283" t="n"/>
    </row>
    <row r="487">
      <c r="J487" s="284" t="n"/>
      <c r="K487" s="283" t="n"/>
      <c r="O487" s="283" t="n"/>
    </row>
    <row r="488">
      <c r="J488" s="284" t="n"/>
      <c r="K488" s="283" t="n"/>
      <c r="O488" s="283" t="n"/>
    </row>
    <row r="489">
      <c r="J489" s="284" t="n"/>
      <c r="K489" s="283" t="n"/>
      <c r="O489" s="283" t="n"/>
    </row>
    <row r="490">
      <c r="J490" s="284" t="n"/>
      <c r="K490" s="283" t="n"/>
      <c r="O490" s="283" t="n"/>
    </row>
    <row r="491">
      <c r="J491" s="284" t="n"/>
      <c r="K491" s="283" t="n"/>
      <c r="O491" s="283" t="n"/>
    </row>
    <row r="492">
      <c r="J492" s="284" t="n"/>
      <c r="K492" s="283" t="n"/>
      <c r="O492" s="283" t="n"/>
    </row>
    <row r="493">
      <c r="J493" s="284" t="n"/>
      <c r="K493" s="283" t="n"/>
      <c r="O493" s="283" t="n"/>
    </row>
    <row r="494">
      <c r="J494" s="284" t="n"/>
      <c r="K494" s="283" t="n"/>
      <c r="O494" s="283" t="n"/>
    </row>
    <row r="495">
      <c r="J495" s="284" t="n"/>
      <c r="K495" s="283" t="n"/>
      <c r="O495" s="283" t="n"/>
    </row>
    <row r="496">
      <c r="J496" s="284" t="n"/>
      <c r="K496" s="283" t="n"/>
      <c r="O496" s="283" t="n"/>
    </row>
    <row r="497">
      <c r="J497" s="284" t="n"/>
      <c r="K497" s="283" t="n"/>
      <c r="O497" s="283" t="n"/>
    </row>
    <row r="498">
      <c r="J498" s="284" t="n"/>
      <c r="K498" s="283" t="n"/>
      <c r="O498" s="283" t="n"/>
    </row>
    <row r="499">
      <c r="J499" s="284" t="n"/>
      <c r="K499" s="283" t="n"/>
      <c r="O499" s="283" t="n"/>
    </row>
    <row r="500">
      <c r="J500" s="284" t="n"/>
      <c r="K500" s="283" t="n"/>
      <c r="O500" s="283" t="n"/>
    </row>
    <row r="501">
      <c r="J501" s="284" t="n"/>
      <c r="K501" s="283" t="n"/>
      <c r="O501" s="283" t="n"/>
    </row>
    <row r="502">
      <c r="J502" s="284" t="n"/>
      <c r="K502" s="283" t="n"/>
      <c r="O502" s="283" t="n"/>
    </row>
    <row r="503">
      <c r="J503" s="284" t="n"/>
      <c r="K503" s="283" t="n"/>
      <c r="O503" s="283" t="n"/>
    </row>
    <row r="504">
      <c r="J504" s="284" t="n"/>
      <c r="K504" s="283" t="n"/>
      <c r="O504" s="283" t="n"/>
    </row>
    <row r="505">
      <c r="J505" s="284" t="n"/>
      <c r="K505" s="283" t="n"/>
      <c r="O505" s="283" t="n"/>
    </row>
  </sheetData>
  <mergeCells count="2">
    <mergeCell ref="A1:P2"/>
    <mergeCell ref="A3:P3"/>
  </mergeCells>
  <conditionalFormatting sqref="L6:L505">
    <cfRule type="expression" priority="1" dxfId="0">
      <formula>L6="Approve"</formula>
    </cfRule>
    <cfRule type="expression" priority="2" dxfId="9">
      <formula>L6="Reject"</formula>
    </cfRule>
    <cfRule type="expression" priority="3" dxfId="1">
      <formula>L6="Hold"</formula>
    </cfRule>
  </conditionalFormatting>
  <dataValidations count="2">
    <dataValidation sqref="I6:I505" showDropDown="0" showInputMessage="0" showErrorMessage="0" allowBlank="0" type="list">
      <formula1>"New Tender,Field Update,Date Extension,Corrigendum,Closure,Cancellation,Award"</formula1>
    </dataValidation>
    <dataValidation sqref="L6:L505" showDropDown="0" showInputMessage="0" showErrorMessage="0" allowBlank="0" type="list">
      <formula1>"Pending,Approve,Reject,Hold"</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18" customWidth="1" style="64" min="5" max="5"/>
    <col width="16" customWidth="1" style="64" min="6" max="6"/>
    <col width="42" customWidth="1" style="64" min="7" max="7"/>
    <col width="16" customWidth="1" style="64" min="8" max="8"/>
    <col width="16" customWidth="1" style="64" min="9" max="9"/>
    <col width="16" customWidth="1" style="64" min="10" max="10"/>
    <col width="40" customWidth="1" style="64" min="11" max="11"/>
    <col width="34" customWidth="1" style="64" min="12" max="12"/>
  </cols>
  <sheetData>
    <row r="1">
      <c r="A1" s="289" t="inlineStr">
        <is>
          <t>Tender Snapshot Registry</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122" t="inlineStr">
        <is>
          <t>Snapshot ID</t>
        </is>
      </c>
      <c r="B4" s="122" t="inlineStr">
        <is>
          <t>Tender ID</t>
        </is>
      </c>
      <c r="C4" s="122" t="inlineStr">
        <is>
          <t>Agency</t>
        </is>
      </c>
      <c r="D4" s="122" t="inlineStr">
        <is>
          <t>Tender Number</t>
        </is>
      </c>
      <c r="E4" s="122" t="inlineStr">
        <is>
          <t>Captured On</t>
        </is>
      </c>
      <c r="F4" s="122" t="inlineStr">
        <is>
          <t>Source Type</t>
        </is>
      </c>
      <c r="G4" s="122" t="inlineStr">
        <is>
          <t>Source URL</t>
        </is>
      </c>
      <c r="H4" s="122" t="inlineStr">
        <is>
          <t>Status</t>
        </is>
      </c>
      <c r="I4" s="122" t="inlineStr">
        <is>
          <t>Submission Date</t>
        </is>
      </c>
      <c r="J4" s="122" t="inlineStr">
        <is>
          <t>Corrigendum Count</t>
        </is>
      </c>
      <c r="K4" s="122" t="inlineStr">
        <is>
          <t>Fingerprint</t>
        </is>
      </c>
      <c r="L4" s="122" t="inlineStr">
        <is>
          <t>Raw Snapshot File</t>
        </is>
      </c>
    </row>
    <row r="5">
      <c r="E5" s="283" t="n"/>
      <c r="I5" s="281" t="n"/>
    </row>
    <row r="6">
      <c r="E6" s="283" t="n"/>
      <c r="I6" s="281" t="n"/>
    </row>
    <row r="7">
      <c r="E7" s="283" t="n"/>
      <c r="I7" s="281" t="n"/>
    </row>
    <row r="8">
      <c r="E8" s="283" t="n"/>
      <c r="I8" s="281" t="n"/>
    </row>
    <row r="9">
      <c r="E9" s="283" t="n"/>
      <c r="I9" s="281" t="n"/>
    </row>
    <row r="10">
      <c r="E10" s="283" t="n"/>
      <c r="I10" s="281" t="n"/>
    </row>
    <row r="11">
      <c r="E11" s="283" t="n"/>
      <c r="I11" s="281" t="n"/>
    </row>
    <row r="12">
      <c r="E12" s="283" t="n"/>
      <c r="I12" s="281" t="n"/>
    </row>
    <row r="13">
      <c r="E13" s="283" t="n"/>
      <c r="I13" s="281" t="n"/>
    </row>
    <row r="14">
      <c r="E14" s="283" t="n"/>
      <c r="I14" s="281" t="n"/>
    </row>
    <row r="15">
      <c r="E15" s="283" t="n"/>
      <c r="I15" s="281" t="n"/>
    </row>
    <row r="16">
      <c r="E16" s="283" t="n"/>
      <c r="I16" s="281" t="n"/>
    </row>
    <row r="17">
      <c r="E17" s="283" t="n"/>
      <c r="I17" s="281" t="n"/>
    </row>
    <row r="18">
      <c r="E18" s="283" t="n"/>
      <c r="I18" s="281" t="n"/>
    </row>
    <row r="19">
      <c r="E19" s="283" t="n"/>
      <c r="I19" s="281" t="n"/>
    </row>
    <row r="20">
      <c r="E20" s="283" t="n"/>
      <c r="I20" s="281" t="n"/>
    </row>
    <row r="21">
      <c r="E21" s="283" t="n"/>
      <c r="I21" s="281" t="n"/>
    </row>
    <row r="22">
      <c r="E22" s="283" t="n"/>
      <c r="I22" s="281" t="n"/>
    </row>
    <row r="23">
      <c r="E23" s="283" t="n"/>
      <c r="I23" s="281" t="n"/>
    </row>
    <row r="24">
      <c r="E24" s="283" t="n"/>
      <c r="I24" s="281" t="n"/>
    </row>
    <row r="25">
      <c r="E25" s="283" t="n"/>
      <c r="I25" s="281" t="n"/>
    </row>
    <row r="26">
      <c r="E26" s="283" t="n"/>
      <c r="I26" s="281" t="n"/>
    </row>
    <row r="27">
      <c r="E27" s="283" t="n"/>
      <c r="I27" s="281" t="n"/>
    </row>
    <row r="28">
      <c r="E28" s="283" t="n"/>
      <c r="I28" s="281" t="n"/>
    </row>
    <row r="29">
      <c r="E29" s="283" t="n"/>
      <c r="I29" s="281" t="n"/>
    </row>
    <row r="30">
      <c r="E30" s="283" t="n"/>
      <c r="I30" s="281" t="n"/>
    </row>
    <row r="31">
      <c r="E31" s="283" t="n"/>
      <c r="I31" s="281" t="n"/>
    </row>
    <row r="32">
      <c r="E32" s="283" t="n"/>
      <c r="I32" s="281" t="n"/>
    </row>
    <row r="33">
      <c r="E33" s="283" t="n"/>
      <c r="I33" s="281" t="n"/>
    </row>
    <row r="34">
      <c r="E34" s="283" t="n"/>
      <c r="I34" s="281" t="n"/>
    </row>
    <row r="35">
      <c r="E35" s="283" t="n"/>
      <c r="I35" s="281" t="n"/>
    </row>
    <row r="36">
      <c r="E36" s="283" t="n"/>
      <c r="I36" s="281" t="n"/>
    </row>
    <row r="37">
      <c r="E37" s="283" t="n"/>
      <c r="I37" s="281" t="n"/>
    </row>
    <row r="38">
      <c r="E38" s="283" t="n"/>
      <c r="I38" s="281" t="n"/>
    </row>
    <row r="39">
      <c r="E39" s="283" t="n"/>
      <c r="I39" s="281" t="n"/>
    </row>
    <row r="40">
      <c r="E40" s="283" t="n"/>
      <c r="I40" s="281" t="n"/>
    </row>
    <row r="41">
      <c r="E41" s="283" t="n"/>
      <c r="I41" s="281" t="n"/>
    </row>
    <row r="42">
      <c r="E42" s="283" t="n"/>
      <c r="I42" s="281" t="n"/>
    </row>
    <row r="43">
      <c r="E43" s="283" t="n"/>
      <c r="I43" s="281" t="n"/>
    </row>
    <row r="44">
      <c r="E44" s="283" t="n"/>
      <c r="I44" s="281" t="n"/>
    </row>
    <row r="45">
      <c r="E45" s="283" t="n"/>
      <c r="I45" s="281" t="n"/>
    </row>
    <row r="46">
      <c r="E46" s="283" t="n"/>
      <c r="I46" s="281" t="n"/>
    </row>
    <row r="47">
      <c r="E47" s="283" t="n"/>
      <c r="I47" s="281" t="n"/>
    </row>
    <row r="48">
      <c r="E48" s="283" t="n"/>
      <c r="I48" s="281" t="n"/>
    </row>
    <row r="49">
      <c r="E49" s="283" t="n"/>
      <c r="I49" s="281" t="n"/>
    </row>
    <row r="50">
      <c r="E50" s="283" t="n"/>
      <c r="I50" s="281" t="n"/>
    </row>
    <row r="51">
      <c r="E51" s="283" t="n"/>
      <c r="I51" s="281" t="n"/>
    </row>
    <row r="52">
      <c r="E52" s="283" t="n"/>
      <c r="I52" s="281" t="n"/>
    </row>
    <row r="53">
      <c r="E53" s="283" t="n"/>
      <c r="I53" s="281" t="n"/>
    </row>
    <row r="54">
      <c r="E54" s="283" t="n"/>
      <c r="I54" s="281" t="n"/>
    </row>
    <row r="55">
      <c r="E55" s="283" t="n"/>
      <c r="I55" s="281" t="n"/>
    </row>
    <row r="56">
      <c r="E56" s="283" t="n"/>
      <c r="I56" s="281" t="n"/>
    </row>
    <row r="57">
      <c r="E57" s="283" t="n"/>
      <c r="I57" s="281" t="n"/>
    </row>
    <row r="58">
      <c r="E58" s="283" t="n"/>
      <c r="I58" s="281" t="n"/>
    </row>
    <row r="59">
      <c r="E59" s="283" t="n"/>
      <c r="I59" s="281" t="n"/>
    </row>
    <row r="60">
      <c r="E60" s="283" t="n"/>
      <c r="I60" s="281" t="n"/>
    </row>
    <row r="61">
      <c r="E61" s="283" t="n"/>
      <c r="I61" s="281" t="n"/>
    </row>
    <row r="62">
      <c r="E62" s="283" t="n"/>
      <c r="I62" s="281" t="n"/>
    </row>
    <row r="63">
      <c r="E63" s="283" t="n"/>
      <c r="I63" s="281" t="n"/>
    </row>
    <row r="64">
      <c r="E64" s="283" t="n"/>
      <c r="I64" s="281" t="n"/>
    </row>
    <row r="65">
      <c r="E65" s="283" t="n"/>
      <c r="I65" s="281" t="n"/>
    </row>
    <row r="66">
      <c r="E66" s="283" t="n"/>
      <c r="I66" s="281" t="n"/>
    </row>
    <row r="67">
      <c r="E67" s="283" t="n"/>
      <c r="I67" s="281" t="n"/>
    </row>
    <row r="68">
      <c r="E68" s="283" t="n"/>
      <c r="I68" s="281" t="n"/>
    </row>
    <row r="69">
      <c r="E69" s="283" t="n"/>
      <c r="I69" s="281" t="n"/>
    </row>
    <row r="70">
      <c r="E70" s="283" t="n"/>
      <c r="I70" s="281" t="n"/>
    </row>
    <row r="71">
      <c r="E71" s="283" t="n"/>
      <c r="I71" s="281" t="n"/>
    </row>
    <row r="72">
      <c r="E72" s="283" t="n"/>
      <c r="I72" s="281" t="n"/>
    </row>
    <row r="73">
      <c r="E73" s="283" t="n"/>
      <c r="I73" s="281" t="n"/>
    </row>
    <row r="74">
      <c r="E74" s="283" t="n"/>
      <c r="I74" s="281" t="n"/>
    </row>
    <row r="75">
      <c r="E75" s="283" t="n"/>
      <c r="I75" s="281" t="n"/>
    </row>
    <row r="76">
      <c r="E76" s="283" t="n"/>
      <c r="I76" s="281" t="n"/>
    </row>
    <row r="77">
      <c r="E77" s="283" t="n"/>
      <c r="I77" s="281" t="n"/>
    </row>
    <row r="78">
      <c r="E78" s="283" t="n"/>
      <c r="I78" s="281" t="n"/>
    </row>
    <row r="79">
      <c r="E79" s="283" t="n"/>
      <c r="I79" s="281" t="n"/>
    </row>
    <row r="80">
      <c r="E80" s="283" t="n"/>
      <c r="I80" s="281" t="n"/>
    </row>
    <row r="81">
      <c r="E81" s="283" t="n"/>
      <c r="I81" s="281" t="n"/>
    </row>
    <row r="82">
      <c r="E82" s="283" t="n"/>
      <c r="I82" s="281" t="n"/>
    </row>
    <row r="83">
      <c r="E83" s="283" t="n"/>
      <c r="I83" s="281" t="n"/>
    </row>
    <row r="84">
      <c r="E84" s="283" t="n"/>
      <c r="I84" s="281" t="n"/>
    </row>
    <row r="85">
      <c r="E85" s="283" t="n"/>
      <c r="I85" s="281" t="n"/>
    </row>
    <row r="86">
      <c r="E86" s="283" t="n"/>
      <c r="I86" s="281" t="n"/>
    </row>
    <row r="87">
      <c r="E87" s="283" t="n"/>
      <c r="I87" s="281" t="n"/>
    </row>
    <row r="88">
      <c r="E88" s="283" t="n"/>
      <c r="I88" s="281" t="n"/>
    </row>
    <row r="89">
      <c r="E89" s="283" t="n"/>
      <c r="I89" s="281" t="n"/>
    </row>
    <row r="90">
      <c r="E90" s="283" t="n"/>
      <c r="I90" s="281" t="n"/>
    </row>
    <row r="91">
      <c r="E91" s="283" t="n"/>
      <c r="I91" s="281" t="n"/>
    </row>
    <row r="92">
      <c r="E92" s="283" t="n"/>
      <c r="I92" s="281" t="n"/>
    </row>
    <row r="93">
      <c r="E93" s="283" t="n"/>
      <c r="I93" s="281" t="n"/>
    </row>
    <row r="94">
      <c r="E94" s="283" t="n"/>
      <c r="I94" s="281" t="n"/>
    </row>
    <row r="95">
      <c r="E95" s="283" t="n"/>
      <c r="I95" s="281" t="n"/>
    </row>
    <row r="96">
      <c r="E96" s="283" t="n"/>
      <c r="I96" s="281" t="n"/>
    </row>
    <row r="97">
      <c r="E97" s="283" t="n"/>
      <c r="I97" s="281" t="n"/>
    </row>
    <row r="98">
      <c r="E98" s="283" t="n"/>
      <c r="I98" s="281" t="n"/>
    </row>
    <row r="99">
      <c r="E99" s="283" t="n"/>
      <c r="I99" s="281" t="n"/>
    </row>
    <row r="100">
      <c r="E100" s="283" t="n"/>
      <c r="I100" s="281" t="n"/>
    </row>
    <row r="101">
      <c r="E101" s="283" t="n"/>
      <c r="I101" s="281" t="n"/>
    </row>
    <row r="102">
      <c r="E102" s="283" t="n"/>
      <c r="I102" s="281" t="n"/>
    </row>
    <row r="103">
      <c r="E103" s="283" t="n"/>
      <c r="I103" s="281" t="n"/>
    </row>
    <row r="104">
      <c r="E104" s="283" t="n"/>
      <c r="I104" s="281" t="n"/>
    </row>
    <row r="105">
      <c r="E105" s="283" t="n"/>
      <c r="I105" s="281" t="n"/>
    </row>
    <row r="106">
      <c r="E106" s="283" t="n"/>
      <c r="I106" s="281" t="n"/>
    </row>
    <row r="107">
      <c r="E107" s="283" t="n"/>
      <c r="I107" s="281" t="n"/>
    </row>
    <row r="108">
      <c r="E108" s="283" t="n"/>
      <c r="I108" s="281" t="n"/>
    </row>
    <row r="109">
      <c r="E109" s="283" t="n"/>
      <c r="I109" s="281" t="n"/>
    </row>
    <row r="110">
      <c r="E110" s="283" t="n"/>
      <c r="I110" s="281" t="n"/>
    </row>
    <row r="111">
      <c r="E111" s="283" t="n"/>
      <c r="I111" s="281" t="n"/>
    </row>
    <row r="112">
      <c r="E112" s="283" t="n"/>
      <c r="I112" s="281" t="n"/>
    </row>
    <row r="113">
      <c r="E113" s="283" t="n"/>
      <c r="I113" s="281" t="n"/>
    </row>
    <row r="114">
      <c r="E114" s="283" t="n"/>
      <c r="I114" s="281" t="n"/>
    </row>
    <row r="115">
      <c r="E115" s="283" t="n"/>
      <c r="I115" s="281" t="n"/>
    </row>
    <row r="116">
      <c r="E116" s="283" t="n"/>
      <c r="I116" s="281" t="n"/>
    </row>
    <row r="117">
      <c r="E117" s="283" t="n"/>
      <c r="I117" s="281" t="n"/>
    </row>
    <row r="118">
      <c r="E118" s="283" t="n"/>
      <c r="I118" s="281" t="n"/>
    </row>
    <row r="119">
      <c r="E119" s="283" t="n"/>
      <c r="I119" s="281" t="n"/>
    </row>
    <row r="120">
      <c r="E120" s="283" t="n"/>
      <c r="I120" s="281" t="n"/>
    </row>
    <row r="121">
      <c r="E121" s="283" t="n"/>
      <c r="I121" s="281" t="n"/>
    </row>
    <row r="122">
      <c r="E122" s="283" t="n"/>
      <c r="I122" s="281" t="n"/>
    </row>
    <row r="123">
      <c r="E123" s="283" t="n"/>
      <c r="I123" s="281" t="n"/>
    </row>
    <row r="124">
      <c r="E124" s="283" t="n"/>
      <c r="I124" s="281" t="n"/>
    </row>
    <row r="125">
      <c r="E125" s="283" t="n"/>
      <c r="I125" s="281" t="n"/>
    </row>
    <row r="126">
      <c r="E126" s="283" t="n"/>
      <c r="I126" s="281" t="n"/>
    </row>
    <row r="127">
      <c r="E127" s="283" t="n"/>
      <c r="I127" s="281" t="n"/>
    </row>
    <row r="128">
      <c r="E128" s="283" t="n"/>
      <c r="I128" s="281" t="n"/>
    </row>
    <row r="129">
      <c r="E129" s="283" t="n"/>
      <c r="I129" s="281" t="n"/>
    </row>
    <row r="130">
      <c r="E130" s="283" t="n"/>
      <c r="I130" s="281" t="n"/>
    </row>
    <row r="131">
      <c r="E131" s="283" t="n"/>
      <c r="I131" s="281" t="n"/>
    </row>
    <row r="132">
      <c r="E132" s="283" t="n"/>
      <c r="I132" s="281" t="n"/>
    </row>
    <row r="133">
      <c r="E133" s="283" t="n"/>
      <c r="I133" s="281" t="n"/>
    </row>
    <row r="134">
      <c r="E134" s="283" t="n"/>
      <c r="I134" s="281" t="n"/>
    </row>
    <row r="135">
      <c r="E135" s="283" t="n"/>
      <c r="I135" s="281" t="n"/>
    </row>
    <row r="136">
      <c r="E136" s="283" t="n"/>
      <c r="I136" s="281" t="n"/>
    </row>
    <row r="137">
      <c r="E137" s="283" t="n"/>
      <c r="I137" s="281" t="n"/>
    </row>
    <row r="138">
      <c r="E138" s="283" t="n"/>
      <c r="I138" s="281" t="n"/>
    </row>
    <row r="139">
      <c r="E139" s="283" t="n"/>
      <c r="I139" s="281" t="n"/>
    </row>
    <row r="140">
      <c r="E140" s="283" t="n"/>
      <c r="I140" s="281" t="n"/>
    </row>
    <row r="141">
      <c r="E141" s="283" t="n"/>
      <c r="I141" s="281" t="n"/>
    </row>
    <row r="142">
      <c r="E142" s="283" t="n"/>
      <c r="I142" s="281" t="n"/>
    </row>
    <row r="143">
      <c r="E143" s="283" t="n"/>
      <c r="I143" s="281" t="n"/>
    </row>
    <row r="144">
      <c r="E144" s="283" t="n"/>
      <c r="I144" s="281" t="n"/>
    </row>
    <row r="145">
      <c r="E145" s="283" t="n"/>
      <c r="I145" s="281" t="n"/>
    </row>
    <row r="146">
      <c r="E146" s="283" t="n"/>
      <c r="I146" s="281" t="n"/>
    </row>
    <row r="147">
      <c r="E147" s="283" t="n"/>
      <c r="I147" s="281" t="n"/>
    </row>
    <row r="148">
      <c r="E148" s="283" t="n"/>
      <c r="I148" s="281" t="n"/>
    </row>
    <row r="149">
      <c r="E149" s="283" t="n"/>
      <c r="I149" s="281" t="n"/>
    </row>
    <row r="150">
      <c r="E150" s="283" t="n"/>
      <c r="I150" s="281" t="n"/>
    </row>
    <row r="151">
      <c r="E151" s="283" t="n"/>
      <c r="I151" s="281" t="n"/>
    </row>
    <row r="152">
      <c r="E152" s="283" t="n"/>
      <c r="I152" s="281" t="n"/>
    </row>
    <row r="153">
      <c r="E153" s="283" t="n"/>
      <c r="I153" s="281" t="n"/>
    </row>
    <row r="154">
      <c r="E154" s="283" t="n"/>
      <c r="I154" s="281" t="n"/>
    </row>
    <row r="155">
      <c r="E155" s="283" t="n"/>
      <c r="I155" s="281" t="n"/>
    </row>
    <row r="156">
      <c r="E156" s="283" t="n"/>
      <c r="I156" s="281" t="n"/>
    </row>
    <row r="157">
      <c r="E157" s="283" t="n"/>
      <c r="I157" s="281" t="n"/>
    </row>
    <row r="158">
      <c r="E158" s="283" t="n"/>
      <c r="I158" s="281" t="n"/>
    </row>
    <row r="159">
      <c r="E159" s="283" t="n"/>
      <c r="I159" s="281" t="n"/>
    </row>
    <row r="160">
      <c r="E160" s="283" t="n"/>
      <c r="I160" s="281" t="n"/>
    </row>
    <row r="161">
      <c r="E161" s="283" t="n"/>
      <c r="I161" s="281" t="n"/>
    </row>
    <row r="162">
      <c r="E162" s="283" t="n"/>
      <c r="I162" s="281" t="n"/>
    </row>
    <row r="163">
      <c r="E163" s="283" t="n"/>
      <c r="I163" s="281" t="n"/>
    </row>
    <row r="164">
      <c r="E164" s="283" t="n"/>
      <c r="I164" s="281" t="n"/>
    </row>
    <row r="165">
      <c r="E165" s="283" t="n"/>
      <c r="I165" s="281" t="n"/>
    </row>
    <row r="166">
      <c r="E166" s="283" t="n"/>
      <c r="I166" s="281" t="n"/>
    </row>
    <row r="167">
      <c r="E167" s="283" t="n"/>
      <c r="I167" s="281" t="n"/>
    </row>
    <row r="168">
      <c r="E168" s="283" t="n"/>
      <c r="I168" s="281" t="n"/>
    </row>
    <row r="169">
      <c r="E169" s="283" t="n"/>
      <c r="I169" s="281" t="n"/>
    </row>
    <row r="170">
      <c r="E170" s="283" t="n"/>
      <c r="I170" s="281" t="n"/>
    </row>
    <row r="171">
      <c r="E171" s="283" t="n"/>
      <c r="I171" s="281" t="n"/>
    </row>
    <row r="172">
      <c r="E172" s="283" t="n"/>
      <c r="I172" s="281" t="n"/>
    </row>
    <row r="173">
      <c r="E173" s="283" t="n"/>
      <c r="I173" s="281" t="n"/>
    </row>
    <row r="174">
      <c r="E174" s="283" t="n"/>
      <c r="I174" s="281" t="n"/>
    </row>
    <row r="175">
      <c r="E175" s="283" t="n"/>
      <c r="I175" s="281" t="n"/>
    </row>
    <row r="176">
      <c r="E176" s="283" t="n"/>
      <c r="I176" s="281" t="n"/>
    </row>
    <row r="177">
      <c r="E177" s="283" t="n"/>
      <c r="I177" s="281" t="n"/>
    </row>
    <row r="178">
      <c r="E178" s="283" t="n"/>
      <c r="I178" s="281" t="n"/>
    </row>
    <row r="179">
      <c r="E179" s="283" t="n"/>
      <c r="I179" s="281" t="n"/>
    </row>
    <row r="180">
      <c r="E180" s="283" t="n"/>
      <c r="I180" s="281" t="n"/>
    </row>
    <row r="181">
      <c r="E181" s="283" t="n"/>
      <c r="I181" s="281" t="n"/>
    </row>
    <row r="182">
      <c r="E182" s="283" t="n"/>
      <c r="I182" s="281" t="n"/>
    </row>
    <row r="183">
      <c r="E183" s="283" t="n"/>
      <c r="I183" s="281" t="n"/>
    </row>
    <row r="184">
      <c r="E184" s="283" t="n"/>
      <c r="I184" s="281" t="n"/>
    </row>
    <row r="185">
      <c r="E185" s="283" t="n"/>
      <c r="I185" s="281" t="n"/>
    </row>
    <row r="186">
      <c r="E186" s="283" t="n"/>
      <c r="I186" s="281" t="n"/>
    </row>
    <row r="187">
      <c r="E187" s="283" t="n"/>
      <c r="I187" s="281" t="n"/>
    </row>
    <row r="188">
      <c r="E188" s="283" t="n"/>
      <c r="I188" s="281" t="n"/>
    </row>
    <row r="189">
      <c r="E189" s="283" t="n"/>
      <c r="I189" s="281" t="n"/>
    </row>
    <row r="190">
      <c r="E190" s="283" t="n"/>
      <c r="I190" s="281" t="n"/>
    </row>
    <row r="191">
      <c r="E191" s="283" t="n"/>
      <c r="I191" s="281" t="n"/>
    </row>
    <row r="192">
      <c r="E192" s="283" t="n"/>
      <c r="I192" s="281" t="n"/>
    </row>
    <row r="193">
      <c r="E193" s="283" t="n"/>
      <c r="I193" s="281" t="n"/>
    </row>
    <row r="194">
      <c r="E194" s="283" t="n"/>
      <c r="I194" s="281" t="n"/>
    </row>
    <row r="195">
      <c r="E195" s="283" t="n"/>
      <c r="I195" s="281" t="n"/>
    </row>
    <row r="196">
      <c r="E196" s="283" t="n"/>
      <c r="I196" s="281" t="n"/>
    </row>
    <row r="197">
      <c r="E197" s="283" t="n"/>
      <c r="I197" s="281" t="n"/>
    </row>
    <row r="198">
      <c r="E198" s="283" t="n"/>
      <c r="I198" s="281" t="n"/>
    </row>
    <row r="199">
      <c r="E199" s="283" t="n"/>
      <c r="I199" s="281" t="n"/>
    </row>
    <row r="200">
      <c r="E200" s="283" t="n"/>
      <c r="I200" s="281" t="n"/>
    </row>
    <row r="201">
      <c r="E201" s="283" t="n"/>
      <c r="I201" s="281" t="n"/>
    </row>
    <row r="202">
      <c r="E202" s="283" t="n"/>
      <c r="I202" s="281" t="n"/>
    </row>
    <row r="203">
      <c r="E203" s="283" t="n"/>
      <c r="I203" s="281" t="n"/>
    </row>
    <row r="204">
      <c r="E204" s="283" t="n"/>
      <c r="I204" s="281" t="n"/>
    </row>
    <row r="205">
      <c r="E205" s="283" t="n"/>
      <c r="I205" s="281" t="n"/>
    </row>
    <row r="206">
      <c r="E206" s="283" t="n"/>
      <c r="I206" s="281" t="n"/>
    </row>
    <row r="207">
      <c r="E207" s="283" t="n"/>
      <c r="I207" s="281" t="n"/>
    </row>
    <row r="208">
      <c r="E208" s="283" t="n"/>
      <c r="I208" s="281" t="n"/>
    </row>
    <row r="209">
      <c r="E209" s="283" t="n"/>
      <c r="I209" s="281" t="n"/>
    </row>
    <row r="210">
      <c r="E210" s="283" t="n"/>
      <c r="I210" s="281" t="n"/>
    </row>
    <row r="211">
      <c r="E211" s="283" t="n"/>
      <c r="I211" s="281" t="n"/>
    </row>
    <row r="212">
      <c r="E212" s="283" t="n"/>
      <c r="I212" s="281" t="n"/>
    </row>
    <row r="213">
      <c r="E213" s="283" t="n"/>
      <c r="I213" s="281" t="n"/>
    </row>
    <row r="214">
      <c r="E214" s="283" t="n"/>
      <c r="I214" s="281" t="n"/>
    </row>
    <row r="215">
      <c r="E215" s="283" t="n"/>
      <c r="I215" s="281" t="n"/>
    </row>
    <row r="216">
      <c r="E216" s="283" t="n"/>
      <c r="I216" s="281" t="n"/>
    </row>
    <row r="217">
      <c r="E217" s="283" t="n"/>
      <c r="I217" s="281" t="n"/>
    </row>
    <row r="218">
      <c r="E218" s="283" t="n"/>
      <c r="I218" s="281" t="n"/>
    </row>
    <row r="219">
      <c r="E219" s="283" t="n"/>
      <c r="I219" s="281" t="n"/>
    </row>
    <row r="220">
      <c r="E220" s="283" t="n"/>
      <c r="I220" s="281" t="n"/>
    </row>
    <row r="221">
      <c r="E221" s="283" t="n"/>
      <c r="I221" s="281" t="n"/>
    </row>
    <row r="222">
      <c r="E222" s="283" t="n"/>
      <c r="I222" s="281" t="n"/>
    </row>
    <row r="223">
      <c r="E223" s="283" t="n"/>
      <c r="I223" s="281" t="n"/>
    </row>
    <row r="224">
      <c r="E224" s="283" t="n"/>
      <c r="I224" s="281" t="n"/>
    </row>
    <row r="225">
      <c r="E225" s="283" t="n"/>
      <c r="I225" s="281" t="n"/>
    </row>
    <row r="226">
      <c r="E226" s="283" t="n"/>
      <c r="I226" s="281" t="n"/>
    </row>
    <row r="227">
      <c r="E227" s="283" t="n"/>
      <c r="I227" s="281" t="n"/>
    </row>
    <row r="228">
      <c r="E228" s="283" t="n"/>
      <c r="I228" s="281" t="n"/>
    </row>
    <row r="229">
      <c r="E229" s="283" t="n"/>
      <c r="I229" s="281" t="n"/>
    </row>
    <row r="230">
      <c r="E230" s="283" t="n"/>
      <c r="I230" s="281" t="n"/>
    </row>
    <row r="231">
      <c r="E231" s="283" t="n"/>
      <c r="I231" s="281" t="n"/>
    </row>
    <row r="232">
      <c r="E232" s="283" t="n"/>
      <c r="I232" s="281" t="n"/>
    </row>
    <row r="233">
      <c r="E233" s="283" t="n"/>
      <c r="I233" s="281" t="n"/>
    </row>
    <row r="234">
      <c r="E234" s="283" t="n"/>
      <c r="I234" s="281" t="n"/>
    </row>
    <row r="235">
      <c r="E235" s="283" t="n"/>
      <c r="I235" s="281" t="n"/>
    </row>
    <row r="236">
      <c r="E236" s="283" t="n"/>
      <c r="I236" s="281" t="n"/>
    </row>
    <row r="237">
      <c r="E237" s="283" t="n"/>
      <c r="I237" s="281" t="n"/>
    </row>
    <row r="238">
      <c r="E238" s="283" t="n"/>
      <c r="I238" s="281" t="n"/>
    </row>
    <row r="239">
      <c r="E239" s="283" t="n"/>
      <c r="I239" s="281" t="n"/>
    </row>
    <row r="240">
      <c r="E240" s="283" t="n"/>
      <c r="I240" s="281" t="n"/>
    </row>
    <row r="241">
      <c r="E241" s="283" t="n"/>
      <c r="I241" s="281" t="n"/>
    </row>
    <row r="242">
      <c r="E242" s="283" t="n"/>
      <c r="I242" s="281" t="n"/>
    </row>
    <row r="243">
      <c r="E243" s="283" t="n"/>
      <c r="I243" s="281" t="n"/>
    </row>
    <row r="244">
      <c r="E244" s="283" t="n"/>
      <c r="I244" s="281" t="n"/>
    </row>
    <row r="245">
      <c r="E245" s="283" t="n"/>
      <c r="I245" s="281" t="n"/>
    </row>
    <row r="246">
      <c r="E246" s="283" t="n"/>
      <c r="I246" s="281" t="n"/>
    </row>
    <row r="247">
      <c r="E247" s="283" t="n"/>
      <c r="I247" s="281" t="n"/>
    </row>
    <row r="248">
      <c r="E248" s="283" t="n"/>
      <c r="I248" s="281" t="n"/>
    </row>
    <row r="249">
      <c r="E249" s="283" t="n"/>
      <c r="I249" s="281" t="n"/>
    </row>
    <row r="250">
      <c r="E250" s="283" t="n"/>
      <c r="I250" s="281" t="n"/>
    </row>
    <row r="251">
      <c r="E251" s="283" t="n"/>
      <c r="I251" s="281" t="n"/>
    </row>
    <row r="252">
      <c r="E252" s="283" t="n"/>
      <c r="I252" s="281" t="n"/>
    </row>
    <row r="253">
      <c r="E253" s="283" t="n"/>
      <c r="I253" s="281" t="n"/>
    </row>
    <row r="254">
      <c r="E254" s="283" t="n"/>
      <c r="I254" s="281" t="n"/>
    </row>
    <row r="255">
      <c r="E255" s="283" t="n"/>
      <c r="I255" s="281" t="n"/>
    </row>
    <row r="256">
      <c r="E256" s="283" t="n"/>
      <c r="I256" s="281" t="n"/>
    </row>
    <row r="257">
      <c r="E257" s="283" t="n"/>
      <c r="I257" s="281" t="n"/>
    </row>
    <row r="258">
      <c r="E258" s="283" t="n"/>
      <c r="I258" s="281" t="n"/>
    </row>
    <row r="259">
      <c r="E259" s="283" t="n"/>
      <c r="I259" s="281" t="n"/>
    </row>
    <row r="260">
      <c r="E260" s="283" t="n"/>
      <c r="I260" s="281" t="n"/>
    </row>
    <row r="261">
      <c r="E261" s="283" t="n"/>
      <c r="I261" s="281" t="n"/>
    </row>
    <row r="262">
      <c r="E262" s="283" t="n"/>
      <c r="I262" s="281" t="n"/>
    </row>
    <row r="263">
      <c r="E263" s="283" t="n"/>
      <c r="I263" s="281" t="n"/>
    </row>
    <row r="264">
      <c r="E264" s="283" t="n"/>
      <c r="I264" s="281" t="n"/>
    </row>
    <row r="265">
      <c r="E265" s="283" t="n"/>
      <c r="I265" s="281" t="n"/>
    </row>
    <row r="266">
      <c r="E266" s="283" t="n"/>
      <c r="I266" s="281" t="n"/>
    </row>
    <row r="267">
      <c r="E267" s="283" t="n"/>
      <c r="I267" s="281" t="n"/>
    </row>
    <row r="268">
      <c r="E268" s="283" t="n"/>
      <c r="I268" s="281" t="n"/>
    </row>
    <row r="269">
      <c r="E269" s="283" t="n"/>
      <c r="I269" s="281" t="n"/>
    </row>
    <row r="270">
      <c r="E270" s="283" t="n"/>
      <c r="I270" s="281" t="n"/>
    </row>
    <row r="271">
      <c r="E271" s="283" t="n"/>
      <c r="I271" s="281" t="n"/>
    </row>
    <row r="272">
      <c r="E272" s="283" t="n"/>
      <c r="I272" s="281" t="n"/>
    </row>
    <row r="273">
      <c r="E273" s="283" t="n"/>
      <c r="I273" s="281" t="n"/>
    </row>
    <row r="274">
      <c r="E274" s="283" t="n"/>
      <c r="I274" s="281" t="n"/>
    </row>
    <row r="275">
      <c r="E275" s="283" t="n"/>
      <c r="I275" s="281" t="n"/>
    </row>
    <row r="276">
      <c r="E276" s="283" t="n"/>
      <c r="I276" s="281" t="n"/>
    </row>
    <row r="277">
      <c r="E277" s="283" t="n"/>
      <c r="I277" s="281" t="n"/>
    </row>
    <row r="278">
      <c r="E278" s="283" t="n"/>
      <c r="I278" s="281" t="n"/>
    </row>
    <row r="279">
      <c r="E279" s="283" t="n"/>
      <c r="I279" s="281" t="n"/>
    </row>
    <row r="280">
      <c r="E280" s="283" t="n"/>
      <c r="I280" s="281" t="n"/>
    </row>
    <row r="281">
      <c r="E281" s="283" t="n"/>
      <c r="I281" s="281" t="n"/>
    </row>
    <row r="282">
      <c r="E282" s="283" t="n"/>
      <c r="I282" s="281" t="n"/>
    </row>
    <row r="283">
      <c r="E283" s="283" t="n"/>
      <c r="I283" s="281" t="n"/>
    </row>
    <row r="284">
      <c r="E284" s="283" t="n"/>
      <c r="I284" s="281" t="n"/>
    </row>
    <row r="285">
      <c r="E285" s="283" t="n"/>
      <c r="I285" s="281" t="n"/>
    </row>
    <row r="286">
      <c r="E286" s="283" t="n"/>
      <c r="I286" s="281" t="n"/>
    </row>
    <row r="287">
      <c r="E287" s="283" t="n"/>
      <c r="I287" s="281" t="n"/>
    </row>
    <row r="288">
      <c r="E288" s="283" t="n"/>
      <c r="I288" s="281" t="n"/>
    </row>
    <row r="289">
      <c r="E289" s="283" t="n"/>
      <c r="I289" s="281" t="n"/>
    </row>
    <row r="290">
      <c r="E290" s="283" t="n"/>
      <c r="I290" s="281" t="n"/>
    </row>
    <row r="291">
      <c r="E291" s="283" t="n"/>
      <c r="I291" s="281" t="n"/>
    </row>
    <row r="292">
      <c r="E292" s="283" t="n"/>
      <c r="I292" s="281" t="n"/>
    </row>
    <row r="293">
      <c r="E293" s="283" t="n"/>
      <c r="I293" s="281" t="n"/>
    </row>
    <row r="294">
      <c r="E294" s="283" t="n"/>
      <c r="I294" s="281" t="n"/>
    </row>
    <row r="295">
      <c r="E295" s="283" t="n"/>
      <c r="I295" s="281" t="n"/>
    </row>
    <row r="296">
      <c r="E296" s="283" t="n"/>
      <c r="I296" s="281" t="n"/>
    </row>
    <row r="297">
      <c r="E297" s="283" t="n"/>
      <c r="I297" s="281" t="n"/>
    </row>
    <row r="298">
      <c r="E298" s="283" t="n"/>
      <c r="I298" s="281" t="n"/>
    </row>
    <row r="299">
      <c r="E299" s="283" t="n"/>
      <c r="I299" s="281" t="n"/>
    </row>
    <row r="300">
      <c r="E300" s="283" t="n"/>
      <c r="I300" s="281" t="n"/>
    </row>
    <row r="301">
      <c r="E301" s="283" t="n"/>
      <c r="I301" s="281" t="n"/>
    </row>
    <row r="302">
      <c r="E302" s="283" t="n"/>
      <c r="I302" s="281" t="n"/>
    </row>
    <row r="303">
      <c r="E303" s="283" t="n"/>
      <c r="I303" s="281" t="n"/>
    </row>
    <row r="304">
      <c r="E304" s="283" t="n"/>
      <c r="I304" s="281" t="n"/>
    </row>
    <row r="305">
      <c r="E305" s="283" t="n"/>
      <c r="I305" s="281" t="n"/>
    </row>
    <row r="306">
      <c r="E306" s="283" t="n"/>
      <c r="I306" s="281" t="n"/>
    </row>
    <row r="307">
      <c r="E307" s="283" t="n"/>
      <c r="I307" s="281" t="n"/>
    </row>
    <row r="308">
      <c r="E308" s="283" t="n"/>
      <c r="I308" s="281" t="n"/>
    </row>
    <row r="309">
      <c r="E309" s="283" t="n"/>
      <c r="I309" s="281" t="n"/>
    </row>
    <row r="310">
      <c r="E310" s="283" t="n"/>
      <c r="I310" s="281" t="n"/>
    </row>
    <row r="311">
      <c r="E311" s="283" t="n"/>
      <c r="I311" s="281" t="n"/>
    </row>
    <row r="312">
      <c r="E312" s="283" t="n"/>
      <c r="I312" s="281" t="n"/>
    </row>
    <row r="313">
      <c r="E313" s="283" t="n"/>
      <c r="I313" s="281" t="n"/>
    </row>
    <row r="314">
      <c r="E314" s="283" t="n"/>
      <c r="I314" s="281" t="n"/>
    </row>
    <row r="315">
      <c r="E315" s="283" t="n"/>
      <c r="I315" s="281" t="n"/>
    </row>
    <row r="316">
      <c r="E316" s="283" t="n"/>
      <c r="I316" s="281" t="n"/>
    </row>
    <row r="317">
      <c r="E317" s="283" t="n"/>
      <c r="I317" s="281" t="n"/>
    </row>
    <row r="318">
      <c r="E318" s="283" t="n"/>
      <c r="I318" s="281" t="n"/>
    </row>
    <row r="319">
      <c r="E319" s="283" t="n"/>
      <c r="I319" s="281" t="n"/>
    </row>
    <row r="320">
      <c r="E320" s="283" t="n"/>
      <c r="I320" s="281" t="n"/>
    </row>
    <row r="321">
      <c r="E321" s="283" t="n"/>
      <c r="I321" s="281" t="n"/>
    </row>
    <row r="322">
      <c r="E322" s="283" t="n"/>
      <c r="I322" s="281" t="n"/>
    </row>
    <row r="323">
      <c r="E323" s="283" t="n"/>
      <c r="I323" s="281" t="n"/>
    </row>
    <row r="324">
      <c r="E324" s="283" t="n"/>
      <c r="I324" s="281" t="n"/>
    </row>
    <row r="325">
      <c r="E325" s="283" t="n"/>
      <c r="I325" s="281" t="n"/>
    </row>
    <row r="326">
      <c r="E326" s="283" t="n"/>
      <c r="I326" s="281" t="n"/>
    </row>
    <row r="327">
      <c r="E327" s="283" t="n"/>
      <c r="I327" s="281" t="n"/>
    </row>
    <row r="328">
      <c r="E328" s="283" t="n"/>
      <c r="I328" s="281" t="n"/>
    </row>
    <row r="329">
      <c r="E329" s="283" t="n"/>
      <c r="I329" s="281" t="n"/>
    </row>
    <row r="330">
      <c r="E330" s="283" t="n"/>
      <c r="I330" s="281" t="n"/>
    </row>
    <row r="331">
      <c r="E331" s="283" t="n"/>
      <c r="I331" s="281" t="n"/>
    </row>
    <row r="332">
      <c r="E332" s="283" t="n"/>
      <c r="I332" s="281" t="n"/>
    </row>
    <row r="333">
      <c r="E333" s="283" t="n"/>
      <c r="I333" s="281" t="n"/>
    </row>
    <row r="334">
      <c r="E334" s="283" t="n"/>
      <c r="I334" s="281" t="n"/>
    </row>
    <row r="335">
      <c r="E335" s="283" t="n"/>
      <c r="I335" s="281" t="n"/>
    </row>
    <row r="336">
      <c r="E336" s="283" t="n"/>
      <c r="I336" s="281" t="n"/>
    </row>
    <row r="337">
      <c r="E337" s="283" t="n"/>
      <c r="I337" s="281" t="n"/>
    </row>
    <row r="338">
      <c r="E338" s="283" t="n"/>
      <c r="I338" s="281" t="n"/>
    </row>
    <row r="339">
      <c r="E339" s="283" t="n"/>
      <c r="I339" s="281" t="n"/>
    </row>
    <row r="340">
      <c r="E340" s="283" t="n"/>
      <c r="I340" s="281" t="n"/>
    </row>
    <row r="341">
      <c r="E341" s="283" t="n"/>
      <c r="I341" s="281" t="n"/>
    </row>
    <row r="342">
      <c r="E342" s="283" t="n"/>
      <c r="I342" s="281" t="n"/>
    </row>
    <row r="343">
      <c r="E343" s="283" t="n"/>
      <c r="I343" s="281" t="n"/>
    </row>
    <row r="344">
      <c r="E344" s="283" t="n"/>
      <c r="I344" s="281" t="n"/>
    </row>
    <row r="345">
      <c r="E345" s="283" t="n"/>
      <c r="I345" s="281" t="n"/>
    </row>
    <row r="346">
      <c r="E346" s="283" t="n"/>
      <c r="I346" s="281" t="n"/>
    </row>
    <row r="347">
      <c r="E347" s="283" t="n"/>
      <c r="I347" s="281" t="n"/>
    </row>
    <row r="348">
      <c r="E348" s="283" t="n"/>
      <c r="I348" s="281" t="n"/>
    </row>
    <row r="349">
      <c r="E349" s="283" t="n"/>
      <c r="I349" s="281" t="n"/>
    </row>
    <row r="350">
      <c r="E350" s="283" t="n"/>
      <c r="I350" s="281" t="n"/>
    </row>
    <row r="351">
      <c r="E351" s="283" t="n"/>
      <c r="I351" s="281" t="n"/>
    </row>
    <row r="352">
      <c r="E352" s="283" t="n"/>
      <c r="I352" s="281" t="n"/>
    </row>
    <row r="353">
      <c r="E353" s="283" t="n"/>
      <c r="I353" s="281" t="n"/>
    </row>
    <row r="354">
      <c r="E354" s="283" t="n"/>
      <c r="I354" s="281" t="n"/>
    </row>
    <row r="355">
      <c r="E355" s="283" t="n"/>
      <c r="I355" s="281" t="n"/>
    </row>
    <row r="356">
      <c r="E356" s="283" t="n"/>
      <c r="I356" s="281" t="n"/>
    </row>
    <row r="357">
      <c r="E357" s="283" t="n"/>
      <c r="I357" s="281" t="n"/>
    </row>
    <row r="358">
      <c r="E358" s="283" t="n"/>
      <c r="I358" s="281" t="n"/>
    </row>
    <row r="359">
      <c r="E359" s="283" t="n"/>
      <c r="I359" s="281" t="n"/>
    </row>
    <row r="360">
      <c r="E360" s="283" t="n"/>
      <c r="I360" s="281" t="n"/>
    </row>
    <row r="361">
      <c r="E361" s="283" t="n"/>
      <c r="I361" s="281" t="n"/>
    </row>
    <row r="362">
      <c r="E362" s="283" t="n"/>
      <c r="I362" s="281" t="n"/>
    </row>
    <row r="363">
      <c r="E363" s="283" t="n"/>
      <c r="I363" s="281" t="n"/>
    </row>
    <row r="364">
      <c r="E364" s="283" t="n"/>
      <c r="I364" s="281" t="n"/>
    </row>
    <row r="365">
      <c r="E365" s="283" t="n"/>
      <c r="I365" s="281" t="n"/>
    </row>
    <row r="366">
      <c r="E366" s="283" t="n"/>
      <c r="I366" s="281" t="n"/>
    </row>
    <row r="367">
      <c r="E367" s="283" t="n"/>
      <c r="I367" s="281" t="n"/>
    </row>
    <row r="368">
      <c r="E368" s="283" t="n"/>
      <c r="I368" s="281" t="n"/>
    </row>
    <row r="369">
      <c r="E369" s="283" t="n"/>
      <c r="I369" s="281" t="n"/>
    </row>
    <row r="370">
      <c r="E370" s="283" t="n"/>
      <c r="I370" s="281" t="n"/>
    </row>
    <row r="371">
      <c r="E371" s="283" t="n"/>
      <c r="I371" s="281" t="n"/>
    </row>
    <row r="372">
      <c r="E372" s="283" t="n"/>
      <c r="I372" s="281" t="n"/>
    </row>
    <row r="373">
      <c r="E373" s="283" t="n"/>
      <c r="I373" s="281" t="n"/>
    </row>
    <row r="374">
      <c r="E374" s="283" t="n"/>
      <c r="I374" s="281" t="n"/>
    </row>
    <row r="375">
      <c r="E375" s="283" t="n"/>
      <c r="I375" s="281" t="n"/>
    </row>
    <row r="376">
      <c r="E376" s="283" t="n"/>
      <c r="I376" s="281" t="n"/>
    </row>
    <row r="377">
      <c r="E377" s="283" t="n"/>
      <c r="I377" s="281" t="n"/>
    </row>
    <row r="378">
      <c r="E378" s="283" t="n"/>
      <c r="I378" s="281" t="n"/>
    </row>
    <row r="379">
      <c r="E379" s="283" t="n"/>
      <c r="I379" s="281" t="n"/>
    </row>
    <row r="380">
      <c r="E380" s="283" t="n"/>
      <c r="I380" s="281" t="n"/>
    </row>
    <row r="381">
      <c r="E381" s="283" t="n"/>
      <c r="I381" s="281" t="n"/>
    </row>
    <row r="382">
      <c r="E382" s="283" t="n"/>
      <c r="I382" s="281" t="n"/>
    </row>
    <row r="383">
      <c r="E383" s="283" t="n"/>
      <c r="I383" s="281" t="n"/>
    </row>
    <row r="384">
      <c r="E384" s="283" t="n"/>
      <c r="I384" s="281" t="n"/>
    </row>
    <row r="385">
      <c r="E385" s="283" t="n"/>
      <c r="I385" s="281" t="n"/>
    </row>
    <row r="386">
      <c r="E386" s="283" t="n"/>
      <c r="I386" s="281" t="n"/>
    </row>
    <row r="387">
      <c r="E387" s="283" t="n"/>
      <c r="I387" s="281" t="n"/>
    </row>
    <row r="388">
      <c r="E388" s="283" t="n"/>
      <c r="I388" s="281" t="n"/>
    </row>
    <row r="389">
      <c r="E389" s="283" t="n"/>
      <c r="I389" s="281" t="n"/>
    </row>
    <row r="390">
      <c r="E390" s="283" t="n"/>
      <c r="I390" s="281" t="n"/>
    </row>
    <row r="391">
      <c r="E391" s="283" t="n"/>
      <c r="I391" s="281" t="n"/>
    </row>
    <row r="392">
      <c r="E392" s="283" t="n"/>
      <c r="I392" s="281" t="n"/>
    </row>
    <row r="393">
      <c r="E393" s="283" t="n"/>
      <c r="I393" s="281" t="n"/>
    </row>
    <row r="394">
      <c r="E394" s="283" t="n"/>
      <c r="I394" s="281" t="n"/>
    </row>
    <row r="395">
      <c r="E395" s="283" t="n"/>
      <c r="I395" s="281" t="n"/>
    </row>
    <row r="396">
      <c r="E396" s="283" t="n"/>
      <c r="I396" s="281" t="n"/>
    </row>
    <row r="397">
      <c r="E397" s="283" t="n"/>
      <c r="I397" s="281" t="n"/>
    </row>
    <row r="398">
      <c r="E398" s="283" t="n"/>
      <c r="I398" s="281" t="n"/>
    </row>
    <row r="399">
      <c r="E399" s="283" t="n"/>
      <c r="I399" s="281" t="n"/>
    </row>
    <row r="400">
      <c r="E400" s="283" t="n"/>
      <c r="I400" s="281" t="n"/>
    </row>
    <row r="401">
      <c r="E401" s="283" t="n"/>
      <c r="I401" s="281" t="n"/>
    </row>
    <row r="402">
      <c r="E402" s="283" t="n"/>
      <c r="I402" s="281" t="n"/>
    </row>
    <row r="403">
      <c r="E403" s="283" t="n"/>
      <c r="I403" s="281" t="n"/>
    </row>
    <row r="404">
      <c r="E404" s="283" t="n"/>
      <c r="I404" s="281" t="n"/>
    </row>
    <row r="405">
      <c r="E405" s="283" t="n"/>
      <c r="I405" s="281" t="n"/>
    </row>
    <row r="406">
      <c r="E406" s="283" t="n"/>
      <c r="I406" s="281" t="n"/>
    </row>
    <row r="407">
      <c r="E407" s="283" t="n"/>
      <c r="I407" s="281" t="n"/>
    </row>
    <row r="408">
      <c r="E408" s="283" t="n"/>
      <c r="I408" s="281" t="n"/>
    </row>
    <row r="409">
      <c r="E409" s="283" t="n"/>
      <c r="I409" s="281" t="n"/>
    </row>
    <row r="410">
      <c r="E410" s="283" t="n"/>
      <c r="I410" s="281" t="n"/>
    </row>
    <row r="411">
      <c r="E411" s="283" t="n"/>
      <c r="I411" s="281" t="n"/>
    </row>
    <row r="412">
      <c r="E412" s="283" t="n"/>
      <c r="I412" s="281" t="n"/>
    </row>
    <row r="413">
      <c r="E413" s="283" t="n"/>
      <c r="I413" s="281" t="n"/>
    </row>
    <row r="414">
      <c r="E414" s="283" t="n"/>
      <c r="I414" s="281" t="n"/>
    </row>
    <row r="415">
      <c r="E415" s="283" t="n"/>
      <c r="I415" s="281" t="n"/>
    </row>
    <row r="416">
      <c r="E416" s="283" t="n"/>
      <c r="I416" s="281" t="n"/>
    </row>
    <row r="417">
      <c r="E417" s="283" t="n"/>
      <c r="I417" s="281" t="n"/>
    </row>
    <row r="418">
      <c r="E418" s="283" t="n"/>
      <c r="I418" s="281" t="n"/>
    </row>
    <row r="419">
      <c r="E419" s="283" t="n"/>
      <c r="I419" s="281" t="n"/>
    </row>
    <row r="420">
      <c r="E420" s="283" t="n"/>
      <c r="I420" s="281" t="n"/>
    </row>
    <row r="421">
      <c r="E421" s="283" t="n"/>
      <c r="I421" s="281" t="n"/>
    </row>
    <row r="422">
      <c r="E422" s="283" t="n"/>
      <c r="I422" s="281" t="n"/>
    </row>
    <row r="423">
      <c r="E423" s="283" t="n"/>
      <c r="I423" s="281" t="n"/>
    </row>
    <row r="424">
      <c r="E424" s="283" t="n"/>
      <c r="I424" s="281" t="n"/>
    </row>
    <row r="425">
      <c r="E425" s="283" t="n"/>
      <c r="I425" s="281" t="n"/>
    </row>
    <row r="426">
      <c r="E426" s="283" t="n"/>
      <c r="I426" s="281" t="n"/>
    </row>
    <row r="427">
      <c r="E427" s="283" t="n"/>
      <c r="I427" s="281" t="n"/>
    </row>
    <row r="428">
      <c r="E428" s="283" t="n"/>
      <c r="I428" s="281" t="n"/>
    </row>
    <row r="429">
      <c r="E429" s="283" t="n"/>
      <c r="I429" s="281" t="n"/>
    </row>
    <row r="430">
      <c r="E430" s="283" t="n"/>
      <c r="I430" s="281" t="n"/>
    </row>
    <row r="431">
      <c r="E431" s="283" t="n"/>
      <c r="I431" s="281" t="n"/>
    </row>
    <row r="432">
      <c r="E432" s="283" t="n"/>
      <c r="I432" s="281" t="n"/>
    </row>
    <row r="433">
      <c r="E433" s="283" t="n"/>
      <c r="I433" s="281" t="n"/>
    </row>
    <row r="434">
      <c r="E434" s="283" t="n"/>
      <c r="I434" s="281" t="n"/>
    </row>
    <row r="435">
      <c r="E435" s="283" t="n"/>
      <c r="I435" s="281" t="n"/>
    </row>
    <row r="436">
      <c r="E436" s="283" t="n"/>
      <c r="I436" s="281" t="n"/>
    </row>
    <row r="437">
      <c r="E437" s="283" t="n"/>
      <c r="I437" s="281" t="n"/>
    </row>
    <row r="438">
      <c r="E438" s="283" t="n"/>
      <c r="I438" s="281" t="n"/>
    </row>
    <row r="439">
      <c r="E439" s="283" t="n"/>
      <c r="I439" s="281" t="n"/>
    </row>
    <row r="440">
      <c r="E440" s="283" t="n"/>
      <c r="I440" s="281" t="n"/>
    </row>
    <row r="441">
      <c r="E441" s="283" t="n"/>
      <c r="I441" s="281" t="n"/>
    </row>
    <row r="442">
      <c r="E442" s="283" t="n"/>
      <c r="I442" s="281" t="n"/>
    </row>
    <row r="443">
      <c r="E443" s="283" t="n"/>
      <c r="I443" s="281" t="n"/>
    </row>
    <row r="444">
      <c r="E444" s="283" t="n"/>
      <c r="I444" s="281" t="n"/>
    </row>
    <row r="445">
      <c r="E445" s="283" t="n"/>
      <c r="I445" s="281" t="n"/>
    </row>
    <row r="446">
      <c r="E446" s="283" t="n"/>
      <c r="I446" s="281" t="n"/>
    </row>
    <row r="447">
      <c r="E447" s="283" t="n"/>
      <c r="I447" s="281" t="n"/>
    </row>
    <row r="448">
      <c r="E448" s="283" t="n"/>
      <c r="I448" s="281" t="n"/>
    </row>
    <row r="449">
      <c r="E449" s="283" t="n"/>
      <c r="I449" s="281" t="n"/>
    </row>
    <row r="450">
      <c r="E450" s="283" t="n"/>
      <c r="I450" s="281" t="n"/>
    </row>
    <row r="451">
      <c r="E451" s="283" t="n"/>
      <c r="I451" s="281" t="n"/>
    </row>
    <row r="452">
      <c r="E452" s="283" t="n"/>
      <c r="I452" s="281" t="n"/>
    </row>
    <row r="453">
      <c r="E453" s="283" t="n"/>
      <c r="I453" s="281" t="n"/>
    </row>
    <row r="454">
      <c r="E454" s="283" t="n"/>
      <c r="I454" s="281" t="n"/>
    </row>
    <row r="455">
      <c r="E455" s="283" t="n"/>
      <c r="I455" s="281" t="n"/>
    </row>
    <row r="456">
      <c r="E456" s="283" t="n"/>
      <c r="I456" s="281" t="n"/>
    </row>
    <row r="457">
      <c r="E457" s="283" t="n"/>
      <c r="I457" s="281" t="n"/>
    </row>
    <row r="458">
      <c r="E458" s="283" t="n"/>
      <c r="I458" s="281" t="n"/>
    </row>
    <row r="459">
      <c r="E459" s="283" t="n"/>
      <c r="I459" s="281" t="n"/>
    </row>
    <row r="460">
      <c r="E460" s="283" t="n"/>
      <c r="I460" s="281" t="n"/>
    </row>
    <row r="461">
      <c r="E461" s="283" t="n"/>
      <c r="I461" s="281" t="n"/>
    </row>
    <row r="462">
      <c r="E462" s="283" t="n"/>
      <c r="I462" s="281" t="n"/>
    </row>
    <row r="463">
      <c r="E463" s="283" t="n"/>
      <c r="I463" s="281" t="n"/>
    </row>
    <row r="464">
      <c r="E464" s="283" t="n"/>
      <c r="I464" s="281" t="n"/>
    </row>
    <row r="465">
      <c r="E465" s="283" t="n"/>
      <c r="I465" s="281" t="n"/>
    </row>
    <row r="466">
      <c r="E466" s="283" t="n"/>
      <c r="I466" s="281" t="n"/>
    </row>
    <row r="467">
      <c r="E467" s="283" t="n"/>
      <c r="I467" s="281" t="n"/>
    </row>
    <row r="468">
      <c r="E468" s="283" t="n"/>
      <c r="I468" s="281" t="n"/>
    </row>
    <row r="469">
      <c r="E469" s="283" t="n"/>
      <c r="I469" s="281" t="n"/>
    </row>
    <row r="470">
      <c r="E470" s="283" t="n"/>
      <c r="I470" s="281" t="n"/>
    </row>
    <row r="471">
      <c r="E471" s="283" t="n"/>
      <c r="I471" s="281" t="n"/>
    </row>
    <row r="472">
      <c r="E472" s="283" t="n"/>
      <c r="I472" s="281" t="n"/>
    </row>
    <row r="473">
      <c r="E473" s="283" t="n"/>
      <c r="I473" s="281" t="n"/>
    </row>
    <row r="474">
      <c r="E474" s="283" t="n"/>
      <c r="I474" s="281" t="n"/>
    </row>
    <row r="475">
      <c r="E475" s="283" t="n"/>
      <c r="I475" s="281" t="n"/>
    </row>
    <row r="476">
      <c r="E476" s="283" t="n"/>
      <c r="I476" s="281" t="n"/>
    </row>
    <row r="477">
      <c r="E477" s="283" t="n"/>
      <c r="I477" s="281" t="n"/>
    </row>
    <row r="478">
      <c r="E478" s="283" t="n"/>
      <c r="I478" s="281" t="n"/>
    </row>
    <row r="479">
      <c r="E479" s="283" t="n"/>
      <c r="I479" s="281" t="n"/>
    </row>
    <row r="480">
      <c r="E480" s="283" t="n"/>
      <c r="I480" s="281" t="n"/>
    </row>
    <row r="481">
      <c r="E481" s="283" t="n"/>
      <c r="I481" s="281" t="n"/>
    </row>
    <row r="482">
      <c r="E482" s="283" t="n"/>
      <c r="I482" s="281" t="n"/>
    </row>
    <row r="483">
      <c r="E483" s="283" t="n"/>
      <c r="I483" s="281" t="n"/>
    </row>
    <row r="484">
      <c r="E484" s="283" t="n"/>
      <c r="I484" s="281" t="n"/>
    </row>
    <row r="485">
      <c r="E485" s="283" t="n"/>
      <c r="I485" s="281" t="n"/>
    </row>
    <row r="486">
      <c r="E486" s="283" t="n"/>
      <c r="I486" s="281" t="n"/>
    </row>
    <row r="487">
      <c r="E487" s="283" t="n"/>
      <c r="I487" s="281" t="n"/>
    </row>
    <row r="488">
      <c r="E488" s="283" t="n"/>
      <c r="I488" s="281" t="n"/>
    </row>
    <row r="489">
      <c r="E489" s="283" t="n"/>
      <c r="I489" s="281" t="n"/>
    </row>
    <row r="490">
      <c r="E490" s="283" t="n"/>
      <c r="I490" s="281" t="n"/>
    </row>
    <row r="491">
      <c r="E491" s="283" t="n"/>
      <c r="I491" s="281" t="n"/>
    </row>
    <row r="492">
      <c r="E492" s="283" t="n"/>
      <c r="I492" s="281" t="n"/>
    </row>
    <row r="493">
      <c r="E493" s="283" t="n"/>
      <c r="I493" s="281" t="n"/>
    </row>
    <row r="494">
      <c r="E494" s="283" t="n"/>
      <c r="I494" s="281" t="n"/>
    </row>
    <row r="495">
      <c r="E495" s="283" t="n"/>
      <c r="I495" s="281" t="n"/>
    </row>
    <row r="496">
      <c r="E496" s="283" t="n"/>
      <c r="I496" s="281" t="n"/>
    </row>
    <row r="497">
      <c r="E497" s="283" t="n"/>
      <c r="I497" s="281" t="n"/>
    </row>
    <row r="498">
      <c r="E498" s="283" t="n"/>
      <c r="I498" s="281" t="n"/>
    </row>
    <row r="499">
      <c r="E499" s="283" t="n"/>
      <c r="I499" s="281" t="n"/>
    </row>
    <row r="500">
      <c r="E500" s="283" t="n"/>
      <c r="I500" s="281" t="n"/>
    </row>
    <row r="501">
      <c r="E501" s="283" t="n"/>
      <c r="I501" s="281" t="n"/>
    </row>
    <row r="502">
      <c r="E502" s="283" t="n"/>
      <c r="I502" s="281" t="n"/>
    </row>
    <row r="503">
      <c r="E503" s="283" t="n"/>
      <c r="I503" s="281" t="n"/>
    </row>
    <row r="504">
      <c r="E504" s="283" t="n"/>
      <c r="I504" s="281" t="n"/>
    </row>
  </sheetData>
  <mergeCells count="1">
    <mergeCell ref="A1:L2"/>
  </mergeCell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L514"/>
  <sheetViews>
    <sheetView workbookViewId="0">
      <selection activeCell="A1" sqref="A1"/>
    </sheetView>
  </sheetViews>
  <sheetFormatPr baseColWidth="8" defaultRowHeight="15"/>
  <cols>
    <col width="18" customWidth="1" style="64" min="1" max="1"/>
    <col width="30" customWidth="1" style="64" min="2" max="2"/>
    <col width="14" customWidth="1" style="64" min="3" max="3"/>
    <col width="18" customWidth="1" style="64" min="4" max="4"/>
    <col width="18" customWidth="1" style="64" min="5" max="5"/>
    <col width="14" customWidth="1" style="64" min="6" max="6"/>
    <col width="10" customWidth="1" style="64" min="7" max="7"/>
    <col width="10" customWidth="1" style="64" min="8" max="8"/>
    <col width="10" customWidth="1" style="64" min="9" max="9"/>
    <col width="10" customWidth="1" style="64" min="10" max="10"/>
    <col width="14" customWidth="1" style="64" min="11" max="11"/>
    <col width="20" customWidth="1" style="64" min="12" max="12"/>
  </cols>
  <sheetData>
    <row r="1">
      <c r="A1" s="291" t="inlineStr">
        <is>
          <t>Automated Import &amp;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2" t="inlineStr">
        <is>
          <t>Use connector CSV/JSON outputs as import batches. Validation and duplicate checks occur before records are written to Master Tenders.</t>
        </is>
      </c>
      <c r="B3" s="1" t="n"/>
      <c r="C3" s="1" t="n"/>
      <c r="D3" s="1" t="n"/>
      <c r="E3" s="1" t="n"/>
      <c r="F3" s="1" t="n"/>
      <c r="G3" s="1" t="n"/>
      <c r="H3" s="1" t="n"/>
      <c r="I3" s="1" t="n"/>
      <c r="J3" s="1" t="n"/>
      <c r="K3" s="1" t="n"/>
      <c r="L3" s="1" t="n"/>
    </row>
    <row r="5">
      <c r="A5" s="137" t="inlineStr">
        <is>
          <t>Import Setting</t>
        </is>
      </c>
      <c r="B5" s="137" t="inlineStr">
        <is>
          <t>Value</t>
        </is>
      </c>
      <c r="C5" s="137" t="inlineStr">
        <is>
          <t>Description</t>
        </is>
      </c>
      <c r="D5" s="137" t="inlineStr">
        <is>
          <t>Required</t>
        </is>
      </c>
    </row>
    <row r="6">
      <c r="A6" t="inlineStr">
        <is>
          <t>Import folder</t>
        </is>
      </c>
      <c r="B6" t="inlineStr">
        <is>
          <t>imports</t>
        </is>
      </c>
      <c r="C6" t="inlineStr">
        <is>
          <t>Folder containing connector output files</t>
        </is>
      </c>
      <c r="D6" t="inlineStr">
        <is>
          <t>Yes</t>
        </is>
      </c>
    </row>
    <row r="7">
      <c r="A7" t="inlineStr">
        <is>
          <t>Archive folder</t>
        </is>
      </c>
      <c r="B7" t="inlineStr">
        <is>
          <t>archive</t>
        </is>
      </c>
      <c r="C7" t="inlineStr">
        <is>
          <t>Processed files are moved here</t>
        </is>
      </c>
      <c r="D7" t="inlineStr">
        <is>
          <t>Yes</t>
        </is>
      </c>
    </row>
    <row r="8">
      <c r="A8" t="inlineStr">
        <is>
          <t>Rejected folder</t>
        </is>
      </c>
      <c r="B8" t="inlineStr">
        <is>
          <t>rejected</t>
        </is>
      </c>
      <c r="C8" t="inlineStr">
        <is>
          <t>Invalid files and rows</t>
        </is>
      </c>
      <c r="D8" t="inlineStr">
        <is>
          <t>Yes</t>
        </is>
      </c>
    </row>
    <row r="9">
      <c r="A9" t="inlineStr">
        <is>
          <t>Supported formats</t>
        </is>
      </c>
      <c r="B9" t="inlineStr">
        <is>
          <t>CSV, JSON</t>
        </is>
      </c>
      <c r="C9" t="inlineStr">
        <is>
          <t>CSV or JSON array records</t>
        </is>
      </c>
      <c r="D9" t="inlineStr">
        <is>
          <t>Yes</t>
        </is>
      </c>
    </row>
    <row r="10">
      <c r="A10" t="inlineStr">
        <is>
          <t>Duplicate policy</t>
        </is>
      </c>
      <c r="B10" t="inlineStr">
        <is>
          <t>Update existing</t>
        </is>
      </c>
      <c r="C10" t="inlineStr">
        <is>
          <t>Skip or update matching Agency + Tender Number</t>
        </is>
      </c>
      <c r="D10" t="inlineStr">
        <is>
          <t>Yes</t>
        </is>
      </c>
    </row>
    <row r="11">
      <c r="A11" t="inlineStr">
        <is>
          <t>Apply approved reviews</t>
        </is>
      </c>
      <c r="B11" t="inlineStr">
        <is>
          <t>Yes</t>
        </is>
      </c>
      <c r="C11" t="inlineStr">
        <is>
          <t>Apply Change Review rows marked Approve</t>
        </is>
      </c>
      <c r="D11" t="inlineStr">
        <is>
          <t>Yes</t>
        </is>
      </c>
    </row>
    <row r="14">
      <c r="A14" s="137" t="inlineStr">
        <is>
          <t>Batch ID</t>
        </is>
      </c>
      <c r="B14" s="137" t="inlineStr">
        <is>
          <t>File Name</t>
        </is>
      </c>
      <c r="C14" s="137" t="inlineStr">
        <is>
          <t>File Type</t>
        </is>
      </c>
      <c r="D14" s="137" t="inlineStr">
        <is>
          <t>Agency</t>
        </is>
      </c>
      <c r="E14" s="137" t="inlineStr">
        <is>
          <t>Received On</t>
        </is>
      </c>
      <c r="F14" s="137" t="inlineStr">
        <is>
          <t>Records Read</t>
        </is>
      </c>
      <c r="G14" s="137" t="inlineStr">
        <is>
          <t>Valid</t>
        </is>
      </c>
      <c r="H14" s="137" t="inlineStr">
        <is>
          <t>Rejected</t>
        </is>
      </c>
      <c r="I14" s="137" t="inlineStr">
        <is>
          <t>New</t>
        </is>
      </c>
      <c r="J14" s="137" t="inlineStr">
        <is>
          <t>Updated</t>
        </is>
      </c>
      <c r="K14" s="137" t="inlineStr">
        <is>
          <t>Review Items</t>
        </is>
      </c>
      <c r="L14" s="137" t="inlineStr">
        <is>
          <t>Batch Status</t>
        </is>
      </c>
    </row>
    <row r="15">
      <c r="E15" s="283" t="n"/>
    </row>
    <row r="16">
      <c r="E16" s="283" t="n"/>
    </row>
    <row r="17">
      <c r="E17" s="283" t="n"/>
    </row>
    <row r="18">
      <c r="E18" s="283" t="n"/>
    </row>
    <row r="19">
      <c r="E19" s="283" t="n"/>
    </row>
    <row r="20">
      <c r="E20" s="283" t="n"/>
    </row>
    <row r="21">
      <c r="E21" s="283" t="n"/>
    </row>
    <row r="22">
      <c r="E22" s="283" t="n"/>
    </row>
    <row r="23">
      <c r="E23" s="283" t="n"/>
    </row>
    <row r="24">
      <c r="E24" s="283" t="n"/>
    </row>
    <row r="25">
      <c r="E25" s="283" t="n"/>
    </row>
    <row r="26">
      <c r="E26" s="283" t="n"/>
    </row>
    <row r="27">
      <c r="E27" s="283" t="n"/>
    </row>
    <row r="28">
      <c r="E28" s="283" t="n"/>
    </row>
    <row r="29">
      <c r="E29" s="283" t="n"/>
    </row>
    <row r="30">
      <c r="E30" s="283" t="n"/>
    </row>
    <row r="31">
      <c r="E31" s="283" t="n"/>
    </row>
    <row r="32">
      <c r="E32" s="283" t="n"/>
    </row>
    <row r="33">
      <c r="E33" s="283" t="n"/>
    </row>
    <row r="34">
      <c r="E34" s="283" t="n"/>
    </row>
    <row r="35">
      <c r="E35" s="283" t="n"/>
    </row>
    <row r="36">
      <c r="E36" s="283" t="n"/>
    </row>
    <row r="37">
      <c r="E37" s="283" t="n"/>
    </row>
    <row r="38">
      <c r="E38" s="283" t="n"/>
    </row>
    <row r="39">
      <c r="E39" s="283" t="n"/>
    </row>
    <row r="40">
      <c r="E40" s="283" t="n"/>
    </row>
    <row r="41">
      <c r="E41" s="283" t="n"/>
    </row>
    <row r="42">
      <c r="E42" s="283" t="n"/>
    </row>
    <row r="43">
      <c r="E43" s="283" t="n"/>
    </row>
    <row r="44">
      <c r="E44" s="283" t="n"/>
    </row>
    <row r="45">
      <c r="E45" s="283" t="n"/>
    </row>
    <row r="46">
      <c r="E46" s="283" t="n"/>
    </row>
    <row r="47">
      <c r="E47" s="283" t="n"/>
    </row>
    <row r="48">
      <c r="E48" s="283" t="n"/>
    </row>
    <row r="49">
      <c r="E49" s="283" t="n"/>
    </row>
    <row r="50">
      <c r="E50" s="283" t="n"/>
    </row>
    <row r="51">
      <c r="E51" s="283" t="n"/>
    </row>
    <row r="52">
      <c r="E52" s="283" t="n"/>
    </row>
    <row r="53">
      <c r="E53" s="283" t="n"/>
    </row>
    <row r="54">
      <c r="E54" s="283" t="n"/>
    </row>
    <row r="55">
      <c r="E55" s="283" t="n"/>
    </row>
    <row r="56">
      <c r="E56" s="283" t="n"/>
    </row>
    <row r="57">
      <c r="E57" s="283" t="n"/>
    </row>
    <row r="58">
      <c r="E58" s="283" t="n"/>
    </row>
    <row r="59">
      <c r="E59" s="283" t="n"/>
    </row>
    <row r="60">
      <c r="E60" s="283" t="n"/>
    </row>
    <row r="61">
      <c r="E61" s="283" t="n"/>
    </row>
    <row r="62">
      <c r="E62" s="283" t="n"/>
    </row>
    <row r="63">
      <c r="E63" s="283" t="n"/>
    </row>
    <row r="64">
      <c r="E64" s="283" t="n"/>
    </row>
    <row r="65">
      <c r="E65" s="283" t="n"/>
    </row>
    <row r="66">
      <c r="E66" s="283" t="n"/>
    </row>
    <row r="67">
      <c r="E67" s="283" t="n"/>
    </row>
    <row r="68">
      <c r="E68" s="283" t="n"/>
    </row>
    <row r="69">
      <c r="E69" s="283" t="n"/>
    </row>
    <row r="70">
      <c r="E70" s="283" t="n"/>
    </row>
    <row r="71">
      <c r="E71" s="283" t="n"/>
    </row>
    <row r="72">
      <c r="E72" s="283" t="n"/>
    </row>
    <row r="73">
      <c r="E73" s="283" t="n"/>
    </row>
    <row r="74">
      <c r="E74" s="283" t="n"/>
    </row>
    <row r="75">
      <c r="E75" s="283" t="n"/>
    </row>
    <row r="76">
      <c r="E76" s="283" t="n"/>
    </row>
    <row r="77">
      <c r="E77" s="283" t="n"/>
    </row>
    <row r="78">
      <c r="E78" s="283" t="n"/>
    </row>
    <row r="79">
      <c r="E79" s="283" t="n"/>
    </row>
    <row r="80">
      <c r="E80" s="283" t="n"/>
    </row>
    <row r="81">
      <c r="E81" s="283" t="n"/>
    </row>
    <row r="82">
      <c r="E82" s="283" t="n"/>
    </row>
    <row r="83">
      <c r="E83" s="283" t="n"/>
    </row>
    <row r="84">
      <c r="E84" s="283" t="n"/>
    </row>
    <row r="85">
      <c r="E85" s="283" t="n"/>
    </row>
    <row r="86">
      <c r="E86" s="283" t="n"/>
    </row>
    <row r="87">
      <c r="E87" s="283" t="n"/>
    </row>
    <row r="88">
      <c r="E88" s="283" t="n"/>
    </row>
    <row r="89">
      <c r="E89" s="283" t="n"/>
    </row>
    <row r="90">
      <c r="E90" s="283" t="n"/>
    </row>
    <row r="91">
      <c r="E91" s="283" t="n"/>
    </row>
    <row r="92">
      <c r="E92" s="283" t="n"/>
    </row>
    <row r="93">
      <c r="E93" s="283" t="n"/>
    </row>
    <row r="94">
      <c r="E94" s="283" t="n"/>
    </row>
    <row r="95">
      <c r="E95" s="283" t="n"/>
    </row>
    <row r="96">
      <c r="E96" s="283" t="n"/>
    </row>
    <row r="97">
      <c r="E97" s="283" t="n"/>
    </row>
    <row r="98">
      <c r="E98" s="283" t="n"/>
    </row>
    <row r="99">
      <c r="E99" s="283" t="n"/>
    </row>
    <row r="100">
      <c r="E100" s="283" t="n"/>
    </row>
    <row r="101">
      <c r="E101" s="283" t="n"/>
    </row>
    <row r="102">
      <c r="E102" s="283" t="n"/>
    </row>
    <row r="103">
      <c r="E103" s="283" t="n"/>
    </row>
    <row r="104">
      <c r="E104" s="283" t="n"/>
    </row>
    <row r="105">
      <c r="E105" s="283" t="n"/>
    </row>
    <row r="106">
      <c r="E106" s="283" t="n"/>
    </row>
    <row r="107">
      <c r="E107" s="283" t="n"/>
    </row>
    <row r="108">
      <c r="E108" s="283" t="n"/>
    </row>
    <row r="109">
      <c r="E109" s="283" t="n"/>
    </row>
    <row r="110">
      <c r="E110" s="283" t="n"/>
    </row>
    <row r="111">
      <c r="E111" s="283" t="n"/>
    </row>
    <row r="112">
      <c r="E112" s="283" t="n"/>
    </row>
    <row r="113">
      <c r="E113" s="283" t="n"/>
    </row>
    <row r="114">
      <c r="E114" s="283" t="n"/>
    </row>
    <row r="115">
      <c r="E115" s="283" t="n"/>
    </row>
    <row r="116">
      <c r="E116" s="283" t="n"/>
    </row>
    <row r="117">
      <c r="E117" s="283" t="n"/>
    </row>
    <row r="118">
      <c r="E118" s="283" t="n"/>
    </row>
    <row r="119">
      <c r="E119" s="283" t="n"/>
    </row>
    <row r="120">
      <c r="E120" s="283" t="n"/>
    </row>
    <row r="121">
      <c r="E121" s="283" t="n"/>
    </row>
    <row r="122">
      <c r="E122" s="283" t="n"/>
    </row>
    <row r="123">
      <c r="E123" s="283" t="n"/>
    </row>
    <row r="124">
      <c r="E124" s="283" t="n"/>
    </row>
    <row r="125">
      <c r="E125" s="283" t="n"/>
    </row>
    <row r="126">
      <c r="E126" s="283" t="n"/>
    </row>
    <row r="127">
      <c r="E127" s="283" t="n"/>
    </row>
    <row r="128">
      <c r="E128" s="283" t="n"/>
    </row>
    <row r="129">
      <c r="E129" s="283" t="n"/>
    </row>
    <row r="130">
      <c r="E130" s="283" t="n"/>
    </row>
    <row r="131">
      <c r="E131" s="283" t="n"/>
    </row>
    <row r="132">
      <c r="E132" s="283" t="n"/>
    </row>
    <row r="133">
      <c r="E133" s="283" t="n"/>
    </row>
    <row r="134">
      <c r="E134" s="283" t="n"/>
    </row>
    <row r="135">
      <c r="E135" s="283" t="n"/>
    </row>
    <row r="136">
      <c r="E136" s="283" t="n"/>
    </row>
    <row r="137">
      <c r="E137" s="283" t="n"/>
    </row>
    <row r="138">
      <c r="E138" s="283" t="n"/>
    </row>
    <row r="139">
      <c r="E139" s="283" t="n"/>
    </row>
    <row r="140">
      <c r="E140" s="283" t="n"/>
    </row>
    <row r="141">
      <c r="E141" s="283" t="n"/>
    </row>
    <row r="142">
      <c r="E142" s="283" t="n"/>
    </row>
    <row r="143">
      <c r="E143" s="283" t="n"/>
    </row>
    <row r="144">
      <c r="E144" s="283" t="n"/>
    </row>
    <row r="145">
      <c r="E145" s="283" t="n"/>
    </row>
    <row r="146">
      <c r="E146" s="283" t="n"/>
    </row>
    <row r="147">
      <c r="E147" s="283" t="n"/>
    </row>
    <row r="148">
      <c r="E148" s="283" t="n"/>
    </row>
    <row r="149">
      <c r="E149" s="283" t="n"/>
    </row>
    <row r="150">
      <c r="E150" s="283" t="n"/>
    </row>
    <row r="151">
      <c r="E151" s="283" t="n"/>
    </row>
    <row r="152">
      <c r="E152" s="283" t="n"/>
    </row>
    <row r="153">
      <c r="E153" s="283" t="n"/>
    </row>
    <row r="154">
      <c r="E154" s="283" t="n"/>
    </row>
    <row r="155">
      <c r="E155" s="283" t="n"/>
    </row>
    <row r="156">
      <c r="E156" s="283" t="n"/>
    </row>
    <row r="157">
      <c r="E157" s="283" t="n"/>
    </row>
    <row r="158">
      <c r="E158" s="283" t="n"/>
    </row>
    <row r="159">
      <c r="E159" s="283" t="n"/>
    </row>
    <row r="160">
      <c r="E160" s="283" t="n"/>
    </row>
    <row r="161">
      <c r="E161" s="283" t="n"/>
    </row>
    <row r="162">
      <c r="E162" s="283" t="n"/>
    </row>
    <row r="163">
      <c r="E163" s="283" t="n"/>
    </row>
    <row r="164">
      <c r="E164" s="283" t="n"/>
    </row>
    <row r="165">
      <c r="E165" s="283" t="n"/>
    </row>
    <row r="166">
      <c r="E166" s="283" t="n"/>
    </row>
    <row r="167">
      <c r="E167" s="283" t="n"/>
    </row>
    <row r="168">
      <c r="E168" s="283" t="n"/>
    </row>
    <row r="169">
      <c r="E169" s="283" t="n"/>
    </row>
    <row r="170">
      <c r="E170" s="283" t="n"/>
    </row>
    <row r="171">
      <c r="E171" s="283" t="n"/>
    </row>
    <row r="172">
      <c r="E172" s="283" t="n"/>
    </row>
    <row r="173">
      <c r="E173" s="283" t="n"/>
    </row>
    <row r="174">
      <c r="E174" s="283" t="n"/>
    </row>
    <row r="175">
      <c r="E175" s="283" t="n"/>
    </row>
    <row r="176">
      <c r="E176" s="283" t="n"/>
    </row>
    <row r="177">
      <c r="E177" s="283" t="n"/>
    </row>
    <row r="178">
      <c r="E178" s="283" t="n"/>
    </row>
    <row r="179">
      <c r="E179" s="283" t="n"/>
    </row>
    <row r="180">
      <c r="E180" s="283" t="n"/>
    </row>
    <row r="181">
      <c r="E181" s="283" t="n"/>
    </row>
    <row r="182">
      <c r="E182" s="283" t="n"/>
    </row>
    <row r="183">
      <c r="E183" s="283" t="n"/>
    </row>
    <row r="184">
      <c r="E184" s="283" t="n"/>
    </row>
    <row r="185">
      <c r="E185" s="283" t="n"/>
    </row>
    <row r="186">
      <c r="E186" s="283" t="n"/>
    </row>
    <row r="187">
      <c r="E187" s="283" t="n"/>
    </row>
    <row r="188">
      <c r="E188" s="283" t="n"/>
    </row>
    <row r="189">
      <c r="E189" s="283" t="n"/>
    </row>
    <row r="190">
      <c r="E190" s="283" t="n"/>
    </row>
    <row r="191">
      <c r="E191" s="283" t="n"/>
    </row>
    <row r="192">
      <c r="E192" s="283" t="n"/>
    </row>
    <row r="193">
      <c r="E193" s="283" t="n"/>
    </row>
    <row r="194">
      <c r="E194" s="283" t="n"/>
    </row>
    <row r="195">
      <c r="E195" s="283" t="n"/>
    </row>
    <row r="196">
      <c r="E196" s="283" t="n"/>
    </row>
    <row r="197">
      <c r="E197" s="283" t="n"/>
    </row>
    <row r="198">
      <c r="E198" s="283" t="n"/>
    </row>
    <row r="199">
      <c r="E199" s="283" t="n"/>
    </row>
    <row r="200">
      <c r="E200" s="283" t="n"/>
    </row>
    <row r="201">
      <c r="E201" s="283" t="n"/>
    </row>
    <row r="202">
      <c r="E202" s="283" t="n"/>
    </row>
    <row r="203">
      <c r="E203" s="283" t="n"/>
    </row>
    <row r="204">
      <c r="E204" s="283" t="n"/>
    </row>
    <row r="205">
      <c r="E205" s="283" t="n"/>
    </row>
    <row r="206">
      <c r="E206" s="283" t="n"/>
    </row>
    <row r="207">
      <c r="E207" s="283" t="n"/>
    </row>
    <row r="208">
      <c r="E208" s="283" t="n"/>
    </row>
    <row r="209">
      <c r="E209" s="283" t="n"/>
    </row>
    <row r="210">
      <c r="E210" s="283" t="n"/>
    </row>
    <row r="211">
      <c r="E211" s="283" t="n"/>
    </row>
    <row r="212">
      <c r="E212" s="283" t="n"/>
    </row>
    <row r="213">
      <c r="E213" s="283" t="n"/>
    </row>
    <row r="214">
      <c r="E214" s="283" t="n"/>
    </row>
    <row r="215">
      <c r="E215" s="283" t="n"/>
    </row>
    <row r="216">
      <c r="E216" s="283" t="n"/>
    </row>
    <row r="217">
      <c r="E217" s="283" t="n"/>
    </row>
    <row r="218">
      <c r="E218" s="283" t="n"/>
    </row>
    <row r="219">
      <c r="E219" s="283" t="n"/>
    </row>
    <row r="220">
      <c r="E220" s="283" t="n"/>
    </row>
    <row r="221">
      <c r="E221" s="283" t="n"/>
    </row>
    <row r="222">
      <c r="E222" s="283" t="n"/>
    </row>
    <row r="223">
      <c r="E223" s="283" t="n"/>
    </row>
    <row r="224">
      <c r="E224" s="283" t="n"/>
    </row>
    <row r="225">
      <c r="E225" s="283" t="n"/>
    </row>
    <row r="226">
      <c r="E226" s="283" t="n"/>
    </row>
    <row r="227">
      <c r="E227" s="283" t="n"/>
    </row>
    <row r="228">
      <c r="E228" s="283" t="n"/>
    </row>
    <row r="229">
      <c r="E229" s="283" t="n"/>
    </row>
    <row r="230">
      <c r="E230" s="283" t="n"/>
    </row>
    <row r="231">
      <c r="E231" s="283" t="n"/>
    </row>
    <row r="232">
      <c r="E232" s="283" t="n"/>
    </row>
    <row r="233">
      <c r="E233" s="283" t="n"/>
    </row>
    <row r="234">
      <c r="E234" s="283" t="n"/>
    </row>
    <row r="235">
      <c r="E235" s="283" t="n"/>
    </row>
    <row r="236">
      <c r="E236" s="283" t="n"/>
    </row>
    <row r="237">
      <c r="E237" s="283" t="n"/>
    </row>
    <row r="238">
      <c r="E238" s="283" t="n"/>
    </row>
    <row r="239">
      <c r="E239" s="283" t="n"/>
    </row>
    <row r="240">
      <c r="E240" s="283" t="n"/>
    </row>
    <row r="241">
      <c r="E241" s="283" t="n"/>
    </row>
    <row r="242">
      <c r="E242" s="283" t="n"/>
    </row>
    <row r="243">
      <c r="E243" s="283" t="n"/>
    </row>
    <row r="244">
      <c r="E244" s="283" t="n"/>
    </row>
    <row r="245">
      <c r="E245" s="283" t="n"/>
    </row>
    <row r="246">
      <c r="E246" s="283" t="n"/>
    </row>
    <row r="247">
      <c r="E247" s="283" t="n"/>
    </row>
    <row r="248">
      <c r="E248" s="283" t="n"/>
    </row>
    <row r="249">
      <c r="E249" s="283" t="n"/>
    </row>
    <row r="250">
      <c r="E250" s="283" t="n"/>
    </row>
    <row r="251">
      <c r="E251" s="283" t="n"/>
    </row>
    <row r="252">
      <c r="E252" s="283" t="n"/>
    </row>
    <row r="253">
      <c r="E253" s="283" t="n"/>
    </row>
    <row r="254">
      <c r="E254" s="283" t="n"/>
    </row>
    <row r="255">
      <c r="E255" s="283" t="n"/>
    </row>
    <row r="256">
      <c r="E256" s="283" t="n"/>
    </row>
    <row r="257">
      <c r="E257" s="283" t="n"/>
    </row>
    <row r="258">
      <c r="E258" s="283" t="n"/>
    </row>
    <row r="259">
      <c r="E259" s="283" t="n"/>
    </row>
    <row r="260">
      <c r="E260" s="283" t="n"/>
    </row>
    <row r="261">
      <c r="E261" s="283" t="n"/>
    </row>
    <row r="262">
      <c r="E262" s="283" t="n"/>
    </row>
    <row r="263">
      <c r="E263" s="283" t="n"/>
    </row>
    <row r="264">
      <c r="E264" s="283" t="n"/>
    </row>
    <row r="265">
      <c r="E265" s="283" t="n"/>
    </row>
    <row r="266">
      <c r="E266" s="283" t="n"/>
    </row>
    <row r="267">
      <c r="E267" s="283" t="n"/>
    </row>
    <row r="268">
      <c r="E268" s="283" t="n"/>
    </row>
    <row r="269">
      <c r="E269" s="283" t="n"/>
    </row>
    <row r="270">
      <c r="E270" s="283" t="n"/>
    </row>
    <row r="271">
      <c r="E271" s="283" t="n"/>
    </row>
    <row r="272">
      <c r="E272" s="283" t="n"/>
    </row>
    <row r="273">
      <c r="E273" s="283" t="n"/>
    </row>
    <row r="274">
      <c r="E274" s="283" t="n"/>
    </row>
    <row r="275">
      <c r="E275" s="283" t="n"/>
    </row>
    <row r="276">
      <c r="E276" s="283" t="n"/>
    </row>
    <row r="277">
      <c r="E277" s="283" t="n"/>
    </row>
    <row r="278">
      <c r="E278" s="283" t="n"/>
    </row>
    <row r="279">
      <c r="E279" s="283" t="n"/>
    </row>
    <row r="280">
      <c r="E280" s="283" t="n"/>
    </row>
    <row r="281">
      <c r="E281" s="283" t="n"/>
    </row>
    <row r="282">
      <c r="E282" s="283" t="n"/>
    </row>
    <row r="283">
      <c r="E283" s="283" t="n"/>
    </row>
    <row r="284">
      <c r="E284" s="283" t="n"/>
    </row>
    <row r="285">
      <c r="E285" s="283" t="n"/>
    </row>
    <row r="286">
      <c r="E286" s="283" t="n"/>
    </row>
    <row r="287">
      <c r="E287" s="283" t="n"/>
    </row>
    <row r="288">
      <c r="E288" s="283" t="n"/>
    </row>
    <row r="289">
      <c r="E289" s="283" t="n"/>
    </row>
    <row r="290">
      <c r="E290" s="283" t="n"/>
    </row>
    <row r="291">
      <c r="E291" s="283" t="n"/>
    </row>
    <row r="292">
      <c r="E292" s="283" t="n"/>
    </row>
    <row r="293">
      <c r="E293" s="283" t="n"/>
    </row>
    <row r="294">
      <c r="E294" s="283" t="n"/>
    </row>
    <row r="295">
      <c r="E295" s="283" t="n"/>
    </row>
    <row r="296">
      <c r="E296" s="283" t="n"/>
    </row>
    <row r="297">
      <c r="E297" s="283" t="n"/>
    </row>
    <row r="298">
      <c r="E298" s="283" t="n"/>
    </row>
    <row r="299">
      <c r="E299" s="283" t="n"/>
    </row>
    <row r="300">
      <c r="E300" s="283" t="n"/>
    </row>
    <row r="301">
      <c r="E301" s="283" t="n"/>
    </row>
    <row r="302">
      <c r="E302" s="283" t="n"/>
    </row>
    <row r="303">
      <c r="E303" s="283" t="n"/>
    </row>
    <row r="304">
      <c r="E304" s="283" t="n"/>
    </row>
    <row r="305">
      <c r="E305" s="283" t="n"/>
    </row>
    <row r="306">
      <c r="E306" s="283" t="n"/>
    </row>
    <row r="307">
      <c r="E307" s="283" t="n"/>
    </row>
    <row r="308">
      <c r="E308" s="283" t="n"/>
    </row>
    <row r="309">
      <c r="E309" s="283" t="n"/>
    </row>
    <row r="310">
      <c r="E310" s="283" t="n"/>
    </row>
    <row r="311">
      <c r="E311" s="283" t="n"/>
    </row>
    <row r="312">
      <c r="E312" s="283" t="n"/>
    </row>
    <row r="313">
      <c r="E313" s="283" t="n"/>
    </row>
    <row r="314">
      <c r="E314" s="283" t="n"/>
    </row>
    <row r="315">
      <c r="E315" s="283" t="n"/>
    </row>
    <row r="316">
      <c r="E316" s="283" t="n"/>
    </row>
    <row r="317">
      <c r="E317" s="283" t="n"/>
    </row>
    <row r="318">
      <c r="E318" s="283" t="n"/>
    </row>
    <row r="319">
      <c r="E319" s="283" t="n"/>
    </row>
    <row r="320">
      <c r="E320" s="283" t="n"/>
    </row>
    <row r="321">
      <c r="E321" s="283" t="n"/>
    </row>
    <row r="322">
      <c r="E322" s="283" t="n"/>
    </row>
    <row r="323">
      <c r="E323" s="283" t="n"/>
    </row>
    <row r="324">
      <c r="E324" s="283" t="n"/>
    </row>
    <row r="325">
      <c r="E325" s="283" t="n"/>
    </row>
    <row r="326">
      <c r="E326" s="283" t="n"/>
    </row>
    <row r="327">
      <c r="E327" s="283" t="n"/>
    </row>
    <row r="328">
      <c r="E328" s="283" t="n"/>
    </row>
    <row r="329">
      <c r="E329" s="283" t="n"/>
    </row>
    <row r="330">
      <c r="E330" s="283" t="n"/>
    </row>
    <row r="331">
      <c r="E331" s="283" t="n"/>
    </row>
    <row r="332">
      <c r="E332" s="283" t="n"/>
    </row>
    <row r="333">
      <c r="E333" s="283" t="n"/>
    </row>
    <row r="334">
      <c r="E334" s="283" t="n"/>
    </row>
    <row r="335">
      <c r="E335" s="283" t="n"/>
    </row>
    <row r="336">
      <c r="E336" s="283" t="n"/>
    </row>
    <row r="337">
      <c r="E337" s="283" t="n"/>
    </row>
    <row r="338">
      <c r="E338" s="283" t="n"/>
    </row>
    <row r="339">
      <c r="E339" s="283" t="n"/>
    </row>
    <row r="340">
      <c r="E340" s="283" t="n"/>
    </row>
    <row r="341">
      <c r="E341" s="283" t="n"/>
    </row>
    <row r="342">
      <c r="E342" s="283" t="n"/>
    </row>
    <row r="343">
      <c r="E343" s="283" t="n"/>
    </row>
    <row r="344">
      <c r="E344" s="283" t="n"/>
    </row>
    <row r="345">
      <c r="E345" s="283" t="n"/>
    </row>
    <row r="346">
      <c r="E346" s="283" t="n"/>
    </row>
    <row r="347">
      <c r="E347" s="283" t="n"/>
    </row>
    <row r="348">
      <c r="E348" s="283" t="n"/>
    </row>
    <row r="349">
      <c r="E349" s="283" t="n"/>
    </row>
    <row r="350">
      <c r="E350" s="283" t="n"/>
    </row>
    <row r="351">
      <c r="E351" s="283" t="n"/>
    </row>
    <row r="352">
      <c r="E352" s="283" t="n"/>
    </row>
    <row r="353">
      <c r="E353" s="283" t="n"/>
    </row>
    <row r="354">
      <c r="E354" s="283" t="n"/>
    </row>
    <row r="355">
      <c r="E355" s="283" t="n"/>
    </row>
    <row r="356">
      <c r="E356" s="283" t="n"/>
    </row>
    <row r="357">
      <c r="E357" s="283" t="n"/>
    </row>
    <row r="358">
      <c r="E358" s="283" t="n"/>
    </row>
    <row r="359">
      <c r="E359" s="283" t="n"/>
    </row>
    <row r="360">
      <c r="E360" s="283" t="n"/>
    </row>
    <row r="361">
      <c r="E361" s="283" t="n"/>
    </row>
    <row r="362">
      <c r="E362" s="283" t="n"/>
    </row>
    <row r="363">
      <c r="E363" s="283" t="n"/>
    </row>
    <row r="364">
      <c r="E364" s="283" t="n"/>
    </row>
    <row r="365">
      <c r="E365" s="283" t="n"/>
    </row>
    <row r="366">
      <c r="E366" s="283" t="n"/>
    </row>
    <row r="367">
      <c r="E367" s="283" t="n"/>
    </row>
    <row r="368">
      <c r="E368" s="283" t="n"/>
    </row>
    <row r="369">
      <c r="E369" s="283" t="n"/>
    </row>
    <row r="370">
      <c r="E370" s="283" t="n"/>
    </row>
    <row r="371">
      <c r="E371" s="283" t="n"/>
    </row>
    <row r="372">
      <c r="E372" s="283" t="n"/>
    </row>
    <row r="373">
      <c r="E373" s="283" t="n"/>
    </row>
    <row r="374">
      <c r="E374" s="283" t="n"/>
    </row>
    <row r="375">
      <c r="E375" s="283" t="n"/>
    </row>
    <row r="376">
      <c r="E376" s="283" t="n"/>
    </row>
    <row r="377">
      <c r="E377" s="283" t="n"/>
    </row>
    <row r="378">
      <c r="E378" s="283" t="n"/>
    </row>
    <row r="379">
      <c r="E379" s="283" t="n"/>
    </row>
    <row r="380">
      <c r="E380" s="283" t="n"/>
    </row>
    <row r="381">
      <c r="E381" s="283" t="n"/>
    </row>
    <row r="382">
      <c r="E382" s="283" t="n"/>
    </row>
    <row r="383">
      <c r="E383" s="283" t="n"/>
    </row>
    <row r="384">
      <c r="E384" s="283" t="n"/>
    </row>
    <row r="385">
      <c r="E385" s="283" t="n"/>
    </row>
    <row r="386">
      <c r="E386" s="283" t="n"/>
    </row>
    <row r="387">
      <c r="E387" s="283" t="n"/>
    </row>
    <row r="388">
      <c r="E388" s="283" t="n"/>
    </row>
    <row r="389">
      <c r="E389" s="283" t="n"/>
    </row>
    <row r="390">
      <c r="E390" s="283" t="n"/>
    </row>
    <row r="391">
      <c r="E391" s="283" t="n"/>
    </row>
    <row r="392">
      <c r="E392" s="283" t="n"/>
    </row>
    <row r="393">
      <c r="E393" s="283" t="n"/>
    </row>
    <row r="394">
      <c r="E394" s="283" t="n"/>
    </row>
    <row r="395">
      <c r="E395" s="283" t="n"/>
    </row>
    <row r="396">
      <c r="E396" s="283" t="n"/>
    </row>
    <row r="397">
      <c r="E397" s="283" t="n"/>
    </row>
    <row r="398">
      <c r="E398" s="283" t="n"/>
    </row>
    <row r="399">
      <c r="E399" s="283" t="n"/>
    </row>
    <row r="400">
      <c r="E400" s="283" t="n"/>
    </row>
    <row r="401">
      <c r="E401" s="283" t="n"/>
    </row>
    <row r="402">
      <c r="E402" s="283" t="n"/>
    </row>
    <row r="403">
      <c r="E403" s="283" t="n"/>
    </row>
    <row r="404">
      <c r="E404" s="283" t="n"/>
    </row>
    <row r="405">
      <c r="E405" s="283" t="n"/>
    </row>
    <row r="406">
      <c r="E406" s="283" t="n"/>
    </row>
    <row r="407">
      <c r="E407" s="283" t="n"/>
    </row>
    <row r="408">
      <c r="E408" s="283" t="n"/>
    </row>
    <row r="409">
      <c r="E409" s="283" t="n"/>
    </row>
    <row r="410">
      <c r="E410" s="283" t="n"/>
    </row>
    <row r="411">
      <c r="E411" s="283" t="n"/>
    </row>
    <row r="412">
      <c r="E412" s="283" t="n"/>
    </row>
    <row r="413">
      <c r="E413" s="283" t="n"/>
    </row>
    <row r="414">
      <c r="E414" s="283" t="n"/>
    </row>
    <row r="415">
      <c r="E415" s="283" t="n"/>
    </row>
    <row r="416">
      <c r="E416" s="283" t="n"/>
    </row>
    <row r="417">
      <c r="E417" s="283" t="n"/>
    </row>
    <row r="418">
      <c r="E418" s="283" t="n"/>
    </row>
    <row r="419">
      <c r="E419" s="283" t="n"/>
    </row>
    <row r="420">
      <c r="E420" s="283" t="n"/>
    </row>
    <row r="421">
      <c r="E421" s="283" t="n"/>
    </row>
    <row r="422">
      <c r="E422" s="283" t="n"/>
    </row>
    <row r="423">
      <c r="E423" s="283" t="n"/>
    </row>
    <row r="424">
      <c r="E424" s="283" t="n"/>
    </row>
    <row r="425">
      <c r="E425" s="283" t="n"/>
    </row>
    <row r="426">
      <c r="E426" s="283" t="n"/>
    </row>
    <row r="427">
      <c r="E427" s="283" t="n"/>
    </row>
    <row r="428">
      <c r="E428" s="283" t="n"/>
    </row>
    <row r="429">
      <c r="E429" s="283" t="n"/>
    </row>
    <row r="430">
      <c r="E430" s="283" t="n"/>
    </row>
    <row r="431">
      <c r="E431" s="283" t="n"/>
    </row>
    <row r="432">
      <c r="E432" s="283" t="n"/>
    </row>
    <row r="433">
      <c r="E433" s="283" t="n"/>
    </row>
    <row r="434">
      <c r="E434" s="283" t="n"/>
    </row>
    <row r="435">
      <c r="E435" s="283" t="n"/>
    </row>
    <row r="436">
      <c r="E436" s="283" t="n"/>
    </row>
    <row r="437">
      <c r="E437" s="283" t="n"/>
    </row>
    <row r="438">
      <c r="E438" s="283" t="n"/>
    </row>
    <row r="439">
      <c r="E439" s="283" t="n"/>
    </row>
    <row r="440">
      <c r="E440" s="283" t="n"/>
    </row>
    <row r="441">
      <c r="E441" s="283" t="n"/>
    </row>
    <row r="442">
      <c r="E442" s="283" t="n"/>
    </row>
    <row r="443">
      <c r="E443" s="283" t="n"/>
    </row>
    <row r="444">
      <c r="E444" s="283" t="n"/>
    </row>
    <row r="445">
      <c r="E445" s="283" t="n"/>
    </row>
    <row r="446">
      <c r="E446" s="283" t="n"/>
    </row>
    <row r="447">
      <c r="E447" s="283" t="n"/>
    </row>
    <row r="448">
      <c r="E448" s="283" t="n"/>
    </row>
    <row r="449">
      <c r="E449" s="283" t="n"/>
    </row>
    <row r="450">
      <c r="E450" s="283" t="n"/>
    </row>
    <row r="451">
      <c r="E451" s="283" t="n"/>
    </row>
    <row r="452">
      <c r="E452" s="283" t="n"/>
    </row>
    <row r="453">
      <c r="E453" s="283" t="n"/>
    </row>
    <row r="454">
      <c r="E454" s="283" t="n"/>
    </row>
    <row r="455">
      <c r="E455" s="283" t="n"/>
    </row>
    <row r="456">
      <c r="E456" s="283" t="n"/>
    </row>
    <row r="457">
      <c r="E457" s="283" t="n"/>
    </row>
    <row r="458">
      <c r="E458" s="283" t="n"/>
    </row>
    <row r="459">
      <c r="E459" s="283" t="n"/>
    </row>
    <row r="460">
      <c r="E460" s="283" t="n"/>
    </row>
    <row r="461">
      <c r="E461" s="283" t="n"/>
    </row>
    <row r="462">
      <c r="E462" s="283" t="n"/>
    </row>
    <row r="463">
      <c r="E463" s="283" t="n"/>
    </row>
    <row r="464">
      <c r="E464" s="283" t="n"/>
    </row>
    <row r="465">
      <c r="E465" s="283" t="n"/>
    </row>
    <row r="466">
      <c r="E466" s="283" t="n"/>
    </row>
    <row r="467">
      <c r="E467" s="283" t="n"/>
    </row>
    <row r="468">
      <c r="E468" s="283" t="n"/>
    </row>
    <row r="469">
      <c r="E469" s="283" t="n"/>
    </row>
    <row r="470">
      <c r="E470" s="283" t="n"/>
    </row>
    <row r="471">
      <c r="E471" s="283" t="n"/>
    </row>
    <row r="472">
      <c r="E472" s="283" t="n"/>
    </row>
    <row r="473">
      <c r="E473" s="283" t="n"/>
    </row>
    <row r="474">
      <c r="E474" s="283" t="n"/>
    </row>
    <row r="475">
      <c r="E475" s="283" t="n"/>
    </row>
    <row r="476">
      <c r="E476" s="283" t="n"/>
    </row>
    <row r="477">
      <c r="E477" s="283" t="n"/>
    </row>
    <row r="478">
      <c r="E478" s="283" t="n"/>
    </row>
    <row r="479">
      <c r="E479" s="283" t="n"/>
    </row>
    <row r="480">
      <c r="E480" s="283" t="n"/>
    </row>
    <row r="481">
      <c r="E481" s="283" t="n"/>
    </row>
    <row r="482">
      <c r="E482" s="283" t="n"/>
    </row>
    <row r="483">
      <c r="E483" s="283" t="n"/>
    </row>
    <row r="484">
      <c r="E484" s="283" t="n"/>
    </row>
    <row r="485">
      <c r="E485" s="283" t="n"/>
    </row>
    <row r="486">
      <c r="E486" s="283" t="n"/>
    </row>
    <row r="487">
      <c r="E487" s="283" t="n"/>
    </row>
    <row r="488">
      <c r="E488" s="283" t="n"/>
    </row>
    <row r="489">
      <c r="E489" s="283" t="n"/>
    </row>
    <row r="490">
      <c r="E490" s="283" t="n"/>
    </row>
    <row r="491">
      <c r="E491" s="283" t="n"/>
    </row>
    <row r="492">
      <c r="E492" s="283" t="n"/>
    </row>
    <row r="493">
      <c r="E493" s="283" t="n"/>
    </row>
    <row r="494">
      <c r="E494" s="283" t="n"/>
    </row>
    <row r="495">
      <c r="E495" s="283" t="n"/>
    </row>
    <row r="496">
      <c r="E496" s="283" t="n"/>
    </row>
    <row r="497">
      <c r="E497" s="283" t="n"/>
    </row>
    <row r="498">
      <c r="E498" s="283" t="n"/>
    </row>
    <row r="499">
      <c r="E499" s="283" t="n"/>
    </row>
    <row r="500">
      <c r="E500" s="283" t="n"/>
    </row>
    <row r="501">
      <c r="E501" s="283" t="n"/>
    </row>
    <row r="502">
      <c r="E502" s="283" t="n"/>
    </row>
    <row r="503">
      <c r="E503" s="283" t="n"/>
    </row>
    <row r="504">
      <c r="E504" s="283" t="n"/>
    </row>
    <row r="505">
      <c r="E505" s="283" t="n"/>
    </row>
    <row r="506">
      <c r="E506" s="283" t="n"/>
    </row>
    <row r="507">
      <c r="E507" s="283" t="n"/>
    </row>
    <row r="508">
      <c r="E508" s="283" t="n"/>
    </row>
    <row r="509">
      <c r="E509" s="283" t="n"/>
    </row>
    <row r="510">
      <c r="E510" s="283" t="n"/>
    </row>
    <row r="511">
      <c r="E511" s="283" t="n"/>
    </row>
    <row r="512">
      <c r="E512" s="283" t="n"/>
    </row>
    <row r="513">
      <c r="E513" s="283" t="n"/>
    </row>
    <row r="514">
      <c r="E514" s="283" t="n"/>
    </row>
  </sheetData>
  <mergeCells count="2">
    <mergeCell ref="A3:L3"/>
    <mergeCell ref="A1:L2"/>
  </mergeCells>
  <dataValidations count="2">
    <dataValidation sqref="B10:B11" showDropDown="0" showInputMessage="0" showErrorMessage="0" allowBlank="0" type="list">
      <formula1>"Skip and log,Update existing,Yes,No"</formula1>
    </dataValidation>
    <dataValidation sqref="L15:L514" showDropDown="0" showInputMessage="0" showErrorMessage="0" allowBlank="0" type="list">
      <formula1>"Pending,Validated,Imported,Partially Imported,Rejected,Archived"</formula1>
    </dataValidation>
  </dataValidations>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18" customWidth="1" style="64" min="1" max="1"/>
    <col width="18" customWidth="1" style="64" min="2" max="2"/>
    <col width="12" customWidth="1" style="64" min="3" max="3"/>
    <col width="18" customWidth="1" style="64" min="4" max="4"/>
    <col width="22" customWidth="1" style="64" min="5" max="5"/>
    <col width="20" customWidth="1" style="64" min="6" max="6"/>
    <col width="28" customWidth="1" style="64" min="7" max="7"/>
    <col width="34" customWidth="1" style="64" min="8" max="8"/>
    <col width="14" customWidth="1" style="64" min="9" max="9"/>
    <col width="16" customWidth="1" style="64" min="10" max="10"/>
    <col width="30" customWidth="1" style="64" min="11" max="11"/>
  </cols>
  <sheetData>
    <row r="1">
      <c r="A1" s="291" t="inlineStr">
        <is>
          <t>Import Validation Errors</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37" t="inlineStr">
        <is>
          <t>Error ID</t>
        </is>
      </c>
      <c r="B4" s="137" t="inlineStr">
        <is>
          <t>Batch ID</t>
        </is>
      </c>
      <c r="C4" s="137" t="inlineStr">
        <is>
          <t>Row Number</t>
        </is>
      </c>
      <c r="D4" s="137" t="inlineStr">
        <is>
          <t>Agency</t>
        </is>
      </c>
      <c r="E4" s="137" t="inlineStr">
        <is>
          <t>Tender Number</t>
        </is>
      </c>
      <c r="F4" s="137" t="inlineStr">
        <is>
          <t>Field</t>
        </is>
      </c>
      <c r="G4" s="137" t="inlineStr">
        <is>
          <t>Invalid Value</t>
        </is>
      </c>
      <c r="H4" s="137" t="inlineStr">
        <is>
          <t>Validation Rule</t>
        </is>
      </c>
      <c r="I4" s="137" t="inlineStr">
        <is>
          <t>Severity</t>
        </is>
      </c>
      <c r="J4" s="137" t="inlineStr">
        <is>
          <t>Resolution</t>
        </is>
      </c>
      <c r="K4" s="137" t="inlineStr">
        <is>
          <t>Notes</t>
        </is>
      </c>
    </row>
  </sheetData>
  <mergeCells count="1">
    <mergeCell ref="A1:K2"/>
  </mergeCells>
  <conditionalFormatting sqref="I5:I504">
    <cfRule type="expression" priority="1" dxfId="9">
      <formula>I5="Critical"</formula>
    </cfRule>
    <cfRule type="expression" priority="2" dxfId="1">
      <formula>I5="Warning"</formula>
    </cfRule>
  </conditionalFormatting>
  <dataValidations count="2">
    <dataValidation sqref="I5:I504" showDropDown="0" showInputMessage="0" showErrorMessage="0" allowBlank="0" type="list">
      <formula1>"Warning,Error,Critical"</formula1>
    </dataValidation>
    <dataValidation sqref="J5:J504" showDropDown="0" showInputMessage="0" showErrorMessage="0" allowBlank="0" type="list">
      <formula1>"Pending,Corrected,Ignored,Rejected"</formula1>
    </dataValidation>
  </dataValidations>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18" customWidth="1" style="64" min="1" max="1"/>
    <col width="18" customWidth="1" style="64" min="2" max="2"/>
    <col width="16" customWidth="1" style="64" min="3" max="3"/>
    <col width="18" customWidth="1" style="64" min="4" max="4"/>
    <col width="18" customWidth="1" style="64" min="5" max="5"/>
    <col width="22" customWidth="1" style="64" min="6" max="6"/>
    <col width="22" customWidth="1" style="64" min="7" max="7"/>
    <col width="20" customWidth="1" style="64" min="8" max="8"/>
    <col width="26" customWidth="1" style="64" min="9" max="9"/>
    <col width="26" customWidth="1" style="64" min="10" max="10"/>
    <col width="14" customWidth="1" style="64" min="11" max="11"/>
    <col width="14" customWidth="1" style="64" min="12" max="12"/>
    <col width="32" customWidth="1" style="64" min="13" max="13"/>
  </cols>
  <sheetData>
    <row r="1">
      <c r="A1" s="291" t="inlineStr">
        <is>
          <t>Master Database Write-Back Audit</t>
        </is>
      </c>
      <c r="B1" s="1" t="n"/>
      <c r="C1" s="1" t="n"/>
      <c r="D1" s="1" t="n"/>
      <c r="E1" s="1" t="n"/>
      <c r="F1" s="1" t="n"/>
      <c r="G1" s="1" t="n"/>
      <c r="H1" s="1" t="n"/>
      <c r="I1" s="1" t="n"/>
      <c r="J1" s="1" t="n"/>
      <c r="K1" s="1" t="n"/>
      <c r="L1" s="1" t="n"/>
      <c r="M1" s="1" t="n"/>
    </row>
    <row r="2">
      <c r="A2" s="1" t="n"/>
      <c r="B2" s="1" t="n"/>
      <c r="C2" s="1" t="n"/>
      <c r="D2" s="1" t="n"/>
      <c r="E2" s="1" t="n"/>
      <c r="F2" s="1" t="n"/>
      <c r="G2" s="1" t="n"/>
      <c r="H2" s="1" t="n"/>
      <c r="I2" s="1" t="n"/>
      <c r="J2" s="1" t="n"/>
      <c r="K2" s="1" t="n"/>
      <c r="L2" s="1" t="n"/>
      <c r="M2" s="1" t="n"/>
    </row>
    <row r="4">
      <c r="A4" s="137" t="inlineStr">
        <is>
          <t>Audit ID</t>
        </is>
      </c>
      <c r="B4" s="137" t="inlineStr">
        <is>
          <t>Timestamp</t>
        </is>
      </c>
      <c r="C4" s="137" t="inlineStr">
        <is>
          <t>Operation</t>
        </is>
      </c>
      <c r="D4" s="137" t="inlineStr">
        <is>
          <t>Tender ID</t>
        </is>
      </c>
      <c r="E4" s="137" t="inlineStr">
        <is>
          <t>Agency</t>
        </is>
      </c>
      <c r="F4" s="137" t="inlineStr">
        <is>
          <t>Tender Number</t>
        </is>
      </c>
      <c r="G4" s="137" t="inlineStr">
        <is>
          <t>Source Batch / Review</t>
        </is>
      </c>
      <c r="H4" s="137" t="inlineStr">
        <is>
          <t>Field</t>
        </is>
      </c>
      <c r="I4" s="137" t="inlineStr">
        <is>
          <t>Old Value</t>
        </is>
      </c>
      <c r="J4" s="137" t="inlineStr">
        <is>
          <t>New Value</t>
        </is>
      </c>
      <c r="K4" s="137" t="inlineStr">
        <is>
          <t>Result</t>
        </is>
      </c>
      <c r="L4" s="137" t="inlineStr">
        <is>
          <t>Workbook Row</t>
        </is>
      </c>
      <c r="M4" s="137" t="inlineStr">
        <is>
          <t>Notes</t>
        </is>
      </c>
    </row>
    <row r="5">
      <c r="B5" s="283" t="n"/>
    </row>
    <row r="6">
      <c r="B6" s="283" t="n"/>
    </row>
    <row r="7">
      <c r="B7" s="283" t="n"/>
    </row>
    <row r="8">
      <c r="B8" s="283" t="n"/>
    </row>
    <row r="9">
      <c r="B9" s="283" t="n"/>
    </row>
    <row r="10">
      <c r="B10" s="283" t="n"/>
    </row>
    <row r="11">
      <c r="B11" s="283" t="n"/>
    </row>
    <row r="12">
      <c r="B12" s="283" t="n"/>
    </row>
    <row r="13">
      <c r="B13" s="283" t="n"/>
    </row>
    <row r="14">
      <c r="B14" s="283" t="n"/>
    </row>
    <row r="15">
      <c r="B15" s="283" t="n"/>
    </row>
    <row r="16">
      <c r="B16" s="283" t="n"/>
    </row>
    <row r="17">
      <c r="B17" s="283" t="n"/>
    </row>
    <row r="18">
      <c r="B18" s="283" t="n"/>
    </row>
    <row r="19">
      <c r="B19" s="283" t="n"/>
    </row>
    <row r="20">
      <c r="B20" s="283" t="n"/>
    </row>
    <row r="21">
      <c r="B21" s="283" t="n"/>
    </row>
    <row r="22">
      <c r="B22" s="283" t="n"/>
    </row>
    <row r="23">
      <c r="B23" s="283" t="n"/>
    </row>
    <row r="24">
      <c r="B24" s="283" t="n"/>
    </row>
    <row r="25">
      <c r="B25" s="283" t="n"/>
    </row>
    <row r="26">
      <c r="B26" s="283" t="n"/>
    </row>
    <row r="27">
      <c r="B27" s="283" t="n"/>
    </row>
    <row r="28">
      <c r="B28" s="283" t="n"/>
    </row>
    <row r="29">
      <c r="B29" s="283" t="n"/>
    </row>
    <row r="30">
      <c r="B30" s="283" t="n"/>
    </row>
    <row r="31">
      <c r="B31" s="283" t="n"/>
    </row>
    <row r="32">
      <c r="B32" s="283" t="n"/>
    </row>
    <row r="33">
      <c r="B33" s="283" t="n"/>
    </row>
    <row r="34">
      <c r="B34" s="283" t="n"/>
    </row>
    <row r="35">
      <c r="B35" s="283" t="n"/>
    </row>
    <row r="36">
      <c r="B36" s="283" t="n"/>
    </row>
    <row r="37">
      <c r="B37" s="283" t="n"/>
    </row>
    <row r="38">
      <c r="B38" s="283" t="n"/>
    </row>
    <row r="39">
      <c r="B39" s="283" t="n"/>
    </row>
    <row r="40">
      <c r="B40" s="283" t="n"/>
    </row>
    <row r="41">
      <c r="B41" s="283" t="n"/>
    </row>
    <row r="42">
      <c r="B42" s="283" t="n"/>
    </row>
    <row r="43">
      <c r="B43" s="283" t="n"/>
    </row>
    <row r="44">
      <c r="B44" s="283" t="n"/>
    </row>
    <row r="45">
      <c r="B45" s="283" t="n"/>
    </row>
    <row r="46">
      <c r="B46" s="283" t="n"/>
    </row>
    <row r="47">
      <c r="B47" s="283" t="n"/>
    </row>
    <row r="48">
      <c r="B48" s="283" t="n"/>
    </row>
    <row r="49">
      <c r="B49" s="283" t="n"/>
    </row>
    <row r="50">
      <c r="B50" s="283" t="n"/>
    </row>
    <row r="51">
      <c r="B51" s="283" t="n"/>
    </row>
    <row r="52">
      <c r="B52" s="283" t="n"/>
    </row>
    <row r="53">
      <c r="B53" s="283" t="n"/>
    </row>
    <row r="54">
      <c r="B54" s="283" t="n"/>
    </row>
    <row r="55">
      <c r="B55" s="283" t="n"/>
    </row>
    <row r="56">
      <c r="B56" s="283" t="n"/>
    </row>
    <row r="57">
      <c r="B57" s="283" t="n"/>
    </row>
    <row r="58">
      <c r="B58" s="283" t="n"/>
    </row>
    <row r="59">
      <c r="B59" s="283" t="n"/>
    </row>
    <row r="60">
      <c r="B60" s="283" t="n"/>
    </row>
    <row r="61">
      <c r="B61" s="283" t="n"/>
    </row>
    <row r="62">
      <c r="B62" s="283" t="n"/>
    </row>
    <row r="63">
      <c r="B63" s="283" t="n"/>
    </row>
    <row r="64">
      <c r="B64" s="283" t="n"/>
    </row>
    <row r="65">
      <c r="B65" s="283" t="n"/>
    </row>
    <row r="66">
      <c r="B66" s="283" t="n"/>
    </row>
    <row r="67">
      <c r="B67" s="283" t="n"/>
    </row>
    <row r="68">
      <c r="B68" s="283" t="n"/>
    </row>
    <row r="69">
      <c r="B69" s="283" t="n"/>
    </row>
    <row r="70">
      <c r="B70" s="283" t="n"/>
    </row>
    <row r="71">
      <c r="B71" s="283" t="n"/>
    </row>
    <row r="72">
      <c r="B72" s="283" t="n"/>
    </row>
    <row r="73">
      <c r="B73" s="283" t="n"/>
    </row>
    <row r="74">
      <c r="B74" s="283" t="n"/>
    </row>
    <row r="75">
      <c r="B75" s="283" t="n"/>
    </row>
    <row r="76">
      <c r="B76" s="283" t="n"/>
    </row>
    <row r="77">
      <c r="B77" s="283" t="n"/>
    </row>
    <row r="78">
      <c r="B78" s="283" t="n"/>
    </row>
    <row r="79">
      <c r="B79" s="283" t="n"/>
    </row>
    <row r="80">
      <c r="B80" s="283" t="n"/>
    </row>
    <row r="81">
      <c r="B81" s="283" t="n"/>
    </row>
    <row r="82">
      <c r="B82" s="283" t="n"/>
    </row>
    <row r="83">
      <c r="B83" s="283" t="n"/>
    </row>
    <row r="84">
      <c r="B84" s="283" t="n"/>
    </row>
    <row r="85">
      <c r="B85" s="283" t="n"/>
    </row>
    <row r="86">
      <c r="B86" s="283" t="n"/>
    </row>
    <row r="87">
      <c r="B87" s="283" t="n"/>
    </row>
    <row r="88">
      <c r="B88" s="283" t="n"/>
    </row>
    <row r="89">
      <c r="B89" s="283" t="n"/>
    </row>
    <row r="90">
      <c r="B90" s="283" t="n"/>
    </row>
    <row r="91">
      <c r="B91" s="283" t="n"/>
    </row>
    <row r="92">
      <c r="B92" s="283" t="n"/>
    </row>
    <row r="93">
      <c r="B93" s="283" t="n"/>
    </row>
    <row r="94">
      <c r="B94" s="283" t="n"/>
    </row>
    <row r="95">
      <c r="B95" s="283" t="n"/>
    </row>
    <row r="96">
      <c r="B96" s="283" t="n"/>
    </row>
    <row r="97">
      <c r="B97" s="283" t="n"/>
    </row>
    <row r="98">
      <c r="B98" s="283" t="n"/>
    </row>
    <row r="99">
      <c r="B99" s="283" t="n"/>
    </row>
    <row r="100">
      <c r="B100" s="283" t="n"/>
    </row>
    <row r="101">
      <c r="B101" s="283" t="n"/>
    </row>
    <row r="102">
      <c r="B102" s="283" t="n"/>
    </row>
    <row r="103">
      <c r="B103" s="283" t="n"/>
    </row>
    <row r="104">
      <c r="B104" s="283" t="n"/>
    </row>
    <row r="105">
      <c r="B105" s="283" t="n"/>
    </row>
    <row r="106">
      <c r="B106" s="283" t="n"/>
    </row>
    <row r="107">
      <c r="B107" s="283" t="n"/>
    </row>
    <row r="108">
      <c r="B108" s="283" t="n"/>
    </row>
    <row r="109">
      <c r="B109" s="283" t="n"/>
    </row>
    <row r="110">
      <c r="B110" s="283" t="n"/>
    </row>
    <row r="111">
      <c r="B111" s="283" t="n"/>
    </row>
    <row r="112">
      <c r="B112" s="283" t="n"/>
    </row>
    <row r="113">
      <c r="B113" s="283" t="n"/>
    </row>
    <row r="114">
      <c r="B114" s="283" t="n"/>
    </row>
    <row r="115">
      <c r="B115" s="283" t="n"/>
    </row>
    <row r="116">
      <c r="B116" s="283" t="n"/>
    </row>
    <row r="117">
      <c r="B117" s="283" t="n"/>
    </row>
    <row r="118">
      <c r="B118" s="283" t="n"/>
    </row>
    <row r="119">
      <c r="B119" s="283" t="n"/>
    </row>
    <row r="120">
      <c r="B120" s="283" t="n"/>
    </row>
    <row r="121">
      <c r="B121" s="283" t="n"/>
    </row>
    <row r="122">
      <c r="B122" s="283" t="n"/>
    </row>
    <row r="123">
      <c r="B123" s="283" t="n"/>
    </row>
    <row r="124">
      <c r="B124" s="283" t="n"/>
    </row>
    <row r="125">
      <c r="B125" s="283" t="n"/>
    </row>
    <row r="126">
      <c r="B126" s="283" t="n"/>
    </row>
    <row r="127">
      <c r="B127" s="283" t="n"/>
    </row>
    <row r="128">
      <c r="B128" s="283" t="n"/>
    </row>
    <row r="129">
      <c r="B129" s="283" t="n"/>
    </row>
    <row r="130">
      <c r="B130" s="283" t="n"/>
    </row>
    <row r="131">
      <c r="B131" s="283" t="n"/>
    </row>
    <row r="132">
      <c r="B132" s="283" t="n"/>
    </row>
    <row r="133">
      <c r="B133" s="283" t="n"/>
    </row>
    <row r="134">
      <c r="B134" s="283" t="n"/>
    </row>
    <row r="135">
      <c r="B135" s="283" t="n"/>
    </row>
    <row r="136">
      <c r="B136" s="283" t="n"/>
    </row>
    <row r="137">
      <c r="B137" s="283" t="n"/>
    </row>
    <row r="138">
      <c r="B138" s="283" t="n"/>
    </row>
    <row r="139">
      <c r="B139" s="283" t="n"/>
    </row>
    <row r="140">
      <c r="B140" s="283" t="n"/>
    </row>
    <row r="141">
      <c r="B141" s="283" t="n"/>
    </row>
    <row r="142">
      <c r="B142" s="283" t="n"/>
    </row>
    <row r="143">
      <c r="B143" s="283" t="n"/>
    </row>
    <row r="144">
      <c r="B144" s="283" t="n"/>
    </row>
    <row r="145">
      <c r="B145" s="283" t="n"/>
    </row>
    <row r="146">
      <c r="B146" s="283" t="n"/>
    </row>
    <row r="147">
      <c r="B147" s="283" t="n"/>
    </row>
    <row r="148">
      <c r="B148" s="283" t="n"/>
    </row>
    <row r="149">
      <c r="B149" s="283" t="n"/>
    </row>
    <row r="150">
      <c r="B150" s="283" t="n"/>
    </row>
    <row r="151">
      <c r="B151" s="283" t="n"/>
    </row>
    <row r="152">
      <c r="B152" s="283" t="n"/>
    </row>
    <row r="153">
      <c r="B153" s="283" t="n"/>
    </row>
    <row r="154">
      <c r="B154" s="283" t="n"/>
    </row>
    <row r="155">
      <c r="B155" s="283" t="n"/>
    </row>
    <row r="156">
      <c r="B156" s="283" t="n"/>
    </row>
    <row r="157">
      <c r="B157" s="283" t="n"/>
    </row>
    <row r="158">
      <c r="B158" s="283" t="n"/>
    </row>
    <row r="159">
      <c r="B159" s="283" t="n"/>
    </row>
    <row r="160">
      <c r="B160" s="283" t="n"/>
    </row>
    <row r="161">
      <c r="B161" s="283" t="n"/>
    </row>
    <row r="162">
      <c r="B162" s="283" t="n"/>
    </row>
    <row r="163">
      <c r="B163" s="283" t="n"/>
    </row>
    <row r="164">
      <c r="B164" s="283" t="n"/>
    </row>
    <row r="165">
      <c r="B165" s="283" t="n"/>
    </row>
    <row r="166">
      <c r="B166" s="283" t="n"/>
    </row>
    <row r="167">
      <c r="B167" s="283" t="n"/>
    </row>
    <row r="168">
      <c r="B168" s="283" t="n"/>
    </row>
    <row r="169">
      <c r="B169" s="283" t="n"/>
    </row>
    <row r="170">
      <c r="B170" s="283" t="n"/>
    </row>
    <row r="171">
      <c r="B171" s="283" t="n"/>
    </row>
    <row r="172">
      <c r="B172" s="283" t="n"/>
    </row>
    <row r="173">
      <c r="B173" s="283" t="n"/>
    </row>
    <row r="174">
      <c r="B174" s="283" t="n"/>
    </row>
    <row r="175">
      <c r="B175" s="283" t="n"/>
    </row>
    <row r="176">
      <c r="B176" s="283" t="n"/>
    </row>
    <row r="177">
      <c r="B177" s="283" t="n"/>
    </row>
    <row r="178">
      <c r="B178" s="283" t="n"/>
    </row>
    <row r="179">
      <c r="B179" s="283" t="n"/>
    </row>
    <row r="180">
      <c r="B180" s="283" t="n"/>
    </row>
    <row r="181">
      <c r="B181" s="283" t="n"/>
    </row>
    <row r="182">
      <c r="B182" s="283" t="n"/>
    </row>
    <row r="183">
      <c r="B183" s="283" t="n"/>
    </row>
    <row r="184">
      <c r="B184" s="283" t="n"/>
    </row>
    <row r="185">
      <c r="B185" s="283" t="n"/>
    </row>
    <row r="186">
      <c r="B186" s="283" t="n"/>
    </row>
    <row r="187">
      <c r="B187" s="283" t="n"/>
    </row>
    <row r="188">
      <c r="B188" s="283" t="n"/>
    </row>
    <row r="189">
      <c r="B189" s="283" t="n"/>
    </row>
    <row r="190">
      <c r="B190" s="283" t="n"/>
    </row>
    <row r="191">
      <c r="B191" s="283" t="n"/>
    </row>
    <row r="192">
      <c r="B192" s="283" t="n"/>
    </row>
    <row r="193">
      <c r="B193" s="283" t="n"/>
    </row>
    <row r="194">
      <c r="B194" s="283" t="n"/>
    </row>
    <row r="195">
      <c r="B195" s="283" t="n"/>
    </row>
    <row r="196">
      <c r="B196" s="283" t="n"/>
    </row>
    <row r="197">
      <c r="B197" s="283" t="n"/>
    </row>
    <row r="198">
      <c r="B198" s="283" t="n"/>
    </row>
    <row r="199">
      <c r="B199" s="283" t="n"/>
    </row>
    <row r="200">
      <c r="B200" s="283" t="n"/>
    </row>
    <row r="201">
      <c r="B201" s="283" t="n"/>
    </row>
    <row r="202">
      <c r="B202" s="283" t="n"/>
    </row>
    <row r="203">
      <c r="B203" s="283" t="n"/>
    </row>
    <row r="204">
      <c r="B204" s="283" t="n"/>
    </row>
    <row r="205">
      <c r="B205" s="283" t="n"/>
    </row>
    <row r="206">
      <c r="B206" s="283" t="n"/>
    </row>
    <row r="207">
      <c r="B207" s="283" t="n"/>
    </row>
    <row r="208">
      <c r="B208" s="283" t="n"/>
    </row>
    <row r="209">
      <c r="B209" s="283" t="n"/>
    </row>
    <row r="210">
      <c r="B210" s="283" t="n"/>
    </row>
    <row r="211">
      <c r="B211" s="283" t="n"/>
    </row>
    <row r="212">
      <c r="B212" s="283" t="n"/>
    </row>
    <row r="213">
      <c r="B213" s="283" t="n"/>
    </row>
    <row r="214">
      <c r="B214" s="283" t="n"/>
    </row>
    <row r="215">
      <c r="B215" s="283" t="n"/>
    </row>
    <row r="216">
      <c r="B216" s="283" t="n"/>
    </row>
    <row r="217">
      <c r="B217" s="283" t="n"/>
    </row>
    <row r="218">
      <c r="B218" s="283" t="n"/>
    </row>
    <row r="219">
      <c r="B219" s="283" t="n"/>
    </row>
    <row r="220">
      <c r="B220" s="283" t="n"/>
    </row>
    <row r="221">
      <c r="B221" s="283" t="n"/>
    </row>
    <row r="222">
      <c r="B222" s="283" t="n"/>
    </row>
    <row r="223">
      <c r="B223" s="283" t="n"/>
    </row>
    <row r="224">
      <c r="B224" s="283" t="n"/>
    </row>
    <row r="225">
      <c r="B225" s="283" t="n"/>
    </row>
    <row r="226">
      <c r="B226" s="283" t="n"/>
    </row>
    <row r="227">
      <c r="B227" s="283" t="n"/>
    </row>
    <row r="228">
      <c r="B228" s="283" t="n"/>
    </row>
    <row r="229">
      <c r="B229" s="283" t="n"/>
    </row>
    <row r="230">
      <c r="B230" s="283" t="n"/>
    </row>
    <row r="231">
      <c r="B231" s="283" t="n"/>
    </row>
    <row r="232">
      <c r="B232" s="283" t="n"/>
    </row>
    <row r="233">
      <c r="B233" s="283" t="n"/>
    </row>
    <row r="234">
      <c r="B234" s="283" t="n"/>
    </row>
    <row r="235">
      <c r="B235" s="283" t="n"/>
    </row>
    <row r="236">
      <c r="B236" s="283" t="n"/>
    </row>
    <row r="237">
      <c r="B237" s="283" t="n"/>
    </row>
    <row r="238">
      <c r="B238" s="283" t="n"/>
    </row>
    <row r="239">
      <c r="B239" s="283" t="n"/>
    </row>
    <row r="240">
      <c r="B240" s="283" t="n"/>
    </row>
    <row r="241">
      <c r="B241" s="283" t="n"/>
    </row>
    <row r="242">
      <c r="B242" s="283" t="n"/>
    </row>
    <row r="243">
      <c r="B243" s="283" t="n"/>
    </row>
    <row r="244">
      <c r="B244" s="283" t="n"/>
    </row>
    <row r="245">
      <c r="B245" s="283" t="n"/>
    </row>
    <row r="246">
      <c r="B246" s="283" t="n"/>
    </row>
    <row r="247">
      <c r="B247" s="283" t="n"/>
    </row>
    <row r="248">
      <c r="B248" s="283" t="n"/>
    </row>
    <row r="249">
      <c r="B249" s="283" t="n"/>
    </row>
    <row r="250">
      <c r="B250" s="283" t="n"/>
    </row>
    <row r="251">
      <c r="B251" s="283" t="n"/>
    </row>
    <row r="252">
      <c r="B252" s="283" t="n"/>
    </row>
    <row r="253">
      <c r="B253" s="283" t="n"/>
    </row>
    <row r="254">
      <c r="B254" s="283" t="n"/>
    </row>
    <row r="255">
      <c r="B255" s="283" t="n"/>
    </row>
    <row r="256">
      <c r="B256" s="283" t="n"/>
    </row>
    <row r="257">
      <c r="B257" s="283" t="n"/>
    </row>
    <row r="258">
      <c r="B258" s="283" t="n"/>
    </row>
    <row r="259">
      <c r="B259" s="283" t="n"/>
    </row>
    <row r="260">
      <c r="B260" s="283" t="n"/>
    </row>
    <row r="261">
      <c r="B261" s="283" t="n"/>
    </row>
    <row r="262">
      <c r="B262" s="283" t="n"/>
    </row>
    <row r="263">
      <c r="B263" s="283" t="n"/>
    </row>
    <row r="264">
      <c r="B264" s="283" t="n"/>
    </row>
    <row r="265">
      <c r="B265" s="283" t="n"/>
    </row>
    <row r="266">
      <c r="B266" s="283" t="n"/>
    </row>
    <row r="267">
      <c r="B267" s="283" t="n"/>
    </row>
    <row r="268">
      <c r="B268" s="283" t="n"/>
    </row>
    <row r="269">
      <c r="B269" s="283" t="n"/>
    </row>
    <row r="270">
      <c r="B270" s="283" t="n"/>
    </row>
    <row r="271">
      <c r="B271" s="283" t="n"/>
    </row>
    <row r="272">
      <c r="B272" s="283" t="n"/>
    </row>
    <row r="273">
      <c r="B273" s="283" t="n"/>
    </row>
    <row r="274">
      <c r="B274" s="283" t="n"/>
    </row>
    <row r="275">
      <c r="B275" s="283" t="n"/>
    </row>
    <row r="276">
      <c r="B276" s="283" t="n"/>
    </row>
    <row r="277">
      <c r="B277" s="283" t="n"/>
    </row>
    <row r="278">
      <c r="B278" s="283" t="n"/>
    </row>
    <row r="279">
      <c r="B279" s="283" t="n"/>
    </row>
    <row r="280">
      <c r="B280" s="283" t="n"/>
    </row>
    <row r="281">
      <c r="B281" s="283" t="n"/>
    </row>
    <row r="282">
      <c r="B282" s="283" t="n"/>
    </row>
    <row r="283">
      <c r="B283" s="283" t="n"/>
    </row>
    <row r="284">
      <c r="B284" s="283" t="n"/>
    </row>
    <row r="285">
      <c r="B285" s="283" t="n"/>
    </row>
    <row r="286">
      <c r="B286" s="283" t="n"/>
    </row>
    <row r="287">
      <c r="B287" s="283" t="n"/>
    </row>
    <row r="288">
      <c r="B288" s="283" t="n"/>
    </row>
    <row r="289">
      <c r="B289" s="283" t="n"/>
    </row>
    <row r="290">
      <c r="B290" s="283" t="n"/>
    </row>
    <row r="291">
      <c r="B291" s="283" t="n"/>
    </row>
    <row r="292">
      <c r="B292" s="283" t="n"/>
    </row>
    <row r="293">
      <c r="B293" s="283" t="n"/>
    </row>
    <row r="294">
      <c r="B294" s="283" t="n"/>
    </row>
    <row r="295">
      <c r="B295" s="283" t="n"/>
    </row>
    <row r="296">
      <c r="B296" s="283" t="n"/>
    </row>
    <row r="297">
      <c r="B297" s="283" t="n"/>
    </row>
    <row r="298">
      <c r="B298" s="283" t="n"/>
    </row>
    <row r="299">
      <c r="B299" s="283" t="n"/>
    </row>
    <row r="300">
      <c r="B300" s="283" t="n"/>
    </row>
    <row r="301">
      <c r="B301" s="283" t="n"/>
    </row>
    <row r="302">
      <c r="B302" s="283" t="n"/>
    </row>
    <row r="303">
      <c r="B303" s="283" t="n"/>
    </row>
    <row r="304">
      <c r="B304" s="283" t="n"/>
    </row>
    <row r="305">
      <c r="B305" s="283" t="n"/>
    </row>
    <row r="306">
      <c r="B306" s="283" t="n"/>
    </row>
    <row r="307">
      <c r="B307" s="283" t="n"/>
    </row>
    <row r="308">
      <c r="B308" s="283" t="n"/>
    </row>
    <row r="309">
      <c r="B309" s="283" t="n"/>
    </row>
    <row r="310">
      <c r="B310" s="283" t="n"/>
    </row>
    <row r="311">
      <c r="B311" s="283" t="n"/>
    </row>
    <row r="312">
      <c r="B312" s="283" t="n"/>
    </row>
    <row r="313">
      <c r="B313" s="283" t="n"/>
    </row>
    <row r="314">
      <c r="B314" s="283" t="n"/>
    </row>
    <row r="315">
      <c r="B315" s="283" t="n"/>
    </row>
    <row r="316">
      <c r="B316" s="283" t="n"/>
    </row>
    <row r="317">
      <c r="B317" s="283" t="n"/>
    </row>
    <row r="318">
      <c r="B318" s="283" t="n"/>
    </row>
    <row r="319">
      <c r="B319" s="283" t="n"/>
    </row>
    <row r="320">
      <c r="B320" s="283" t="n"/>
    </row>
    <row r="321">
      <c r="B321" s="283" t="n"/>
    </row>
    <row r="322">
      <c r="B322" s="283" t="n"/>
    </row>
    <row r="323">
      <c r="B323" s="283" t="n"/>
    </row>
    <row r="324">
      <c r="B324" s="283" t="n"/>
    </row>
    <row r="325">
      <c r="B325" s="283" t="n"/>
    </row>
    <row r="326">
      <c r="B326" s="283" t="n"/>
    </row>
    <row r="327">
      <c r="B327" s="283" t="n"/>
    </row>
    <row r="328">
      <c r="B328" s="283" t="n"/>
    </row>
    <row r="329">
      <c r="B329" s="283" t="n"/>
    </row>
    <row r="330">
      <c r="B330" s="283" t="n"/>
    </row>
    <row r="331">
      <c r="B331" s="283" t="n"/>
    </row>
    <row r="332">
      <c r="B332" s="283" t="n"/>
    </row>
    <row r="333">
      <c r="B333" s="283" t="n"/>
    </row>
    <row r="334">
      <c r="B334" s="283" t="n"/>
    </row>
    <row r="335">
      <c r="B335" s="283" t="n"/>
    </row>
    <row r="336">
      <c r="B336" s="283" t="n"/>
    </row>
    <row r="337">
      <c r="B337" s="283" t="n"/>
    </row>
    <row r="338">
      <c r="B338" s="283" t="n"/>
    </row>
    <row r="339">
      <c r="B339" s="283" t="n"/>
    </row>
    <row r="340">
      <c r="B340" s="283" t="n"/>
    </row>
    <row r="341">
      <c r="B341" s="283" t="n"/>
    </row>
    <row r="342">
      <c r="B342" s="283" t="n"/>
    </row>
    <row r="343">
      <c r="B343" s="283" t="n"/>
    </row>
    <row r="344">
      <c r="B344" s="283" t="n"/>
    </row>
    <row r="345">
      <c r="B345" s="283" t="n"/>
    </row>
    <row r="346">
      <c r="B346" s="283" t="n"/>
    </row>
    <row r="347">
      <c r="B347" s="283" t="n"/>
    </row>
    <row r="348">
      <c r="B348" s="283" t="n"/>
    </row>
    <row r="349">
      <c r="B349" s="283" t="n"/>
    </row>
    <row r="350">
      <c r="B350" s="283" t="n"/>
    </row>
    <row r="351">
      <c r="B351" s="283" t="n"/>
    </row>
    <row r="352">
      <c r="B352" s="283" t="n"/>
    </row>
    <row r="353">
      <c r="B353" s="283" t="n"/>
    </row>
    <row r="354">
      <c r="B354" s="283" t="n"/>
    </row>
    <row r="355">
      <c r="B355" s="283" t="n"/>
    </row>
    <row r="356">
      <c r="B356" s="283" t="n"/>
    </row>
    <row r="357">
      <c r="B357" s="283" t="n"/>
    </row>
    <row r="358">
      <c r="B358" s="283" t="n"/>
    </row>
    <row r="359">
      <c r="B359" s="283" t="n"/>
    </row>
    <row r="360">
      <c r="B360" s="283" t="n"/>
    </row>
    <row r="361">
      <c r="B361" s="283" t="n"/>
    </row>
    <row r="362">
      <c r="B362" s="283" t="n"/>
    </row>
    <row r="363">
      <c r="B363" s="283" t="n"/>
    </row>
    <row r="364">
      <c r="B364" s="283" t="n"/>
    </row>
    <row r="365">
      <c r="B365" s="283" t="n"/>
    </row>
    <row r="366">
      <c r="B366" s="283" t="n"/>
    </row>
    <row r="367">
      <c r="B367" s="283" t="n"/>
    </row>
    <row r="368">
      <c r="B368" s="283" t="n"/>
    </row>
    <row r="369">
      <c r="B369" s="283" t="n"/>
    </row>
    <row r="370">
      <c r="B370" s="283" t="n"/>
    </row>
    <row r="371">
      <c r="B371" s="283" t="n"/>
    </row>
    <row r="372">
      <c r="B372" s="283" t="n"/>
    </row>
    <row r="373">
      <c r="B373" s="283" t="n"/>
    </row>
    <row r="374">
      <c r="B374" s="283" t="n"/>
    </row>
    <row r="375">
      <c r="B375" s="283" t="n"/>
    </row>
    <row r="376">
      <c r="B376" s="283" t="n"/>
    </row>
    <row r="377">
      <c r="B377" s="283" t="n"/>
    </row>
    <row r="378">
      <c r="B378" s="283" t="n"/>
    </row>
    <row r="379">
      <c r="B379" s="283" t="n"/>
    </row>
    <row r="380">
      <c r="B380" s="283" t="n"/>
    </row>
    <row r="381">
      <c r="B381" s="283" t="n"/>
    </row>
    <row r="382">
      <c r="B382" s="283" t="n"/>
    </row>
    <row r="383">
      <c r="B383" s="283" t="n"/>
    </row>
    <row r="384">
      <c r="B384" s="283" t="n"/>
    </row>
    <row r="385">
      <c r="B385" s="283" t="n"/>
    </row>
    <row r="386">
      <c r="B386" s="283" t="n"/>
    </row>
    <row r="387">
      <c r="B387" s="283" t="n"/>
    </row>
    <row r="388">
      <c r="B388" s="283" t="n"/>
    </row>
    <row r="389">
      <c r="B389" s="283" t="n"/>
    </row>
    <row r="390">
      <c r="B390" s="283" t="n"/>
    </row>
    <row r="391">
      <c r="B391" s="283" t="n"/>
    </row>
    <row r="392">
      <c r="B392" s="283" t="n"/>
    </row>
    <row r="393">
      <c r="B393" s="283" t="n"/>
    </row>
    <row r="394">
      <c r="B394" s="283" t="n"/>
    </row>
    <row r="395">
      <c r="B395" s="283" t="n"/>
    </row>
    <row r="396">
      <c r="B396" s="283" t="n"/>
    </row>
    <row r="397">
      <c r="B397" s="283" t="n"/>
    </row>
    <row r="398">
      <c r="B398" s="283" t="n"/>
    </row>
    <row r="399">
      <c r="B399" s="283" t="n"/>
    </row>
    <row r="400">
      <c r="B400" s="283" t="n"/>
    </row>
    <row r="401">
      <c r="B401" s="283" t="n"/>
    </row>
    <row r="402">
      <c r="B402" s="283" t="n"/>
    </row>
    <row r="403">
      <c r="B403" s="283" t="n"/>
    </row>
    <row r="404">
      <c r="B404" s="283" t="n"/>
    </row>
    <row r="405">
      <c r="B405" s="283" t="n"/>
    </row>
    <row r="406">
      <c r="B406" s="283" t="n"/>
    </row>
    <row r="407">
      <c r="B407" s="283" t="n"/>
    </row>
    <row r="408">
      <c r="B408" s="283" t="n"/>
    </row>
    <row r="409">
      <c r="B409" s="283" t="n"/>
    </row>
    <row r="410">
      <c r="B410" s="283" t="n"/>
    </row>
    <row r="411">
      <c r="B411" s="283" t="n"/>
    </row>
    <row r="412">
      <c r="B412" s="283" t="n"/>
    </row>
    <row r="413">
      <c r="B413" s="283" t="n"/>
    </row>
    <row r="414">
      <c r="B414" s="283" t="n"/>
    </row>
    <row r="415">
      <c r="B415" s="283" t="n"/>
    </row>
    <row r="416">
      <c r="B416" s="283" t="n"/>
    </row>
    <row r="417">
      <c r="B417" s="283" t="n"/>
    </row>
    <row r="418">
      <c r="B418" s="283" t="n"/>
    </row>
    <row r="419">
      <c r="B419" s="283" t="n"/>
    </row>
    <row r="420">
      <c r="B420" s="283" t="n"/>
    </row>
    <row r="421">
      <c r="B421" s="283" t="n"/>
    </row>
    <row r="422">
      <c r="B422" s="283" t="n"/>
    </row>
    <row r="423">
      <c r="B423" s="283" t="n"/>
    </row>
    <row r="424">
      <c r="B424" s="283" t="n"/>
    </row>
    <row r="425">
      <c r="B425" s="283" t="n"/>
    </row>
    <row r="426">
      <c r="B426" s="283" t="n"/>
    </row>
    <row r="427">
      <c r="B427" s="283" t="n"/>
    </row>
    <row r="428">
      <c r="B428" s="283" t="n"/>
    </row>
    <row r="429">
      <c r="B429" s="283" t="n"/>
    </row>
    <row r="430">
      <c r="B430" s="283" t="n"/>
    </row>
    <row r="431">
      <c r="B431" s="283" t="n"/>
    </row>
    <row r="432">
      <c r="B432" s="283" t="n"/>
    </row>
    <row r="433">
      <c r="B433" s="283" t="n"/>
    </row>
    <row r="434">
      <c r="B434" s="283" t="n"/>
    </row>
    <row r="435">
      <c r="B435" s="283" t="n"/>
    </row>
    <row r="436">
      <c r="B436" s="283" t="n"/>
    </row>
    <row r="437">
      <c r="B437" s="283" t="n"/>
    </row>
    <row r="438">
      <c r="B438" s="283" t="n"/>
    </row>
    <row r="439">
      <c r="B439" s="283" t="n"/>
    </row>
    <row r="440">
      <c r="B440" s="283" t="n"/>
    </row>
    <row r="441">
      <c r="B441" s="283" t="n"/>
    </row>
    <row r="442">
      <c r="B442" s="283" t="n"/>
    </row>
    <row r="443">
      <c r="B443" s="283" t="n"/>
    </row>
    <row r="444">
      <c r="B444" s="283" t="n"/>
    </row>
    <row r="445">
      <c r="B445" s="283" t="n"/>
    </row>
    <row r="446">
      <c r="B446" s="283" t="n"/>
    </row>
    <row r="447">
      <c r="B447" s="283" t="n"/>
    </row>
    <row r="448">
      <c r="B448" s="283" t="n"/>
    </row>
    <row r="449">
      <c r="B449" s="283" t="n"/>
    </row>
    <row r="450">
      <c r="B450" s="283" t="n"/>
    </row>
    <row r="451">
      <c r="B451" s="283" t="n"/>
    </row>
    <row r="452">
      <c r="B452" s="283" t="n"/>
    </row>
    <row r="453">
      <c r="B453" s="283" t="n"/>
    </row>
    <row r="454">
      <c r="B454" s="283" t="n"/>
    </row>
    <row r="455">
      <c r="B455" s="283" t="n"/>
    </row>
    <row r="456">
      <c r="B456" s="283" t="n"/>
    </row>
    <row r="457">
      <c r="B457" s="283" t="n"/>
    </row>
    <row r="458">
      <c r="B458" s="283" t="n"/>
    </row>
    <row r="459">
      <c r="B459" s="283" t="n"/>
    </row>
    <row r="460">
      <c r="B460" s="283" t="n"/>
    </row>
    <row r="461">
      <c r="B461" s="283" t="n"/>
    </row>
    <row r="462">
      <c r="B462" s="283" t="n"/>
    </row>
    <row r="463">
      <c r="B463" s="283" t="n"/>
    </row>
    <row r="464">
      <c r="B464" s="283" t="n"/>
    </row>
    <row r="465">
      <c r="B465" s="283" t="n"/>
    </row>
    <row r="466">
      <c r="B466" s="283" t="n"/>
    </row>
    <row r="467">
      <c r="B467" s="283" t="n"/>
    </row>
    <row r="468">
      <c r="B468" s="283" t="n"/>
    </row>
    <row r="469">
      <c r="B469" s="283" t="n"/>
    </row>
    <row r="470">
      <c r="B470" s="283" t="n"/>
    </row>
    <row r="471">
      <c r="B471" s="283" t="n"/>
    </row>
    <row r="472">
      <c r="B472" s="283" t="n"/>
    </row>
    <row r="473">
      <c r="B473" s="283" t="n"/>
    </row>
    <row r="474">
      <c r="B474" s="283" t="n"/>
    </row>
    <row r="475">
      <c r="B475" s="283" t="n"/>
    </row>
    <row r="476">
      <c r="B476" s="283" t="n"/>
    </row>
    <row r="477">
      <c r="B477" s="283" t="n"/>
    </row>
    <row r="478">
      <c r="B478" s="283" t="n"/>
    </row>
    <row r="479">
      <c r="B479" s="283" t="n"/>
    </row>
    <row r="480">
      <c r="B480" s="283" t="n"/>
    </row>
    <row r="481">
      <c r="B481" s="283" t="n"/>
    </row>
    <row r="482">
      <c r="B482" s="283" t="n"/>
    </row>
    <row r="483">
      <c r="B483" s="283" t="n"/>
    </row>
    <row r="484">
      <c r="B484" s="283" t="n"/>
    </row>
    <row r="485">
      <c r="B485" s="283" t="n"/>
    </row>
    <row r="486">
      <c r="B486" s="283" t="n"/>
    </row>
    <row r="487">
      <c r="B487" s="283" t="n"/>
    </row>
    <row r="488">
      <c r="B488" s="283" t="n"/>
    </row>
    <row r="489">
      <c r="B489" s="283" t="n"/>
    </row>
    <row r="490">
      <c r="B490" s="283" t="n"/>
    </row>
    <row r="491">
      <c r="B491" s="283" t="n"/>
    </row>
    <row r="492">
      <c r="B492" s="283" t="n"/>
    </row>
    <row r="493">
      <c r="B493" s="283" t="n"/>
    </row>
    <row r="494">
      <c r="B494" s="283" t="n"/>
    </row>
    <row r="495">
      <c r="B495" s="283" t="n"/>
    </row>
    <row r="496">
      <c r="B496" s="283" t="n"/>
    </row>
    <row r="497">
      <c r="B497" s="283" t="n"/>
    </row>
    <row r="498">
      <c r="B498" s="283" t="n"/>
    </row>
    <row r="499">
      <c r="B499" s="283" t="n"/>
    </row>
    <row r="500">
      <c r="B500" s="283" t="n"/>
    </row>
    <row r="501">
      <c r="B501" s="283" t="n"/>
    </row>
    <row r="502">
      <c r="B502" s="283" t="n"/>
    </row>
    <row r="503">
      <c r="B503" s="283" t="n"/>
    </row>
    <row r="504">
      <c r="B504" s="283" t="n"/>
    </row>
    <row r="505">
      <c r="B505" s="283" t="n"/>
    </row>
    <row r="506">
      <c r="B506" s="283" t="n"/>
    </row>
    <row r="507">
      <c r="B507" s="283" t="n"/>
    </row>
    <row r="508">
      <c r="B508" s="283" t="n"/>
    </row>
    <row r="509">
      <c r="B509" s="283" t="n"/>
    </row>
    <row r="510">
      <c r="B510" s="283" t="n"/>
    </row>
    <row r="511">
      <c r="B511" s="283" t="n"/>
    </row>
    <row r="512">
      <c r="B512" s="283" t="n"/>
    </row>
    <row r="513">
      <c r="B513" s="283" t="n"/>
    </row>
    <row r="514">
      <c r="B514" s="283" t="n"/>
    </row>
    <row r="515">
      <c r="B515" s="283" t="n"/>
    </row>
    <row r="516">
      <c r="B516" s="283" t="n"/>
    </row>
    <row r="517">
      <c r="B517" s="283" t="n"/>
    </row>
    <row r="518">
      <c r="B518" s="283" t="n"/>
    </row>
    <row r="519">
      <c r="B519" s="283" t="n"/>
    </row>
    <row r="520">
      <c r="B520" s="283" t="n"/>
    </row>
    <row r="521">
      <c r="B521" s="283" t="n"/>
    </row>
    <row r="522">
      <c r="B522" s="283" t="n"/>
    </row>
    <row r="523">
      <c r="B523" s="283" t="n"/>
    </row>
    <row r="524">
      <c r="B524" s="283" t="n"/>
    </row>
    <row r="525">
      <c r="B525" s="283" t="n"/>
    </row>
    <row r="526">
      <c r="B526" s="283" t="n"/>
    </row>
    <row r="527">
      <c r="B527" s="283" t="n"/>
    </row>
    <row r="528">
      <c r="B528" s="283" t="n"/>
    </row>
    <row r="529">
      <c r="B529" s="283" t="n"/>
    </row>
    <row r="530">
      <c r="B530" s="283" t="n"/>
    </row>
    <row r="531">
      <c r="B531" s="283" t="n"/>
    </row>
    <row r="532">
      <c r="B532" s="283" t="n"/>
    </row>
    <row r="533">
      <c r="B533" s="283" t="n"/>
    </row>
    <row r="534">
      <c r="B534" s="283" t="n"/>
    </row>
    <row r="535">
      <c r="B535" s="283" t="n"/>
    </row>
    <row r="536">
      <c r="B536" s="283" t="n"/>
    </row>
    <row r="537">
      <c r="B537" s="283" t="n"/>
    </row>
    <row r="538">
      <c r="B538" s="283" t="n"/>
    </row>
    <row r="539">
      <c r="B539" s="283" t="n"/>
    </row>
    <row r="540">
      <c r="B540" s="283" t="n"/>
    </row>
    <row r="541">
      <c r="B541" s="283" t="n"/>
    </row>
    <row r="542">
      <c r="B542" s="283" t="n"/>
    </row>
    <row r="543">
      <c r="B543" s="283" t="n"/>
    </row>
    <row r="544">
      <c r="B544" s="283" t="n"/>
    </row>
    <row r="545">
      <c r="B545" s="283" t="n"/>
    </row>
    <row r="546">
      <c r="B546" s="283" t="n"/>
    </row>
    <row r="547">
      <c r="B547" s="283" t="n"/>
    </row>
    <row r="548">
      <c r="B548" s="283" t="n"/>
    </row>
    <row r="549">
      <c r="B549" s="283" t="n"/>
    </row>
    <row r="550">
      <c r="B550" s="283" t="n"/>
    </row>
    <row r="551">
      <c r="B551" s="283" t="n"/>
    </row>
    <row r="552">
      <c r="B552" s="283" t="n"/>
    </row>
    <row r="553">
      <c r="B553" s="283" t="n"/>
    </row>
    <row r="554">
      <c r="B554" s="283" t="n"/>
    </row>
    <row r="555">
      <c r="B555" s="283" t="n"/>
    </row>
    <row r="556">
      <c r="B556" s="283" t="n"/>
    </row>
    <row r="557">
      <c r="B557" s="283" t="n"/>
    </row>
    <row r="558">
      <c r="B558" s="283" t="n"/>
    </row>
    <row r="559">
      <c r="B559" s="283" t="n"/>
    </row>
    <row r="560">
      <c r="B560" s="283" t="n"/>
    </row>
    <row r="561">
      <c r="B561" s="283" t="n"/>
    </row>
    <row r="562">
      <c r="B562" s="283" t="n"/>
    </row>
    <row r="563">
      <c r="B563" s="283" t="n"/>
    </row>
    <row r="564">
      <c r="B564" s="283" t="n"/>
    </row>
    <row r="565">
      <c r="B565" s="283" t="n"/>
    </row>
    <row r="566">
      <c r="B566" s="283" t="n"/>
    </row>
    <row r="567">
      <c r="B567" s="283" t="n"/>
    </row>
    <row r="568">
      <c r="B568" s="283" t="n"/>
    </row>
    <row r="569">
      <c r="B569" s="283" t="n"/>
    </row>
    <row r="570">
      <c r="B570" s="283" t="n"/>
    </row>
    <row r="571">
      <c r="B571" s="283" t="n"/>
    </row>
    <row r="572">
      <c r="B572" s="283" t="n"/>
    </row>
    <row r="573">
      <c r="B573" s="283" t="n"/>
    </row>
    <row r="574">
      <c r="B574" s="283" t="n"/>
    </row>
    <row r="575">
      <c r="B575" s="283" t="n"/>
    </row>
    <row r="576">
      <c r="B576" s="283" t="n"/>
    </row>
    <row r="577">
      <c r="B577" s="283" t="n"/>
    </row>
    <row r="578">
      <c r="B578" s="283" t="n"/>
    </row>
    <row r="579">
      <c r="B579" s="283" t="n"/>
    </row>
    <row r="580">
      <c r="B580" s="283" t="n"/>
    </row>
    <row r="581">
      <c r="B581" s="283" t="n"/>
    </row>
    <row r="582">
      <c r="B582" s="283" t="n"/>
    </row>
    <row r="583">
      <c r="B583" s="283" t="n"/>
    </row>
    <row r="584">
      <c r="B584" s="283" t="n"/>
    </row>
    <row r="585">
      <c r="B585" s="283" t="n"/>
    </row>
    <row r="586">
      <c r="B586" s="283" t="n"/>
    </row>
    <row r="587">
      <c r="B587" s="283" t="n"/>
    </row>
    <row r="588">
      <c r="B588" s="283" t="n"/>
    </row>
    <row r="589">
      <c r="B589" s="283" t="n"/>
    </row>
    <row r="590">
      <c r="B590" s="283" t="n"/>
    </row>
    <row r="591">
      <c r="B591" s="283" t="n"/>
    </row>
    <row r="592">
      <c r="B592" s="283" t="n"/>
    </row>
    <row r="593">
      <c r="B593" s="283" t="n"/>
    </row>
    <row r="594">
      <c r="B594" s="283" t="n"/>
    </row>
    <row r="595">
      <c r="B595" s="283" t="n"/>
    </row>
    <row r="596">
      <c r="B596" s="283" t="n"/>
    </row>
    <row r="597">
      <c r="B597" s="283" t="n"/>
    </row>
    <row r="598">
      <c r="B598" s="283" t="n"/>
    </row>
    <row r="599">
      <c r="B599" s="283" t="n"/>
    </row>
    <row r="600">
      <c r="B600" s="283" t="n"/>
    </row>
    <row r="601">
      <c r="B601" s="283" t="n"/>
    </row>
    <row r="602">
      <c r="B602" s="283" t="n"/>
    </row>
    <row r="603">
      <c r="B603" s="283" t="n"/>
    </row>
    <row r="604">
      <c r="B604" s="283" t="n"/>
    </row>
    <row r="605">
      <c r="B605" s="283" t="n"/>
    </row>
    <row r="606">
      <c r="B606" s="283" t="n"/>
    </row>
    <row r="607">
      <c r="B607" s="283" t="n"/>
    </row>
    <row r="608">
      <c r="B608" s="283" t="n"/>
    </row>
    <row r="609">
      <c r="B609" s="283" t="n"/>
    </row>
    <row r="610">
      <c r="B610" s="283" t="n"/>
    </row>
    <row r="611">
      <c r="B611" s="283" t="n"/>
    </row>
    <row r="612">
      <c r="B612" s="283" t="n"/>
    </row>
    <row r="613">
      <c r="B613" s="283" t="n"/>
    </row>
    <row r="614">
      <c r="B614" s="283" t="n"/>
    </row>
    <row r="615">
      <c r="B615" s="283" t="n"/>
    </row>
    <row r="616">
      <c r="B616" s="283" t="n"/>
    </row>
    <row r="617">
      <c r="B617" s="283" t="n"/>
    </row>
    <row r="618">
      <c r="B618" s="283" t="n"/>
    </row>
    <row r="619">
      <c r="B619" s="283" t="n"/>
    </row>
    <row r="620">
      <c r="B620" s="283" t="n"/>
    </row>
    <row r="621">
      <c r="B621" s="283" t="n"/>
    </row>
    <row r="622">
      <c r="B622" s="283" t="n"/>
    </row>
    <row r="623">
      <c r="B623" s="283" t="n"/>
    </row>
    <row r="624">
      <c r="B624" s="283" t="n"/>
    </row>
    <row r="625">
      <c r="B625" s="283" t="n"/>
    </row>
    <row r="626">
      <c r="B626" s="283" t="n"/>
    </row>
    <row r="627">
      <c r="B627" s="283" t="n"/>
    </row>
    <row r="628">
      <c r="B628" s="283" t="n"/>
    </row>
    <row r="629">
      <c r="B629" s="283" t="n"/>
    </row>
    <row r="630">
      <c r="B630" s="283" t="n"/>
    </row>
    <row r="631">
      <c r="B631" s="283" t="n"/>
    </row>
    <row r="632">
      <c r="B632" s="283" t="n"/>
    </row>
    <row r="633">
      <c r="B633" s="283" t="n"/>
    </row>
    <row r="634">
      <c r="B634" s="283" t="n"/>
    </row>
    <row r="635">
      <c r="B635" s="283" t="n"/>
    </row>
    <row r="636">
      <c r="B636" s="283" t="n"/>
    </row>
    <row r="637">
      <c r="B637" s="283" t="n"/>
    </row>
    <row r="638">
      <c r="B638" s="283" t="n"/>
    </row>
    <row r="639">
      <c r="B639" s="283" t="n"/>
    </row>
    <row r="640">
      <c r="B640" s="283" t="n"/>
    </row>
    <row r="641">
      <c r="B641" s="283" t="n"/>
    </row>
    <row r="642">
      <c r="B642" s="283" t="n"/>
    </row>
    <row r="643">
      <c r="B643" s="283" t="n"/>
    </row>
    <row r="644">
      <c r="B644" s="283" t="n"/>
    </row>
    <row r="645">
      <c r="B645" s="283" t="n"/>
    </row>
    <row r="646">
      <c r="B646" s="283" t="n"/>
    </row>
    <row r="647">
      <c r="B647" s="283" t="n"/>
    </row>
    <row r="648">
      <c r="B648" s="283" t="n"/>
    </row>
    <row r="649">
      <c r="B649" s="283" t="n"/>
    </row>
    <row r="650">
      <c r="B650" s="283" t="n"/>
    </row>
    <row r="651">
      <c r="B651" s="283" t="n"/>
    </row>
    <row r="652">
      <c r="B652" s="283" t="n"/>
    </row>
    <row r="653">
      <c r="B653" s="283" t="n"/>
    </row>
    <row r="654">
      <c r="B654" s="283" t="n"/>
    </row>
    <row r="655">
      <c r="B655" s="283" t="n"/>
    </row>
    <row r="656">
      <c r="B656" s="283" t="n"/>
    </row>
    <row r="657">
      <c r="B657" s="283" t="n"/>
    </row>
    <row r="658">
      <c r="B658" s="283" t="n"/>
    </row>
    <row r="659">
      <c r="B659" s="283" t="n"/>
    </row>
    <row r="660">
      <c r="B660" s="283" t="n"/>
    </row>
    <row r="661">
      <c r="B661" s="283" t="n"/>
    </row>
    <row r="662">
      <c r="B662" s="283" t="n"/>
    </row>
    <row r="663">
      <c r="B663" s="283" t="n"/>
    </row>
    <row r="664">
      <c r="B664" s="283" t="n"/>
    </row>
    <row r="665">
      <c r="B665" s="283" t="n"/>
    </row>
    <row r="666">
      <c r="B666" s="283" t="n"/>
    </row>
    <row r="667">
      <c r="B667" s="283" t="n"/>
    </row>
    <row r="668">
      <c r="B668" s="283" t="n"/>
    </row>
    <row r="669">
      <c r="B669" s="283" t="n"/>
    </row>
    <row r="670">
      <c r="B670" s="283" t="n"/>
    </row>
    <row r="671">
      <c r="B671" s="283" t="n"/>
    </row>
    <row r="672">
      <c r="B672" s="283" t="n"/>
    </row>
    <row r="673">
      <c r="B673" s="283" t="n"/>
    </row>
    <row r="674">
      <c r="B674" s="283" t="n"/>
    </row>
    <row r="675">
      <c r="B675" s="283" t="n"/>
    </row>
    <row r="676">
      <c r="B676" s="283" t="n"/>
    </row>
    <row r="677">
      <c r="B677" s="283" t="n"/>
    </row>
    <row r="678">
      <c r="B678" s="283" t="n"/>
    </row>
    <row r="679">
      <c r="B679" s="283" t="n"/>
    </row>
    <row r="680">
      <c r="B680" s="283" t="n"/>
    </row>
    <row r="681">
      <c r="B681" s="283" t="n"/>
    </row>
    <row r="682">
      <c r="B682" s="283" t="n"/>
    </row>
    <row r="683">
      <c r="B683" s="283" t="n"/>
    </row>
    <row r="684">
      <c r="B684" s="283" t="n"/>
    </row>
    <row r="685">
      <c r="B685" s="283" t="n"/>
    </row>
    <row r="686">
      <c r="B686" s="283" t="n"/>
    </row>
    <row r="687">
      <c r="B687" s="283" t="n"/>
    </row>
    <row r="688">
      <c r="B688" s="283" t="n"/>
    </row>
    <row r="689">
      <c r="B689" s="283" t="n"/>
    </row>
    <row r="690">
      <c r="B690" s="283" t="n"/>
    </row>
    <row r="691">
      <c r="B691" s="283" t="n"/>
    </row>
    <row r="692">
      <c r="B692" s="283" t="n"/>
    </row>
    <row r="693">
      <c r="B693" s="283" t="n"/>
    </row>
    <row r="694">
      <c r="B694" s="283" t="n"/>
    </row>
    <row r="695">
      <c r="B695" s="283" t="n"/>
    </row>
    <row r="696">
      <c r="B696" s="283" t="n"/>
    </row>
    <row r="697">
      <c r="B697" s="283" t="n"/>
    </row>
    <row r="698">
      <c r="B698" s="283" t="n"/>
    </row>
    <row r="699">
      <c r="B699" s="283" t="n"/>
    </row>
    <row r="700">
      <c r="B700" s="283" t="n"/>
    </row>
    <row r="701">
      <c r="B701" s="283" t="n"/>
    </row>
    <row r="702">
      <c r="B702" s="283" t="n"/>
    </row>
    <row r="703">
      <c r="B703" s="283" t="n"/>
    </row>
    <row r="704">
      <c r="B704" s="283" t="n"/>
    </row>
    <row r="705">
      <c r="B705" s="283" t="n"/>
    </row>
    <row r="706">
      <c r="B706" s="283" t="n"/>
    </row>
    <row r="707">
      <c r="B707" s="283" t="n"/>
    </row>
    <row r="708">
      <c r="B708" s="283" t="n"/>
    </row>
    <row r="709">
      <c r="B709" s="283" t="n"/>
    </row>
    <row r="710">
      <c r="B710" s="283" t="n"/>
    </row>
    <row r="711">
      <c r="B711" s="283" t="n"/>
    </row>
    <row r="712">
      <c r="B712" s="283" t="n"/>
    </row>
    <row r="713">
      <c r="B713" s="283" t="n"/>
    </row>
    <row r="714">
      <c r="B714" s="283" t="n"/>
    </row>
    <row r="715">
      <c r="B715" s="283" t="n"/>
    </row>
    <row r="716">
      <c r="B716" s="283" t="n"/>
    </row>
    <row r="717">
      <c r="B717" s="283" t="n"/>
    </row>
    <row r="718">
      <c r="B718" s="283" t="n"/>
    </row>
    <row r="719">
      <c r="B719" s="283" t="n"/>
    </row>
    <row r="720">
      <c r="B720" s="283" t="n"/>
    </row>
    <row r="721">
      <c r="B721" s="283" t="n"/>
    </row>
    <row r="722">
      <c r="B722" s="283" t="n"/>
    </row>
    <row r="723">
      <c r="B723" s="283" t="n"/>
    </row>
    <row r="724">
      <c r="B724" s="283" t="n"/>
    </row>
    <row r="725">
      <c r="B725" s="283" t="n"/>
    </row>
    <row r="726">
      <c r="B726" s="283" t="n"/>
    </row>
    <row r="727">
      <c r="B727" s="283" t="n"/>
    </row>
    <row r="728">
      <c r="B728" s="283" t="n"/>
    </row>
    <row r="729">
      <c r="B729" s="283" t="n"/>
    </row>
    <row r="730">
      <c r="B730" s="283" t="n"/>
    </row>
    <row r="731">
      <c r="B731" s="283" t="n"/>
    </row>
    <row r="732">
      <c r="B732" s="283" t="n"/>
    </row>
    <row r="733">
      <c r="B733" s="283" t="n"/>
    </row>
    <row r="734">
      <c r="B734" s="283" t="n"/>
    </row>
    <row r="735">
      <c r="B735" s="283" t="n"/>
    </row>
    <row r="736">
      <c r="B736" s="283" t="n"/>
    </row>
    <row r="737">
      <c r="B737" s="283" t="n"/>
    </row>
    <row r="738">
      <c r="B738" s="283" t="n"/>
    </row>
    <row r="739">
      <c r="B739" s="283" t="n"/>
    </row>
    <row r="740">
      <c r="B740" s="283" t="n"/>
    </row>
    <row r="741">
      <c r="B741" s="283" t="n"/>
    </row>
    <row r="742">
      <c r="B742" s="283" t="n"/>
    </row>
    <row r="743">
      <c r="B743" s="283" t="n"/>
    </row>
    <row r="744">
      <c r="B744" s="283" t="n"/>
    </row>
    <row r="745">
      <c r="B745" s="283" t="n"/>
    </row>
    <row r="746">
      <c r="B746" s="283" t="n"/>
    </row>
    <row r="747">
      <c r="B747" s="283" t="n"/>
    </row>
    <row r="748">
      <c r="B748" s="283" t="n"/>
    </row>
    <row r="749">
      <c r="B749" s="283" t="n"/>
    </row>
    <row r="750">
      <c r="B750" s="283" t="n"/>
    </row>
    <row r="751">
      <c r="B751" s="283" t="n"/>
    </row>
    <row r="752">
      <c r="B752" s="283" t="n"/>
    </row>
    <row r="753">
      <c r="B753" s="283" t="n"/>
    </row>
    <row r="754">
      <c r="B754" s="283" t="n"/>
    </row>
    <row r="755">
      <c r="B755" s="283" t="n"/>
    </row>
    <row r="756">
      <c r="B756" s="283" t="n"/>
    </row>
    <row r="757">
      <c r="B757" s="283" t="n"/>
    </row>
    <row r="758">
      <c r="B758" s="283" t="n"/>
    </row>
    <row r="759">
      <c r="B759" s="283" t="n"/>
    </row>
    <row r="760">
      <c r="B760" s="283" t="n"/>
    </row>
    <row r="761">
      <c r="B761" s="283" t="n"/>
    </row>
    <row r="762">
      <c r="B762" s="283" t="n"/>
    </row>
    <row r="763">
      <c r="B763" s="283" t="n"/>
    </row>
    <row r="764">
      <c r="B764" s="283" t="n"/>
    </row>
    <row r="765">
      <c r="B765" s="283" t="n"/>
    </row>
    <row r="766">
      <c r="B766" s="283" t="n"/>
    </row>
    <row r="767">
      <c r="B767" s="283" t="n"/>
    </row>
    <row r="768">
      <c r="B768" s="283" t="n"/>
    </row>
    <row r="769">
      <c r="B769" s="283" t="n"/>
    </row>
    <row r="770">
      <c r="B770" s="283" t="n"/>
    </row>
    <row r="771">
      <c r="B771" s="283" t="n"/>
    </row>
    <row r="772">
      <c r="B772" s="283" t="n"/>
    </row>
    <row r="773">
      <c r="B773" s="283" t="n"/>
    </row>
    <row r="774">
      <c r="B774" s="283" t="n"/>
    </row>
    <row r="775">
      <c r="B775" s="283" t="n"/>
    </row>
    <row r="776">
      <c r="B776" s="283" t="n"/>
    </row>
    <row r="777">
      <c r="B777" s="283" t="n"/>
    </row>
    <row r="778">
      <c r="B778" s="283" t="n"/>
    </row>
    <row r="779">
      <c r="B779" s="283" t="n"/>
    </row>
    <row r="780">
      <c r="B780" s="283" t="n"/>
    </row>
    <row r="781">
      <c r="B781" s="283" t="n"/>
    </row>
    <row r="782">
      <c r="B782" s="283" t="n"/>
    </row>
    <row r="783">
      <c r="B783" s="283" t="n"/>
    </row>
    <row r="784">
      <c r="B784" s="283" t="n"/>
    </row>
    <row r="785">
      <c r="B785" s="283" t="n"/>
    </row>
    <row r="786">
      <c r="B786" s="283" t="n"/>
    </row>
    <row r="787">
      <c r="B787" s="283" t="n"/>
    </row>
    <row r="788">
      <c r="B788" s="283" t="n"/>
    </row>
    <row r="789">
      <c r="B789" s="283" t="n"/>
    </row>
    <row r="790">
      <c r="B790" s="283" t="n"/>
    </row>
    <row r="791">
      <c r="B791" s="283" t="n"/>
    </row>
    <row r="792">
      <c r="B792" s="283" t="n"/>
    </row>
    <row r="793">
      <c r="B793" s="283" t="n"/>
    </row>
    <row r="794">
      <c r="B794" s="283" t="n"/>
    </row>
    <row r="795">
      <c r="B795" s="283" t="n"/>
    </row>
    <row r="796">
      <c r="B796" s="283" t="n"/>
    </row>
    <row r="797">
      <c r="B797" s="283" t="n"/>
    </row>
    <row r="798">
      <c r="B798" s="283" t="n"/>
    </row>
    <row r="799">
      <c r="B799" s="283" t="n"/>
    </row>
    <row r="800">
      <c r="B800" s="283" t="n"/>
    </row>
    <row r="801">
      <c r="B801" s="283" t="n"/>
    </row>
    <row r="802">
      <c r="B802" s="283" t="n"/>
    </row>
    <row r="803">
      <c r="B803" s="283" t="n"/>
    </row>
    <row r="804">
      <c r="B804" s="283" t="n"/>
    </row>
    <row r="805">
      <c r="B805" s="283" t="n"/>
    </row>
    <row r="806">
      <c r="B806" s="283" t="n"/>
    </row>
    <row r="807">
      <c r="B807" s="283" t="n"/>
    </row>
    <row r="808">
      <c r="B808" s="283" t="n"/>
    </row>
    <row r="809">
      <c r="B809" s="283" t="n"/>
    </row>
    <row r="810">
      <c r="B810" s="283" t="n"/>
    </row>
    <row r="811">
      <c r="B811" s="283" t="n"/>
    </row>
    <row r="812">
      <c r="B812" s="283" t="n"/>
    </row>
    <row r="813">
      <c r="B813" s="283" t="n"/>
    </row>
    <row r="814">
      <c r="B814" s="283" t="n"/>
    </row>
    <row r="815">
      <c r="B815" s="283" t="n"/>
    </row>
    <row r="816">
      <c r="B816" s="283" t="n"/>
    </row>
    <row r="817">
      <c r="B817" s="283" t="n"/>
    </row>
    <row r="818">
      <c r="B818" s="283" t="n"/>
    </row>
    <row r="819">
      <c r="B819" s="283" t="n"/>
    </row>
    <row r="820">
      <c r="B820" s="283" t="n"/>
    </row>
    <row r="821">
      <c r="B821" s="283" t="n"/>
    </row>
    <row r="822">
      <c r="B822" s="283" t="n"/>
    </row>
    <row r="823">
      <c r="B823" s="283" t="n"/>
    </row>
    <row r="824">
      <c r="B824" s="283" t="n"/>
    </row>
    <row r="825">
      <c r="B825" s="283" t="n"/>
    </row>
    <row r="826">
      <c r="B826" s="283" t="n"/>
    </row>
    <row r="827">
      <c r="B827" s="283" t="n"/>
    </row>
    <row r="828">
      <c r="B828" s="283" t="n"/>
    </row>
    <row r="829">
      <c r="B829" s="283" t="n"/>
    </row>
    <row r="830">
      <c r="B830" s="283" t="n"/>
    </row>
    <row r="831">
      <c r="B831" s="283" t="n"/>
    </row>
    <row r="832">
      <c r="B832" s="283" t="n"/>
    </row>
    <row r="833">
      <c r="B833" s="283" t="n"/>
    </row>
    <row r="834">
      <c r="B834" s="283" t="n"/>
    </row>
    <row r="835">
      <c r="B835" s="283" t="n"/>
    </row>
    <row r="836">
      <c r="B836" s="283" t="n"/>
    </row>
    <row r="837">
      <c r="B837" s="283" t="n"/>
    </row>
    <row r="838">
      <c r="B838" s="283" t="n"/>
    </row>
    <row r="839">
      <c r="B839" s="283" t="n"/>
    </row>
    <row r="840">
      <c r="B840" s="283" t="n"/>
    </row>
    <row r="841">
      <c r="B841" s="283" t="n"/>
    </row>
    <row r="842">
      <c r="B842" s="283" t="n"/>
    </row>
    <row r="843">
      <c r="B843" s="283" t="n"/>
    </row>
    <row r="844">
      <c r="B844" s="283" t="n"/>
    </row>
    <row r="845">
      <c r="B845" s="283" t="n"/>
    </row>
    <row r="846">
      <c r="B846" s="283" t="n"/>
    </row>
    <row r="847">
      <c r="B847" s="283" t="n"/>
    </row>
    <row r="848">
      <c r="B848" s="283" t="n"/>
    </row>
    <row r="849">
      <c r="B849" s="283" t="n"/>
    </row>
    <row r="850">
      <c r="B850" s="283" t="n"/>
    </row>
    <row r="851">
      <c r="B851" s="283" t="n"/>
    </row>
    <row r="852">
      <c r="B852" s="283" t="n"/>
    </row>
    <row r="853">
      <c r="B853" s="283" t="n"/>
    </row>
    <row r="854">
      <c r="B854" s="283" t="n"/>
    </row>
    <row r="855">
      <c r="B855" s="283" t="n"/>
    </row>
    <row r="856">
      <c r="B856" s="283" t="n"/>
    </row>
    <row r="857">
      <c r="B857" s="283" t="n"/>
    </row>
    <row r="858">
      <c r="B858" s="283" t="n"/>
    </row>
    <row r="859">
      <c r="B859" s="283" t="n"/>
    </row>
    <row r="860">
      <c r="B860" s="283" t="n"/>
    </row>
    <row r="861">
      <c r="B861" s="283" t="n"/>
    </row>
    <row r="862">
      <c r="B862" s="283" t="n"/>
    </row>
    <row r="863">
      <c r="B863" s="283" t="n"/>
    </row>
    <row r="864">
      <c r="B864" s="283" t="n"/>
    </row>
    <row r="865">
      <c r="B865" s="283" t="n"/>
    </row>
    <row r="866">
      <c r="B866" s="283" t="n"/>
    </row>
    <row r="867">
      <c r="B867" s="283" t="n"/>
    </row>
    <row r="868">
      <c r="B868" s="283" t="n"/>
    </row>
    <row r="869">
      <c r="B869" s="283" t="n"/>
    </row>
    <row r="870">
      <c r="B870" s="283" t="n"/>
    </row>
    <row r="871">
      <c r="B871" s="283" t="n"/>
    </row>
    <row r="872">
      <c r="B872" s="283" t="n"/>
    </row>
    <row r="873">
      <c r="B873" s="283" t="n"/>
    </row>
    <row r="874">
      <c r="B874" s="283" t="n"/>
    </row>
    <row r="875">
      <c r="B875" s="283" t="n"/>
    </row>
    <row r="876">
      <c r="B876" s="283" t="n"/>
    </row>
    <row r="877">
      <c r="B877" s="283" t="n"/>
    </row>
    <row r="878">
      <c r="B878" s="283" t="n"/>
    </row>
    <row r="879">
      <c r="B879" s="283" t="n"/>
    </row>
    <row r="880">
      <c r="B880" s="283" t="n"/>
    </row>
    <row r="881">
      <c r="B881" s="283" t="n"/>
    </row>
    <row r="882">
      <c r="B882" s="283" t="n"/>
    </row>
    <row r="883">
      <c r="B883" s="283" t="n"/>
    </row>
    <row r="884">
      <c r="B884" s="283" t="n"/>
    </row>
    <row r="885">
      <c r="B885" s="283" t="n"/>
    </row>
    <row r="886">
      <c r="B886" s="283" t="n"/>
    </row>
    <row r="887">
      <c r="B887" s="283" t="n"/>
    </row>
    <row r="888">
      <c r="B888" s="283" t="n"/>
    </row>
    <row r="889">
      <c r="B889" s="283" t="n"/>
    </row>
    <row r="890">
      <c r="B890" s="283" t="n"/>
    </row>
    <row r="891">
      <c r="B891" s="283" t="n"/>
    </row>
    <row r="892">
      <c r="B892" s="283" t="n"/>
    </row>
    <row r="893">
      <c r="B893" s="283" t="n"/>
    </row>
    <row r="894">
      <c r="B894" s="283" t="n"/>
    </row>
    <row r="895">
      <c r="B895" s="283" t="n"/>
    </row>
    <row r="896">
      <c r="B896" s="283" t="n"/>
    </row>
    <row r="897">
      <c r="B897" s="283" t="n"/>
    </row>
    <row r="898">
      <c r="B898" s="283" t="n"/>
    </row>
    <row r="899">
      <c r="B899" s="283" t="n"/>
    </row>
    <row r="900">
      <c r="B900" s="283" t="n"/>
    </row>
    <row r="901">
      <c r="B901" s="283" t="n"/>
    </row>
    <row r="902">
      <c r="B902" s="283" t="n"/>
    </row>
    <row r="903">
      <c r="B903" s="283" t="n"/>
    </row>
    <row r="904">
      <c r="B904" s="283" t="n"/>
    </row>
    <row r="905">
      <c r="B905" s="283" t="n"/>
    </row>
    <row r="906">
      <c r="B906" s="283" t="n"/>
    </row>
    <row r="907">
      <c r="B907" s="283" t="n"/>
    </row>
    <row r="908">
      <c r="B908" s="283" t="n"/>
    </row>
    <row r="909">
      <c r="B909" s="283" t="n"/>
    </row>
    <row r="910">
      <c r="B910" s="283" t="n"/>
    </row>
    <row r="911">
      <c r="B911" s="283" t="n"/>
    </row>
    <row r="912">
      <c r="B912" s="283" t="n"/>
    </row>
    <row r="913">
      <c r="B913" s="283" t="n"/>
    </row>
    <row r="914">
      <c r="B914" s="283" t="n"/>
    </row>
    <row r="915">
      <c r="B915" s="283" t="n"/>
    </row>
    <row r="916">
      <c r="B916" s="283" t="n"/>
    </row>
    <row r="917">
      <c r="B917" s="283" t="n"/>
    </row>
    <row r="918">
      <c r="B918" s="283" t="n"/>
    </row>
    <row r="919">
      <c r="B919" s="283" t="n"/>
    </row>
    <row r="920">
      <c r="B920" s="283" t="n"/>
    </row>
    <row r="921">
      <c r="B921" s="283" t="n"/>
    </row>
    <row r="922">
      <c r="B922" s="283" t="n"/>
    </row>
    <row r="923">
      <c r="B923" s="283" t="n"/>
    </row>
    <row r="924">
      <c r="B924" s="283" t="n"/>
    </row>
    <row r="925">
      <c r="B925" s="283" t="n"/>
    </row>
    <row r="926">
      <c r="B926" s="283" t="n"/>
    </row>
    <row r="927">
      <c r="B927" s="283" t="n"/>
    </row>
    <row r="928">
      <c r="B928" s="283" t="n"/>
    </row>
    <row r="929">
      <c r="B929" s="283" t="n"/>
    </row>
    <row r="930">
      <c r="B930" s="283" t="n"/>
    </row>
    <row r="931">
      <c r="B931" s="283" t="n"/>
    </row>
    <row r="932">
      <c r="B932" s="283" t="n"/>
    </row>
    <row r="933">
      <c r="B933" s="283" t="n"/>
    </row>
    <row r="934">
      <c r="B934" s="283" t="n"/>
    </row>
    <row r="935">
      <c r="B935" s="283" t="n"/>
    </row>
    <row r="936">
      <c r="B936" s="283" t="n"/>
    </row>
    <row r="937">
      <c r="B937" s="283" t="n"/>
    </row>
    <row r="938">
      <c r="B938" s="283" t="n"/>
    </row>
    <row r="939">
      <c r="B939" s="283" t="n"/>
    </row>
    <row r="940">
      <c r="B940" s="283" t="n"/>
    </row>
    <row r="941">
      <c r="B941" s="283" t="n"/>
    </row>
    <row r="942">
      <c r="B942" s="283" t="n"/>
    </row>
    <row r="943">
      <c r="B943" s="283" t="n"/>
    </row>
    <row r="944">
      <c r="B944" s="283" t="n"/>
    </row>
    <row r="945">
      <c r="B945" s="283" t="n"/>
    </row>
    <row r="946">
      <c r="B946" s="283" t="n"/>
    </row>
    <row r="947">
      <c r="B947" s="283" t="n"/>
    </row>
    <row r="948">
      <c r="B948" s="283" t="n"/>
    </row>
    <row r="949">
      <c r="B949" s="283" t="n"/>
    </row>
    <row r="950">
      <c r="B950" s="283" t="n"/>
    </row>
    <row r="951">
      <c r="B951" s="283" t="n"/>
    </row>
    <row r="952">
      <c r="B952" s="283" t="n"/>
    </row>
    <row r="953">
      <c r="B953" s="283" t="n"/>
    </row>
    <row r="954">
      <c r="B954" s="283" t="n"/>
    </row>
    <row r="955">
      <c r="B955" s="283" t="n"/>
    </row>
    <row r="956">
      <c r="B956" s="283" t="n"/>
    </row>
    <row r="957">
      <c r="B957" s="283" t="n"/>
    </row>
    <row r="958">
      <c r="B958" s="283" t="n"/>
    </row>
    <row r="959">
      <c r="B959" s="283" t="n"/>
    </row>
    <row r="960">
      <c r="B960" s="283" t="n"/>
    </row>
    <row r="961">
      <c r="B961" s="283" t="n"/>
    </row>
    <row r="962">
      <c r="B962" s="283" t="n"/>
    </row>
    <row r="963">
      <c r="B963" s="283" t="n"/>
    </row>
    <row r="964">
      <c r="B964" s="283" t="n"/>
    </row>
    <row r="965">
      <c r="B965" s="283" t="n"/>
    </row>
    <row r="966">
      <c r="B966" s="283" t="n"/>
    </row>
    <row r="967">
      <c r="B967" s="283" t="n"/>
    </row>
    <row r="968">
      <c r="B968" s="283" t="n"/>
    </row>
    <row r="969">
      <c r="B969" s="283" t="n"/>
    </row>
    <row r="970">
      <c r="B970" s="283" t="n"/>
    </row>
    <row r="971">
      <c r="B971" s="283" t="n"/>
    </row>
    <row r="972">
      <c r="B972" s="283" t="n"/>
    </row>
    <row r="973">
      <c r="B973" s="283" t="n"/>
    </row>
    <row r="974">
      <c r="B974" s="283" t="n"/>
    </row>
    <row r="975">
      <c r="B975" s="283" t="n"/>
    </row>
    <row r="976">
      <c r="B976" s="283" t="n"/>
    </row>
    <row r="977">
      <c r="B977" s="283" t="n"/>
    </row>
    <row r="978">
      <c r="B978" s="283" t="n"/>
    </row>
    <row r="979">
      <c r="B979" s="283" t="n"/>
    </row>
    <row r="980">
      <c r="B980" s="283" t="n"/>
    </row>
    <row r="981">
      <c r="B981" s="283" t="n"/>
    </row>
    <row r="982">
      <c r="B982" s="283" t="n"/>
    </row>
    <row r="983">
      <c r="B983" s="283" t="n"/>
    </row>
    <row r="984">
      <c r="B984" s="283" t="n"/>
    </row>
    <row r="985">
      <c r="B985" s="283" t="n"/>
    </row>
    <row r="986">
      <c r="B986" s="283" t="n"/>
    </row>
    <row r="987">
      <c r="B987" s="283" t="n"/>
    </row>
    <row r="988">
      <c r="B988" s="283" t="n"/>
    </row>
    <row r="989">
      <c r="B989" s="283" t="n"/>
    </row>
    <row r="990">
      <c r="B990" s="283" t="n"/>
    </row>
    <row r="991">
      <c r="B991" s="283" t="n"/>
    </row>
    <row r="992">
      <c r="B992" s="283" t="n"/>
    </row>
    <row r="993">
      <c r="B993" s="283" t="n"/>
    </row>
    <row r="994">
      <c r="B994" s="283" t="n"/>
    </row>
    <row r="995">
      <c r="B995" s="283" t="n"/>
    </row>
    <row r="996">
      <c r="B996" s="283" t="n"/>
    </row>
    <row r="997">
      <c r="B997" s="283" t="n"/>
    </row>
    <row r="998">
      <c r="B998" s="283" t="n"/>
    </row>
    <row r="999">
      <c r="B999" s="283" t="n"/>
    </row>
    <row r="1000">
      <c r="B1000" s="283" t="n"/>
    </row>
    <row r="1001">
      <c r="B1001" s="283" t="n"/>
    </row>
    <row r="1002">
      <c r="B1002" s="283" t="n"/>
    </row>
    <row r="1003">
      <c r="B1003" s="283" t="n"/>
    </row>
    <row r="1004">
      <c r="B1004" s="283" t="n"/>
    </row>
  </sheetData>
  <mergeCells count="1">
    <mergeCell ref="A1:M2"/>
  </mergeCells>
  <dataValidations count="2">
    <dataValidation sqref="C5:C1004" showDropDown="0" showInputMessage="0" showErrorMessage="0" allowBlank="0" type="list">
      <formula1>"Insert,Update,Review Apply,Skip,Reject"</formula1>
    </dataValidation>
    <dataValidation sqref="K5:K1004" showDropDown="0" showInputMessage="0" showErrorMessage="0" allowBlank="0" type="list">
      <formula1>"Success,Failed,Skipped"</formula1>
    </dataValidation>
  </dataValidations>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4" customWidth="1" style="64" min="4" max="4"/>
    <col width="14" customWidth="1" style="64" min="5" max="5"/>
    <col width="14" customWidth="1" style="64" min="6" max="6"/>
    <col width="16" customWidth="1" style="64" min="7" max="7"/>
    <col width="34" customWidth="1" style="64" min="8" max="8"/>
  </cols>
  <sheetData>
    <row r="1">
      <c r="A1" s="291" t="inlineStr">
        <is>
          <t>Agency Connector Coverage Roadmap</t>
        </is>
      </c>
      <c r="B1" s="1" t="n"/>
      <c r="C1" s="1" t="n"/>
      <c r="D1" s="1" t="n"/>
      <c r="E1" s="1" t="n"/>
      <c r="F1" s="1" t="n"/>
      <c r="G1" s="1" t="n"/>
      <c r="H1" s="1" t="n"/>
    </row>
    <row r="2">
      <c r="A2" s="1" t="n"/>
      <c r="B2" s="1" t="n"/>
      <c r="C2" s="1" t="n"/>
      <c r="D2" s="1" t="n"/>
      <c r="E2" s="1" t="n"/>
      <c r="F2" s="1" t="n"/>
      <c r="G2" s="1" t="n"/>
      <c r="H2" s="1" t="n"/>
    </row>
    <row r="4">
      <c r="A4" s="137" t="inlineStr">
        <is>
          <t>Category</t>
        </is>
      </c>
      <c r="B4" s="137" t="inlineStr">
        <is>
          <t>Agency</t>
        </is>
      </c>
      <c r="C4" s="137" t="inlineStr">
        <is>
          <t>Connector Type</t>
        </is>
      </c>
      <c r="D4" s="137" t="inlineStr">
        <is>
          <t>Version Added</t>
        </is>
      </c>
      <c r="E4" s="137" t="inlineStr">
        <is>
          <t>Live Ready</t>
        </is>
      </c>
      <c r="F4" s="137" t="inlineStr">
        <is>
          <t>PDF Support</t>
        </is>
      </c>
      <c r="G4" s="137" t="inlineStr">
        <is>
          <t>Change Detection</t>
        </is>
      </c>
      <c r="H4" s="137" t="inlineStr">
        <is>
          <t>Status / Notes</t>
        </is>
      </c>
    </row>
    <row r="5">
      <c r="A5" t="inlineStr">
        <is>
          <t>Central</t>
        </is>
      </c>
      <c r="B5" t="inlineStr">
        <is>
          <t>SECI</t>
        </is>
      </c>
      <c r="C5" t="inlineStr">
        <is>
          <t>Dedicated HTML</t>
        </is>
      </c>
      <c r="D5" t="inlineStr">
        <is>
          <t>V3</t>
        </is>
      </c>
      <c r="E5" t="inlineStr">
        <is>
          <t>Yes</t>
        </is>
      </c>
      <c r="F5" t="inlineStr">
        <is>
          <t>Yes</t>
        </is>
      </c>
      <c r="G5" t="inlineStr">
        <is>
          <t>Yes</t>
        </is>
      </c>
      <c r="H5" t="inlineStr">
        <is>
          <t>Ready for layout testing</t>
        </is>
      </c>
    </row>
    <row r="6">
      <c r="A6" t="inlineStr">
        <is>
          <t>Central</t>
        </is>
      </c>
      <c r="B6" t="inlineStr">
        <is>
          <t>NTPC REL</t>
        </is>
      </c>
      <c r="C6" t="inlineStr">
        <is>
          <t>Dedicated HTML</t>
        </is>
      </c>
      <c r="D6" t="inlineStr">
        <is>
          <t>V3</t>
        </is>
      </c>
      <c r="E6" t="inlineStr">
        <is>
          <t>Yes</t>
        </is>
      </c>
      <c r="F6" t="inlineStr">
        <is>
          <t>Yes</t>
        </is>
      </c>
      <c r="G6" t="inlineStr">
        <is>
          <t>Yes</t>
        </is>
      </c>
      <c r="H6" t="inlineStr">
        <is>
          <t>Ready for layout testing</t>
        </is>
      </c>
    </row>
    <row r="7">
      <c r="A7" t="inlineStr">
        <is>
          <t>Central</t>
        </is>
      </c>
      <c r="B7" t="inlineStr">
        <is>
          <t>NHPC</t>
        </is>
      </c>
      <c r="C7" t="inlineStr">
        <is>
          <t>Dedicated HTML/PDF</t>
        </is>
      </c>
      <c r="D7" t="inlineStr">
        <is>
          <t>V4</t>
        </is>
      </c>
      <c r="E7" t="inlineStr">
        <is>
          <t>Partial</t>
        </is>
      </c>
      <c r="F7" t="inlineStr">
        <is>
          <t>Yes</t>
        </is>
      </c>
      <c r="G7" t="inlineStr">
        <is>
          <t>Yes</t>
        </is>
      </c>
      <c r="H7" t="inlineStr">
        <is>
          <t>Needs page-selector tuning</t>
        </is>
      </c>
    </row>
    <row r="8">
      <c r="A8" t="inlineStr">
        <is>
          <t>Central</t>
        </is>
      </c>
      <c r="B8" t="inlineStr">
        <is>
          <t>SJVN</t>
        </is>
      </c>
      <c r="C8" t="inlineStr">
        <is>
          <t>Dedicated HTML/PDF</t>
        </is>
      </c>
      <c r="D8" t="inlineStr">
        <is>
          <t>V4</t>
        </is>
      </c>
      <c r="E8" t="inlineStr">
        <is>
          <t>Partial</t>
        </is>
      </c>
      <c r="F8" t="inlineStr">
        <is>
          <t>Yes</t>
        </is>
      </c>
      <c r="G8" t="inlineStr">
        <is>
          <t>Yes</t>
        </is>
      </c>
      <c r="H8" t="inlineStr">
        <is>
          <t>Needs page-selector tuning</t>
        </is>
      </c>
    </row>
    <row r="9">
      <c r="A9" t="inlineStr">
        <is>
          <t>Rajasthan</t>
        </is>
      </c>
      <c r="B9" t="inlineStr">
        <is>
          <t>RUVNL</t>
        </is>
      </c>
      <c r="C9" t="inlineStr">
        <is>
          <t>Generic + configurable selectors</t>
        </is>
      </c>
      <c r="D9" t="inlineStr">
        <is>
          <t>V5</t>
        </is>
      </c>
      <c r="E9" t="inlineStr">
        <is>
          <t>Partial</t>
        </is>
      </c>
      <c r="F9" t="inlineStr">
        <is>
          <t>Yes</t>
        </is>
      </c>
      <c r="G9" t="inlineStr">
        <is>
          <t>Yes</t>
        </is>
      </c>
      <c r="H9" t="inlineStr">
        <is>
          <t>State connector module added</t>
        </is>
      </c>
    </row>
    <row r="10">
      <c r="A10" t="inlineStr">
        <is>
          <t>Karnataka</t>
        </is>
      </c>
      <c r="B10" t="inlineStr">
        <is>
          <t>KREDL</t>
        </is>
      </c>
      <c r="C10" t="inlineStr">
        <is>
          <t>Generic + configurable selectors</t>
        </is>
      </c>
      <c r="D10" t="inlineStr">
        <is>
          <t>V5</t>
        </is>
      </c>
      <c r="E10" t="inlineStr">
        <is>
          <t>Partial</t>
        </is>
      </c>
      <c r="F10" t="inlineStr">
        <is>
          <t>Yes</t>
        </is>
      </c>
      <c r="G10" t="inlineStr">
        <is>
          <t>Yes</t>
        </is>
      </c>
      <c r="H10" t="inlineStr">
        <is>
          <t>State connector module added</t>
        </is>
      </c>
    </row>
    <row r="11">
      <c r="A11" t="inlineStr">
        <is>
          <t>Madhya Pradesh</t>
        </is>
      </c>
      <c r="B11" t="inlineStr">
        <is>
          <t>MPUVNL</t>
        </is>
      </c>
      <c r="C11" t="inlineStr">
        <is>
          <t>Generic + configurable selectors</t>
        </is>
      </c>
      <c r="D11" t="inlineStr">
        <is>
          <t>V5</t>
        </is>
      </c>
      <c r="E11" t="inlineStr">
        <is>
          <t>Partial</t>
        </is>
      </c>
      <c r="F11" t="inlineStr">
        <is>
          <t>Yes</t>
        </is>
      </c>
      <c r="G11" t="inlineStr">
        <is>
          <t>Yes</t>
        </is>
      </c>
      <c r="H11" t="inlineStr">
        <is>
          <t>State connector module added</t>
        </is>
      </c>
    </row>
    <row r="12">
      <c r="A12" t="inlineStr">
        <is>
          <t>Maharashtra</t>
        </is>
      </c>
      <c r="B12" t="inlineStr">
        <is>
          <t>MSEDCL</t>
        </is>
      </c>
      <c r="C12" t="inlineStr">
        <is>
          <t>Planned</t>
        </is>
      </c>
      <c r="D12" t="inlineStr">
        <is>
          <t>V6</t>
        </is>
      </c>
      <c r="E12" t="inlineStr">
        <is>
          <t>No</t>
        </is>
      </c>
      <c r="F12" t="inlineStr">
        <is>
          <t>Planned</t>
        </is>
      </c>
      <c r="G12" t="inlineStr">
        <is>
          <t>Planned</t>
        </is>
      </c>
    </row>
    <row r="13">
      <c r="A13" t="inlineStr">
        <is>
          <t>Gujarat</t>
        </is>
      </c>
      <c r="B13" t="inlineStr">
        <is>
          <t>GUVNL</t>
        </is>
      </c>
      <c r="C13" t="inlineStr">
        <is>
          <t>Planned</t>
        </is>
      </c>
      <c r="D13" t="inlineStr">
        <is>
          <t>V6</t>
        </is>
      </c>
      <c r="E13" t="inlineStr">
        <is>
          <t>No</t>
        </is>
      </c>
      <c r="F13" t="inlineStr">
        <is>
          <t>Planned</t>
        </is>
      </c>
      <c r="G13" t="inlineStr">
        <is>
          <t>Planned</t>
        </is>
      </c>
    </row>
    <row r="14">
      <c r="A14" t="inlineStr">
        <is>
          <t>Odisha</t>
        </is>
      </c>
      <c r="B14" t="inlineStr">
        <is>
          <t>GRIDCO</t>
        </is>
      </c>
      <c r="C14" t="inlineStr">
        <is>
          <t>Planned</t>
        </is>
      </c>
      <c r="D14" t="inlineStr">
        <is>
          <t>V6</t>
        </is>
      </c>
      <c r="E14" t="inlineStr">
        <is>
          <t>No</t>
        </is>
      </c>
      <c r="F14" t="inlineStr">
        <is>
          <t>Planned</t>
        </is>
      </c>
      <c r="G14" t="inlineStr">
        <is>
          <t>Planned</t>
        </is>
      </c>
    </row>
    <row r="15">
      <c r="A15" t="inlineStr">
        <is>
          <t>Punjab</t>
        </is>
      </c>
      <c r="B15" t="inlineStr">
        <is>
          <t>PSPCL</t>
        </is>
      </c>
      <c r="C15" t="inlineStr">
        <is>
          <t>Planned</t>
        </is>
      </c>
      <c r="D15" t="inlineStr">
        <is>
          <t>V6</t>
        </is>
      </c>
      <c r="E15" t="inlineStr">
        <is>
          <t>No</t>
        </is>
      </c>
      <c r="F15" t="inlineStr">
        <is>
          <t>Planned</t>
        </is>
      </c>
      <c r="G15" t="inlineStr">
        <is>
          <t>Planned</t>
        </is>
      </c>
    </row>
    <row r="16">
      <c r="A16" t="inlineStr">
        <is>
          <t>Uttar Pradesh</t>
        </is>
      </c>
      <c r="B16" t="inlineStr">
        <is>
          <t>UPNEDA</t>
        </is>
      </c>
      <c r="C16" t="inlineStr">
        <is>
          <t>Planned</t>
        </is>
      </c>
      <c r="D16" t="inlineStr">
        <is>
          <t>V6</t>
        </is>
      </c>
      <c r="E16" t="inlineStr">
        <is>
          <t>No</t>
        </is>
      </c>
      <c r="F16" t="inlineStr">
        <is>
          <t>Planned</t>
        </is>
      </c>
      <c r="G16" t="inlineStr">
        <is>
          <t>Planned</t>
        </is>
      </c>
    </row>
    <row r="17">
      <c r="A17" t="inlineStr">
        <is>
          <t>Maharashtra</t>
        </is>
      </c>
      <c r="B17" t="inlineStr">
        <is>
          <t>MSEDCL</t>
        </is>
      </c>
      <c r="C17" t="inlineStr">
        <is>
          <t>Configurable HTML/PDF</t>
        </is>
      </c>
      <c r="D17" t="inlineStr">
        <is>
          <t>V6</t>
        </is>
      </c>
      <c r="E17" t="inlineStr">
        <is>
          <t>Partial</t>
        </is>
      </c>
      <c r="F17" t="inlineStr">
        <is>
          <t>Yes</t>
        </is>
      </c>
      <c r="G17" t="inlineStr">
        <is>
          <t>Yes</t>
        </is>
      </c>
      <c r="H17" t="inlineStr">
        <is>
          <t>Connector module added</t>
        </is>
      </c>
    </row>
    <row r="18">
      <c r="A18" t="inlineStr">
        <is>
          <t>Gujarat</t>
        </is>
      </c>
      <c r="B18" t="inlineStr">
        <is>
          <t>GUVNL</t>
        </is>
      </c>
      <c r="C18" t="inlineStr">
        <is>
          <t>Configurable HTML/PDF</t>
        </is>
      </c>
      <c r="D18" t="inlineStr">
        <is>
          <t>V6</t>
        </is>
      </c>
      <c r="E18" t="inlineStr">
        <is>
          <t>Partial</t>
        </is>
      </c>
      <c r="F18" t="inlineStr">
        <is>
          <t>Yes</t>
        </is>
      </c>
      <c r="G18" t="inlineStr">
        <is>
          <t>Yes</t>
        </is>
      </c>
      <c r="H18" t="inlineStr">
        <is>
          <t>Connector module added</t>
        </is>
      </c>
    </row>
    <row r="19">
      <c r="A19" t="inlineStr">
        <is>
          <t>Odisha</t>
        </is>
      </c>
      <c r="B19" t="inlineStr">
        <is>
          <t>GRIDCO</t>
        </is>
      </c>
      <c r="C19" t="inlineStr">
        <is>
          <t>Configurable HTML/PDF</t>
        </is>
      </c>
      <c r="D19" t="inlineStr">
        <is>
          <t>V6</t>
        </is>
      </c>
      <c r="E19" t="inlineStr">
        <is>
          <t>Partial</t>
        </is>
      </c>
      <c r="F19" t="inlineStr">
        <is>
          <t>Yes</t>
        </is>
      </c>
      <c r="G19" t="inlineStr">
        <is>
          <t>Yes</t>
        </is>
      </c>
      <c r="H19" t="inlineStr">
        <is>
          <t>Connector module added</t>
        </is>
      </c>
    </row>
    <row r="20">
      <c r="A20" t="inlineStr">
        <is>
          <t>Punjab</t>
        </is>
      </c>
      <c r="B20" t="inlineStr">
        <is>
          <t>PSPCL</t>
        </is>
      </c>
      <c r="C20" t="inlineStr">
        <is>
          <t>Configurable HTML/PDF</t>
        </is>
      </c>
      <c r="D20" t="inlineStr">
        <is>
          <t>V6</t>
        </is>
      </c>
      <c r="E20" t="inlineStr">
        <is>
          <t>Partial</t>
        </is>
      </c>
      <c r="F20" t="inlineStr">
        <is>
          <t>Yes</t>
        </is>
      </c>
      <c r="G20" t="inlineStr">
        <is>
          <t>Yes</t>
        </is>
      </c>
      <c r="H20" t="inlineStr">
        <is>
          <t>Connector module added</t>
        </is>
      </c>
    </row>
  </sheetData>
  <mergeCells count="1">
    <mergeCell ref="A1:H2"/>
  </mergeCells>
  <dataValidations count="1">
    <dataValidation sqref="E5:E16" showDropDown="0" showInputMessage="0" showErrorMessage="0" allowBlank="0" type="list">
      <formula1>"Yes,Partial,No"</formula1>
    </dataValidation>
  </dataValidations>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518"/>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2" customWidth="1" style="64" min="4" max="4"/>
    <col width="28" customWidth="1" style="64" min="5" max="5"/>
    <col width="12" customWidth="1" style="64" min="6" max="6"/>
    <col width="12" customWidth="1" style="64" min="7" max="7"/>
    <col width="12" customWidth="1" style="64" min="8" max="8"/>
    <col width="12" customWidth="1" style="64" min="9" max="9"/>
    <col width="16" customWidth="1" style="64" min="10" max="10"/>
    <col width="12" customWidth="1" style="64" min="11" max="11"/>
    <col width="36" customWidth="1" style="64" min="12" max="12"/>
  </cols>
  <sheetData>
    <row r="1">
      <c r="A1" s="293" t="inlineStr">
        <is>
          <t>Execution, Backup &amp; Workbook Write-Back Control</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c r="A3" s="294" t="inlineStr">
        <is>
          <t>Version 6 supports direct modification of the workbook by the packaged Python engine, with pre-write backup and detailed run reporting.</t>
        </is>
      </c>
      <c r="B3" s="1" t="n"/>
      <c r="C3" s="1" t="n"/>
      <c r="D3" s="1" t="n"/>
      <c r="E3" s="1" t="n"/>
      <c r="F3" s="1" t="n"/>
      <c r="G3" s="1" t="n"/>
      <c r="H3" s="1" t="n"/>
      <c r="I3" s="1" t="n"/>
      <c r="J3" s="1" t="n"/>
      <c r="K3" s="1" t="n"/>
      <c r="L3" s="1" t="n"/>
    </row>
    <row r="5">
      <c r="A5" s="151" t="inlineStr">
        <is>
          <t>Execution Setting</t>
        </is>
      </c>
      <c r="B5" s="151" t="inlineStr">
        <is>
          <t>Value</t>
        </is>
      </c>
      <c r="C5" s="151" t="inlineStr">
        <is>
          <t>Purpose</t>
        </is>
      </c>
      <c r="D5" s="151" t="inlineStr">
        <is>
          <t>Recommended</t>
        </is>
      </c>
    </row>
    <row r="6">
      <c r="A6" t="inlineStr">
        <is>
          <t>Workbook file</t>
        </is>
      </c>
      <c r="B6" t="inlineStr">
        <is>
          <t>Renewable_Tender_Tracker_V6.xlsx</t>
        </is>
      </c>
      <c r="C6" t="inlineStr">
        <is>
          <t>Target workbook</t>
        </is>
      </c>
      <c r="D6" t="inlineStr">
        <is>
          <t>Yes</t>
        </is>
      </c>
    </row>
    <row r="7">
      <c r="A7" t="inlineStr">
        <is>
          <t>Backup folder</t>
        </is>
      </c>
      <c r="B7" t="inlineStr">
        <is>
          <t>backups</t>
        </is>
      </c>
      <c r="C7" t="inlineStr">
        <is>
          <t>Pre-write copies</t>
        </is>
      </c>
      <c r="D7" t="inlineStr">
        <is>
          <t>Yes</t>
        </is>
      </c>
    </row>
    <row r="8">
      <c r="A8" t="inlineStr">
        <is>
          <t>Import folder</t>
        </is>
      </c>
      <c r="B8" t="inlineStr">
        <is>
          <t>imports</t>
        </is>
      </c>
      <c r="C8" t="inlineStr">
        <is>
          <t>Connector/import files</t>
        </is>
      </c>
      <c r="D8" t="inlineStr">
        <is>
          <t>Yes</t>
        </is>
      </c>
    </row>
    <row r="9">
      <c r="A9" t="inlineStr">
        <is>
          <t>Output folder</t>
        </is>
      </c>
      <c r="B9" t="inlineStr">
        <is>
          <t>output</t>
        </is>
      </c>
      <c r="C9" t="inlineStr">
        <is>
          <t>Logs and reports</t>
        </is>
      </c>
      <c r="D9" t="inlineStr">
        <is>
          <t>Yes</t>
        </is>
      </c>
    </row>
    <row r="10">
      <c r="A10" t="inlineStr">
        <is>
          <t>Write mode</t>
        </is>
      </c>
      <c r="B10" t="inlineStr">
        <is>
          <t>Approved + validated</t>
        </is>
      </c>
      <c r="C10" t="inlineStr">
        <is>
          <t>Controls data written</t>
        </is>
      </c>
      <c r="D10" t="inlineStr">
        <is>
          <t>Yes</t>
        </is>
      </c>
    </row>
    <row r="11">
      <c r="A11" t="inlineStr">
        <is>
          <t>Dry run</t>
        </is>
      </c>
      <c r="B11" t="inlineStr">
        <is>
          <t>Yes</t>
        </is>
      </c>
      <c r="C11" t="inlineStr">
        <is>
          <t>Test without changing workbook</t>
        </is>
      </c>
      <c r="D11" t="inlineStr">
        <is>
          <t>Yes initially</t>
        </is>
      </c>
    </row>
    <row r="12">
      <c r="A12" t="inlineStr">
        <is>
          <t>Create backup</t>
        </is>
      </c>
      <c r="B12" t="inlineStr">
        <is>
          <t>Yes</t>
        </is>
      </c>
      <c r="C12" t="inlineStr">
        <is>
          <t>Required before live writes</t>
        </is>
      </c>
      <c r="D12" t="inlineStr">
        <is>
          <t>Yes</t>
        </is>
      </c>
    </row>
    <row r="13">
      <c r="A13" t="inlineStr">
        <is>
          <t>Apply approved reviews</t>
        </is>
      </c>
      <c r="B13" t="inlineStr">
        <is>
          <t>Yes</t>
        </is>
      </c>
      <c r="C13" t="inlineStr">
        <is>
          <t>Updates approved review queue</t>
        </is>
      </c>
      <c r="D13" t="inlineStr">
        <is>
          <t>Yes</t>
        </is>
      </c>
    </row>
    <row r="14">
      <c r="A14" t="inlineStr">
        <is>
          <t>Recalculate derived fields</t>
        </is>
      </c>
      <c r="B14" t="inlineStr">
        <is>
          <t>Yes</t>
        </is>
      </c>
      <c r="C14" t="inlineStr">
        <is>
          <t>Refresh formula-driven fields</t>
        </is>
      </c>
      <c r="D14" t="inlineStr">
        <is>
          <t>Yes</t>
        </is>
      </c>
    </row>
    <row r="15">
      <c r="A15" t="inlineStr">
        <is>
          <t>Archive input files</t>
        </is>
      </c>
      <c r="B15" t="inlineStr">
        <is>
          <t>Yes</t>
        </is>
      </c>
      <c r="C15" t="inlineStr">
        <is>
          <t>Moves processed files</t>
        </is>
      </c>
      <c r="D15" t="inlineStr">
        <is>
          <t>Yes</t>
        </is>
      </c>
    </row>
    <row r="18">
      <c r="A18" s="151" t="inlineStr">
        <is>
          <t>Execution ID</t>
        </is>
      </c>
      <c r="B18" s="151" t="inlineStr">
        <is>
          <t>Started</t>
        </is>
      </c>
      <c r="C18" s="151" t="inlineStr">
        <is>
          <t>Finished</t>
        </is>
      </c>
      <c r="D18" s="151" t="inlineStr">
        <is>
          <t>Mode</t>
        </is>
      </c>
      <c r="E18" s="151" t="inlineStr">
        <is>
          <t>Input Files</t>
        </is>
      </c>
      <c r="F18" s="151" t="inlineStr">
        <is>
          <t>Rows Read</t>
        </is>
      </c>
      <c r="G18" s="151" t="inlineStr">
        <is>
          <t>Inserted</t>
        </is>
      </c>
      <c r="H18" s="151" t="inlineStr">
        <is>
          <t>Updated</t>
        </is>
      </c>
      <c r="I18" s="151" t="inlineStr">
        <is>
          <t>Skipped</t>
        </is>
      </c>
      <c r="J18" s="151" t="inlineStr">
        <is>
          <t>Reviews Applied</t>
        </is>
      </c>
      <c r="K18" s="151" t="inlineStr">
        <is>
          <t>Errors</t>
        </is>
      </c>
      <c r="L18" s="151" t="inlineStr">
        <is>
          <t>Backup File</t>
        </is>
      </c>
    </row>
    <row r="19">
      <c r="B19" s="283" t="n"/>
      <c r="C19" s="283" t="n"/>
    </row>
    <row r="20">
      <c r="B20" s="283" t="n"/>
      <c r="C20" s="283" t="n"/>
    </row>
    <row r="21">
      <c r="B21" s="283" t="n"/>
      <c r="C21" s="283" t="n"/>
    </row>
    <row r="22">
      <c r="B22" s="283" t="n"/>
      <c r="C22" s="283" t="n"/>
    </row>
    <row r="23">
      <c r="B23" s="283" t="n"/>
      <c r="C23" s="283" t="n"/>
    </row>
    <row r="24">
      <c r="B24" s="283" t="n"/>
      <c r="C24" s="283" t="n"/>
    </row>
    <row r="25">
      <c r="B25" s="283" t="n"/>
      <c r="C25" s="283" t="n"/>
    </row>
    <row r="26">
      <c r="B26" s="283" t="n"/>
      <c r="C26" s="283" t="n"/>
    </row>
    <row r="27">
      <c r="B27" s="283" t="n"/>
      <c r="C27" s="283" t="n"/>
    </row>
    <row r="28">
      <c r="B28" s="283" t="n"/>
      <c r="C28" s="283" t="n"/>
    </row>
    <row r="29">
      <c r="B29" s="283" t="n"/>
      <c r="C29" s="283" t="n"/>
    </row>
    <row r="30">
      <c r="B30" s="283" t="n"/>
      <c r="C30" s="283" t="n"/>
    </row>
    <row r="31">
      <c r="B31" s="283" t="n"/>
      <c r="C31" s="283" t="n"/>
    </row>
    <row r="32">
      <c r="B32" s="283" t="n"/>
      <c r="C32" s="283" t="n"/>
    </row>
    <row r="33">
      <c r="B33" s="283" t="n"/>
      <c r="C33" s="283" t="n"/>
    </row>
    <row r="34">
      <c r="B34" s="283" t="n"/>
      <c r="C34" s="283" t="n"/>
    </row>
    <row r="35">
      <c r="B35" s="283" t="n"/>
      <c r="C35" s="283" t="n"/>
    </row>
    <row r="36">
      <c r="B36" s="283" t="n"/>
      <c r="C36" s="283" t="n"/>
    </row>
    <row r="37">
      <c r="B37" s="283" t="n"/>
      <c r="C37" s="283" t="n"/>
    </row>
    <row r="38">
      <c r="B38" s="283" t="n"/>
      <c r="C38" s="283" t="n"/>
    </row>
    <row r="39">
      <c r="B39" s="283" t="n"/>
      <c r="C39" s="283" t="n"/>
    </row>
    <row r="40">
      <c r="B40" s="283" t="n"/>
      <c r="C40" s="283" t="n"/>
    </row>
    <row r="41">
      <c r="B41" s="283" t="n"/>
      <c r="C41" s="283" t="n"/>
    </row>
    <row r="42">
      <c r="B42" s="283" t="n"/>
      <c r="C42" s="283" t="n"/>
    </row>
    <row r="43">
      <c r="B43" s="283" t="n"/>
      <c r="C43" s="283" t="n"/>
    </row>
    <row r="44">
      <c r="B44" s="283" t="n"/>
      <c r="C44" s="283" t="n"/>
    </row>
    <row r="45">
      <c r="B45" s="283" t="n"/>
      <c r="C45" s="283" t="n"/>
    </row>
    <row r="46">
      <c r="B46" s="283" t="n"/>
      <c r="C46" s="283" t="n"/>
    </row>
    <row r="47">
      <c r="B47" s="283" t="n"/>
      <c r="C47" s="283" t="n"/>
    </row>
    <row r="48">
      <c r="B48" s="283" t="n"/>
      <c r="C48" s="283" t="n"/>
    </row>
    <row r="49">
      <c r="B49" s="283" t="n"/>
      <c r="C49" s="283" t="n"/>
    </row>
    <row r="50">
      <c r="B50" s="283" t="n"/>
      <c r="C50" s="283" t="n"/>
    </row>
    <row r="51">
      <c r="B51" s="283" t="n"/>
      <c r="C51" s="283" t="n"/>
    </row>
    <row r="52">
      <c r="B52" s="283" t="n"/>
      <c r="C52" s="283" t="n"/>
    </row>
    <row r="53">
      <c r="B53" s="283" t="n"/>
      <c r="C53" s="283" t="n"/>
    </row>
    <row r="54">
      <c r="B54" s="283" t="n"/>
      <c r="C54" s="283" t="n"/>
    </row>
    <row r="55">
      <c r="B55" s="283" t="n"/>
      <c r="C55" s="283" t="n"/>
    </row>
    <row r="56">
      <c r="B56" s="283" t="n"/>
      <c r="C56" s="283" t="n"/>
    </row>
    <row r="57">
      <c r="B57" s="283" t="n"/>
      <c r="C57" s="283" t="n"/>
    </row>
    <row r="58">
      <c r="B58" s="283" t="n"/>
      <c r="C58" s="283" t="n"/>
    </row>
    <row r="59">
      <c r="B59" s="283" t="n"/>
      <c r="C59" s="283" t="n"/>
    </row>
    <row r="60">
      <c r="B60" s="283" t="n"/>
      <c r="C60" s="283" t="n"/>
    </row>
    <row r="61">
      <c r="B61" s="283" t="n"/>
      <c r="C61" s="283" t="n"/>
    </row>
    <row r="62">
      <c r="B62" s="283" t="n"/>
      <c r="C62" s="283" t="n"/>
    </row>
    <row r="63">
      <c r="B63" s="283" t="n"/>
      <c r="C63" s="283" t="n"/>
    </row>
    <row r="64">
      <c r="B64" s="283" t="n"/>
      <c r="C64" s="283" t="n"/>
    </row>
    <row r="65">
      <c r="B65" s="283" t="n"/>
      <c r="C65" s="283" t="n"/>
    </row>
    <row r="66">
      <c r="B66" s="283" t="n"/>
      <c r="C66" s="283" t="n"/>
    </row>
    <row r="67">
      <c r="B67" s="283" t="n"/>
      <c r="C67" s="283" t="n"/>
    </row>
    <row r="68">
      <c r="B68" s="283" t="n"/>
      <c r="C68" s="283" t="n"/>
    </row>
    <row r="69">
      <c r="B69" s="283" t="n"/>
      <c r="C69" s="283" t="n"/>
    </row>
    <row r="70">
      <c r="B70" s="283" t="n"/>
      <c r="C70" s="283" t="n"/>
    </row>
    <row r="71">
      <c r="B71" s="283" t="n"/>
      <c r="C71" s="283" t="n"/>
    </row>
    <row r="72">
      <c r="B72" s="283" t="n"/>
      <c r="C72" s="283" t="n"/>
    </row>
    <row r="73">
      <c r="B73" s="283" t="n"/>
      <c r="C73" s="283" t="n"/>
    </row>
    <row r="74">
      <c r="B74" s="283" t="n"/>
      <c r="C74" s="283" t="n"/>
    </row>
    <row r="75">
      <c r="B75" s="283" t="n"/>
      <c r="C75" s="283" t="n"/>
    </row>
    <row r="76">
      <c r="B76" s="283" t="n"/>
      <c r="C76" s="283" t="n"/>
    </row>
    <row r="77">
      <c r="B77" s="283" t="n"/>
      <c r="C77" s="283" t="n"/>
    </row>
    <row r="78">
      <c r="B78" s="283" t="n"/>
      <c r="C78" s="283" t="n"/>
    </row>
    <row r="79">
      <c r="B79" s="283" t="n"/>
      <c r="C79" s="283" t="n"/>
    </row>
    <row r="80">
      <c r="B80" s="283" t="n"/>
      <c r="C80" s="283" t="n"/>
    </row>
    <row r="81">
      <c r="B81" s="283" t="n"/>
      <c r="C81" s="283" t="n"/>
    </row>
    <row r="82">
      <c r="B82" s="283" t="n"/>
      <c r="C82" s="283" t="n"/>
    </row>
    <row r="83">
      <c r="B83" s="283" t="n"/>
      <c r="C83" s="283" t="n"/>
    </row>
    <row r="84">
      <c r="B84" s="283" t="n"/>
      <c r="C84" s="283" t="n"/>
    </row>
    <row r="85">
      <c r="B85" s="283" t="n"/>
      <c r="C85" s="283" t="n"/>
    </row>
    <row r="86">
      <c r="B86" s="283" t="n"/>
      <c r="C86" s="283" t="n"/>
    </row>
    <row r="87">
      <c r="B87" s="283" t="n"/>
      <c r="C87" s="283" t="n"/>
    </row>
    <row r="88">
      <c r="B88" s="283" t="n"/>
      <c r="C88" s="283" t="n"/>
    </row>
    <row r="89">
      <c r="B89" s="283" t="n"/>
      <c r="C89" s="283" t="n"/>
    </row>
    <row r="90">
      <c r="B90" s="283" t="n"/>
      <c r="C90" s="283" t="n"/>
    </row>
    <row r="91">
      <c r="B91" s="283" t="n"/>
      <c r="C91" s="283" t="n"/>
    </row>
    <row r="92">
      <c r="B92" s="283" t="n"/>
      <c r="C92" s="283" t="n"/>
    </row>
    <row r="93">
      <c r="B93" s="283" t="n"/>
      <c r="C93" s="283" t="n"/>
    </row>
    <row r="94">
      <c r="B94" s="283" t="n"/>
      <c r="C94" s="283" t="n"/>
    </row>
    <row r="95">
      <c r="B95" s="283" t="n"/>
      <c r="C95" s="283" t="n"/>
    </row>
    <row r="96">
      <c r="B96" s="283" t="n"/>
      <c r="C96" s="283" t="n"/>
    </row>
    <row r="97">
      <c r="B97" s="283" t="n"/>
      <c r="C97" s="283" t="n"/>
    </row>
    <row r="98">
      <c r="B98" s="283" t="n"/>
      <c r="C98" s="283" t="n"/>
    </row>
    <row r="99">
      <c r="B99" s="283" t="n"/>
      <c r="C99" s="283" t="n"/>
    </row>
    <row r="100">
      <c r="B100" s="283" t="n"/>
      <c r="C100" s="283" t="n"/>
    </row>
    <row r="101">
      <c r="B101" s="283" t="n"/>
      <c r="C101" s="283" t="n"/>
    </row>
    <row r="102">
      <c r="B102" s="283" t="n"/>
      <c r="C102" s="283" t="n"/>
    </row>
    <row r="103">
      <c r="B103" s="283" t="n"/>
      <c r="C103" s="283" t="n"/>
    </row>
    <row r="104">
      <c r="B104" s="283" t="n"/>
      <c r="C104" s="283" t="n"/>
    </row>
    <row r="105">
      <c r="B105" s="283" t="n"/>
      <c r="C105" s="283" t="n"/>
    </row>
    <row r="106">
      <c r="B106" s="283" t="n"/>
      <c r="C106" s="283" t="n"/>
    </row>
    <row r="107">
      <c r="B107" s="283" t="n"/>
      <c r="C107" s="283" t="n"/>
    </row>
    <row r="108">
      <c r="B108" s="283" t="n"/>
      <c r="C108" s="283" t="n"/>
    </row>
    <row r="109">
      <c r="B109" s="283" t="n"/>
      <c r="C109" s="283" t="n"/>
    </row>
    <row r="110">
      <c r="B110" s="283" t="n"/>
      <c r="C110" s="283" t="n"/>
    </row>
    <row r="111">
      <c r="B111" s="283" t="n"/>
      <c r="C111" s="283" t="n"/>
    </row>
    <row r="112">
      <c r="B112" s="283" t="n"/>
      <c r="C112" s="283" t="n"/>
    </row>
    <row r="113">
      <c r="B113" s="283" t="n"/>
      <c r="C113" s="283" t="n"/>
    </row>
    <row r="114">
      <c r="B114" s="283" t="n"/>
      <c r="C114" s="283" t="n"/>
    </row>
    <row r="115">
      <c r="B115" s="283" t="n"/>
      <c r="C115" s="283" t="n"/>
    </row>
    <row r="116">
      <c r="B116" s="283" t="n"/>
      <c r="C116" s="283" t="n"/>
    </row>
    <row r="117">
      <c r="B117" s="283" t="n"/>
      <c r="C117" s="283" t="n"/>
    </row>
    <row r="118">
      <c r="B118" s="283" t="n"/>
      <c r="C118" s="283" t="n"/>
    </row>
    <row r="119">
      <c r="B119" s="283" t="n"/>
      <c r="C119" s="283" t="n"/>
    </row>
    <row r="120">
      <c r="B120" s="283" t="n"/>
      <c r="C120" s="283" t="n"/>
    </row>
    <row r="121">
      <c r="B121" s="283" t="n"/>
      <c r="C121" s="283" t="n"/>
    </row>
    <row r="122">
      <c r="B122" s="283" t="n"/>
      <c r="C122" s="283" t="n"/>
    </row>
    <row r="123">
      <c r="B123" s="283" t="n"/>
      <c r="C123" s="283" t="n"/>
    </row>
    <row r="124">
      <c r="B124" s="283" t="n"/>
      <c r="C124" s="283" t="n"/>
    </row>
    <row r="125">
      <c r="B125" s="283" t="n"/>
      <c r="C125" s="283" t="n"/>
    </row>
    <row r="126">
      <c r="B126" s="283" t="n"/>
      <c r="C126" s="283" t="n"/>
    </row>
    <row r="127">
      <c r="B127" s="283" t="n"/>
      <c r="C127" s="283" t="n"/>
    </row>
    <row r="128">
      <c r="B128" s="283" t="n"/>
      <c r="C128" s="283" t="n"/>
    </row>
    <row r="129">
      <c r="B129" s="283" t="n"/>
      <c r="C129" s="283" t="n"/>
    </row>
    <row r="130">
      <c r="B130" s="283" t="n"/>
      <c r="C130" s="283" t="n"/>
    </row>
    <row r="131">
      <c r="B131" s="283" t="n"/>
      <c r="C131" s="283" t="n"/>
    </row>
    <row r="132">
      <c r="B132" s="283" t="n"/>
      <c r="C132" s="283" t="n"/>
    </row>
    <row r="133">
      <c r="B133" s="283" t="n"/>
      <c r="C133" s="283" t="n"/>
    </row>
    <row r="134">
      <c r="B134" s="283" t="n"/>
      <c r="C134" s="283" t="n"/>
    </row>
    <row r="135">
      <c r="B135" s="283" t="n"/>
      <c r="C135" s="283" t="n"/>
    </row>
    <row r="136">
      <c r="B136" s="283" t="n"/>
      <c r="C136" s="283" t="n"/>
    </row>
    <row r="137">
      <c r="B137" s="283" t="n"/>
      <c r="C137" s="283" t="n"/>
    </row>
    <row r="138">
      <c r="B138" s="283" t="n"/>
      <c r="C138" s="283" t="n"/>
    </row>
    <row r="139">
      <c r="B139" s="283" t="n"/>
      <c r="C139" s="283" t="n"/>
    </row>
    <row r="140">
      <c r="B140" s="283" t="n"/>
      <c r="C140" s="283" t="n"/>
    </row>
    <row r="141">
      <c r="B141" s="283" t="n"/>
      <c r="C141" s="283" t="n"/>
    </row>
    <row r="142">
      <c r="B142" s="283" t="n"/>
      <c r="C142" s="283" t="n"/>
    </row>
    <row r="143">
      <c r="B143" s="283" t="n"/>
      <c r="C143" s="283" t="n"/>
    </row>
    <row r="144">
      <c r="B144" s="283" t="n"/>
      <c r="C144" s="283" t="n"/>
    </row>
    <row r="145">
      <c r="B145" s="283" t="n"/>
      <c r="C145" s="283" t="n"/>
    </row>
    <row r="146">
      <c r="B146" s="283" t="n"/>
      <c r="C146" s="283" t="n"/>
    </row>
    <row r="147">
      <c r="B147" s="283" t="n"/>
      <c r="C147" s="283" t="n"/>
    </row>
    <row r="148">
      <c r="B148" s="283" t="n"/>
      <c r="C148" s="283" t="n"/>
    </row>
    <row r="149">
      <c r="B149" s="283" t="n"/>
      <c r="C149" s="283" t="n"/>
    </row>
    <row r="150">
      <c r="B150" s="283" t="n"/>
      <c r="C150" s="283" t="n"/>
    </row>
    <row r="151">
      <c r="B151" s="283" t="n"/>
      <c r="C151" s="283" t="n"/>
    </row>
    <row r="152">
      <c r="B152" s="283" t="n"/>
      <c r="C152" s="283" t="n"/>
    </row>
    <row r="153">
      <c r="B153" s="283" t="n"/>
      <c r="C153" s="283" t="n"/>
    </row>
    <row r="154">
      <c r="B154" s="283" t="n"/>
      <c r="C154" s="283" t="n"/>
    </row>
    <row r="155">
      <c r="B155" s="283" t="n"/>
      <c r="C155" s="283" t="n"/>
    </row>
    <row r="156">
      <c r="B156" s="283" t="n"/>
      <c r="C156" s="283" t="n"/>
    </row>
    <row r="157">
      <c r="B157" s="283" t="n"/>
      <c r="C157" s="283" t="n"/>
    </row>
    <row r="158">
      <c r="B158" s="283" t="n"/>
      <c r="C158" s="283" t="n"/>
    </row>
    <row r="159">
      <c r="B159" s="283" t="n"/>
      <c r="C159" s="283" t="n"/>
    </row>
    <row r="160">
      <c r="B160" s="283" t="n"/>
      <c r="C160" s="283" t="n"/>
    </row>
    <row r="161">
      <c r="B161" s="283" t="n"/>
      <c r="C161" s="283" t="n"/>
    </row>
    <row r="162">
      <c r="B162" s="283" t="n"/>
      <c r="C162" s="283" t="n"/>
    </row>
    <row r="163">
      <c r="B163" s="283" t="n"/>
      <c r="C163" s="283" t="n"/>
    </row>
    <row r="164">
      <c r="B164" s="283" t="n"/>
      <c r="C164" s="283" t="n"/>
    </row>
    <row r="165">
      <c r="B165" s="283" t="n"/>
      <c r="C165" s="283" t="n"/>
    </row>
    <row r="166">
      <c r="B166" s="283" t="n"/>
      <c r="C166" s="283" t="n"/>
    </row>
    <row r="167">
      <c r="B167" s="283" t="n"/>
      <c r="C167" s="283" t="n"/>
    </row>
    <row r="168">
      <c r="B168" s="283" t="n"/>
      <c r="C168" s="283" t="n"/>
    </row>
    <row r="169">
      <c r="B169" s="283" t="n"/>
      <c r="C169" s="283" t="n"/>
    </row>
    <row r="170">
      <c r="B170" s="283" t="n"/>
      <c r="C170" s="283" t="n"/>
    </row>
    <row r="171">
      <c r="B171" s="283" t="n"/>
      <c r="C171" s="283" t="n"/>
    </row>
    <row r="172">
      <c r="B172" s="283" t="n"/>
      <c r="C172" s="283" t="n"/>
    </row>
    <row r="173">
      <c r="B173" s="283" t="n"/>
      <c r="C173" s="283" t="n"/>
    </row>
    <row r="174">
      <c r="B174" s="283" t="n"/>
      <c r="C174" s="283" t="n"/>
    </row>
    <row r="175">
      <c r="B175" s="283" t="n"/>
      <c r="C175" s="283" t="n"/>
    </row>
    <row r="176">
      <c r="B176" s="283" t="n"/>
      <c r="C176" s="283" t="n"/>
    </row>
    <row r="177">
      <c r="B177" s="283" t="n"/>
      <c r="C177" s="283" t="n"/>
    </row>
    <row r="178">
      <c r="B178" s="283" t="n"/>
      <c r="C178" s="283" t="n"/>
    </row>
    <row r="179">
      <c r="B179" s="283" t="n"/>
      <c r="C179" s="283" t="n"/>
    </row>
    <row r="180">
      <c r="B180" s="283" t="n"/>
      <c r="C180" s="283" t="n"/>
    </row>
    <row r="181">
      <c r="B181" s="283" t="n"/>
      <c r="C181" s="283" t="n"/>
    </row>
    <row r="182">
      <c r="B182" s="283" t="n"/>
      <c r="C182" s="283" t="n"/>
    </row>
    <row r="183">
      <c r="B183" s="283" t="n"/>
      <c r="C183" s="283" t="n"/>
    </row>
    <row r="184">
      <c r="B184" s="283" t="n"/>
      <c r="C184" s="283" t="n"/>
    </row>
    <row r="185">
      <c r="B185" s="283" t="n"/>
      <c r="C185" s="283" t="n"/>
    </row>
    <row r="186">
      <c r="B186" s="283" t="n"/>
      <c r="C186" s="283" t="n"/>
    </row>
    <row r="187">
      <c r="B187" s="283" t="n"/>
      <c r="C187" s="283" t="n"/>
    </row>
    <row r="188">
      <c r="B188" s="283" t="n"/>
      <c r="C188" s="283" t="n"/>
    </row>
    <row r="189">
      <c r="B189" s="283" t="n"/>
      <c r="C189" s="283" t="n"/>
    </row>
    <row r="190">
      <c r="B190" s="283" t="n"/>
      <c r="C190" s="283" t="n"/>
    </row>
    <row r="191">
      <c r="B191" s="283" t="n"/>
      <c r="C191" s="283" t="n"/>
    </row>
    <row r="192">
      <c r="B192" s="283" t="n"/>
      <c r="C192" s="283" t="n"/>
    </row>
    <row r="193">
      <c r="B193" s="283" t="n"/>
      <c r="C193" s="283" t="n"/>
    </row>
    <row r="194">
      <c r="B194" s="283" t="n"/>
      <c r="C194" s="283" t="n"/>
    </row>
    <row r="195">
      <c r="B195" s="283" t="n"/>
      <c r="C195" s="283" t="n"/>
    </row>
    <row r="196">
      <c r="B196" s="283" t="n"/>
      <c r="C196" s="283" t="n"/>
    </row>
    <row r="197">
      <c r="B197" s="283" t="n"/>
      <c r="C197" s="283" t="n"/>
    </row>
    <row r="198">
      <c r="B198" s="283" t="n"/>
      <c r="C198" s="283" t="n"/>
    </row>
    <row r="199">
      <c r="B199" s="283" t="n"/>
      <c r="C199" s="283" t="n"/>
    </row>
    <row r="200">
      <c r="B200" s="283" t="n"/>
      <c r="C200" s="283" t="n"/>
    </row>
    <row r="201">
      <c r="B201" s="283" t="n"/>
      <c r="C201" s="283" t="n"/>
    </row>
    <row r="202">
      <c r="B202" s="283" t="n"/>
      <c r="C202" s="283" t="n"/>
    </row>
    <row r="203">
      <c r="B203" s="283" t="n"/>
      <c r="C203" s="283" t="n"/>
    </row>
    <row r="204">
      <c r="B204" s="283" t="n"/>
      <c r="C204" s="283" t="n"/>
    </row>
    <row r="205">
      <c r="B205" s="283" t="n"/>
      <c r="C205" s="283" t="n"/>
    </row>
    <row r="206">
      <c r="B206" s="283" t="n"/>
      <c r="C206" s="283" t="n"/>
    </row>
    <row r="207">
      <c r="B207" s="283" t="n"/>
      <c r="C207" s="283" t="n"/>
    </row>
    <row r="208">
      <c r="B208" s="283" t="n"/>
      <c r="C208" s="283" t="n"/>
    </row>
    <row r="209">
      <c r="B209" s="283" t="n"/>
      <c r="C209" s="283" t="n"/>
    </row>
    <row r="210">
      <c r="B210" s="283" t="n"/>
      <c r="C210" s="283" t="n"/>
    </row>
    <row r="211">
      <c r="B211" s="283" t="n"/>
      <c r="C211" s="283" t="n"/>
    </row>
    <row r="212">
      <c r="B212" s="283" t="n"/>
      <c r="C212" s="283" t="n"/>
    </row>
    <row r="213">
      <c r="B213" s="283" t="n"/>
      <c r="C213" s="283" t="n"/>
    </row>
    <row r="214">
      <c r="B214" s="283" t="n"/>
      <c r="C214" s="283" t="n"/>
    </row>
    <row r="215">
      <c r="B215" s="283" t="n"/>
      <c r="C215" s="283" t="n"/>
    </row>
    <row r="216">
      <c r="B216" s="283" t="n"/>
      <c r="C216" s="283" t="n"/>
    </row>
    <row r="217">
      <c r="B217" s="283" t="n"/>
      <c r="C217" s="283" t="n"/>
    </row>
    <row r="218">
      <c r="B218" s="283" t="n"/>
      <c r="C218" s="283" t="n"/>
    </row>
    <row r="219">
      <c r="B219" s="283" t="n"/>
      <c r="C219" s="283" t="n"/>
    </row>
    <row r="220">
      <c r="B220" s="283" t="n"/>
      <c r="C220" s="283" t="n"/>
    </row>
    <row r="221">
      <c r="B221" s="283" t="n"/>
      <c r="C221" s="283" t="n"/>
    </row>
    <row r="222">
      <c r="B222" s="283" t="n"/>
      <c r="C222" s="283" t="n"/>
    </row>
    <row r="223">
      <c r="B223" s="283" t="n"/>
      <c r="C223" s="283" t="n"/>
    </row>
    <row r="224">
      <c r="B224" s="283" t="n"/>
      <c r="C224" s="283" t="n"/>
    </row>
    <row r="225">
      <c r="B225" s="283" t="n"/>
      <c r="C225" s="283" t="n"/>
    </row>
    <row r="226">
      <c r="B226" s="283" t="n"/>
      <c r="C226" s="283" t="n"/>
    </row>
    <row r="227">
      <c r="B227" s="283" t="n"/>
      <c r="C227" s="283" t="n"/>
    </row>
    <row r="228">
      <c r="B228" s="283" t="n"/>
      <c r="C228" s="283" t="n"/>
    </row>
    <row r="229">
      <c r="B229" s="283" t="n"/>
      <c r="C229" s="283" t="n"/>
    </row>
    <row r="230">
      <c r="B230" s="283" t="n"/>
      <c r="C230" s="283" t="n"/>
    </row>
    <row r="231">
      <c r="B231" s="283" t="n"/>
      <c r="C231" s="283" t="n"/>
    </row>
    <row r="232">
      <c r="B232" s="283" t="n"/>
      <c r="C232" s="283" t="n"/>
    </row>
    <row r="233">
      <c r="B233" s="283" t="n"/>
      <c r="C233" s="283" t="n"/>
    </row>
    <row r="234">
      <c r="B234" s="283" t="n"/>
      <c r="C234" s="283" t="n"/>
    </row>
    <row r="235">
      <c r="B235" s="283" t="n"/>
      <c r="C235" s="283" t="n"/>
    </row>
    <row r="236">
      <c r="B236" s="283" t="n"/>
      <c r="C236" s="283" t="n"/>
    </row>
    <row r="237">
      <c r="B237" s="283" t="n"/>
      <c r="C237" s="283" t="n"/>
    </row>
    <row r="238">
      <c r="B238" s="283" t="n"/>
      <c r="C238" s="283" t="n"/>
    </row>
    <row r="239">
      <c r="B239" s="283" t="n"/>
      <c r="C239" s="283" t="n"/>
    </row>
    <row r="240">
      <c r="B240" s="283" t="n"/>
      <c r="C240" s="283" t="n"/>
    </row>
    <row r="241">
      <c r="B241" s="283" t="n"/>
      <c r="C241" s="283" t="n"/>
    </row>
    <row r="242">
      <c r="B242" s="283" t="n"/>
      <c r="C242" s="283" t="n"/>
    </row>
    <row r="243">
      <c r="B243" s="283" t="n"/>
      <c r="C243" s="283" t="n"/>
    </row>
    <row r="244">
      <c r="B244" s="283" t="n"/>
      <c r="C244" s="283" t="n"/>
    </row>
    <row r="245">
      <c r="B245" s="283" t="n"/>
      <c r="C245" s="283" t="n"/>
    </row>
    <row r="246">
      <c r="B246" s="283" t="n"/>
      <c r="C246" s="283" t="n"/>
    </row>
    <row r="247">
      <c r="B247" s="283" t="n"/>
      <c r="C247" s="283" t="n"/>
    </row>
    <row r="248">
      <c r="B248" s="283" t="n"/>
      <c r="C248" s="283" t="n"/>
    </row>
    <row r="249">
      <c r="B249" s="283" t="n"/>
      <c r="C249" s="283" t="n"/>
    </row>
    <row r="250">
      <c r="B250" s="283" t="n"/>
      <c r="C250" s="283" t="n"/>
    </row>
    <row r="251">
      <c r="B251" s="283" t="n"/>
      <c r="C251" s="283" t="n"/>
    </row>
    <row r="252">
      <c r="B252" s="283" t="n"/>
      <c r="C252" s="283" t="n"/>
    </row>
    <row r="253">
      <c r="B253" s="283" t="n"/>
      <c r="C253" s="283" t="n"/>
    </row>
    <row r="254">
      <c r="B254" s="283" t="n"/>
      <c r="C254" s="283" t="n"/>
    </row>
    <row r="255">
      <c r="B255" s="283" t="n"/>
      <c r="C255" s="283" t="n"/>
    </row>
    <row r="256">
      <c r="B256" s="283" t="n"/>
      <c r="C256" s="283" t="n"/>
    </row>
    <row r="257">
      <c r="B257" s="283" t="n"/>
      <c r="C257" s="283" t="n"/>
    </row>
    <row r="258">
      <c r="B258" s="283" t="n"/>
      <c r="C258" s="283" t="n"/>
    </row>
    <row r="259">
      <c r="B259" s="283" t="n"/>
      <c r="C259" s="283" t="n"/>
    </row>
    <row r="260">
      <c r="B260" s="283" t="n"/>
      <c r="C260" s="283" t="n"/>
    </row>
    <row r="261">
      <c r="B261" s="283" t="n"/>
      <c r="C261" s="283" t="n"/>
    </row>
    <row r="262">
      <c r="B262" s="283" t="n"/>
      <c r="C262" s="283" t="n"/>
    </row>
    <row r="263">
      <c r="B263" s="283" t="n"/>
      <c r="C263" s="283" t="n"/>
    </row>
    <row r="264">
      <c r="B264" s="283" t="n"/>
      <c r="C264" s="283" t="n"/>
    </row>
    <row r="265">
      <c r="B265" s="283" t="n"/>
      <c r="C265" s="283" t="n"/>
    </row>
    <row r="266">
      <c r="B266" s="283" t="n"/>
      <c r="C266" s="283" t="n"/>
    </row>
    <row r="267">
      <c r="B267" s="283" t="n"/>
      <c r="C267" s="283" t="n"/>
    </row>
    <row r="268">
      <c r="B268" s="283" t="n"/>
      <c r="C268" s="283" t="n"/>
    </row>
    <row r="269">
      <c r="B269" s="283" t="n"/>
      <c r="C269" s="283" t="n"/>
    </row>
    <row r="270">
      <c r="B270" s="283" t="n"/>
      <c r="C270" s="283" t="n"/>
    </row>
    <row r="271">
      <c r="B271" s="283" t="n"/>
      <c r="C271" s="283" t="n"/>
    </row>
    <row r="272">
      <c r="B272" s="283" t="n"/>
      <c r="C272" s="283" t="n"/>
    </row>
    <row r="273">
      <c r="B273" s="283" t="n"/>
      <c r="C273" s="283" t="n"/>
    </row>
    <row r="274">
      <c r="B274" s="283" t="n"/>
      <c r="C274" s="283" t="n"/>
    </row>
    <row r="275">
      <c r="B275" s="283" t="n"/>
      <c r="C275" s="283" t="n"/>
    </row>
    <row r="276">
      <c r="B276" s="283" t="n"/>
      <c r="C276" s="283" t="n"/>
    </row>
    <row r="277">
      <c r="B277" s="283" t="n"/>
      <c r="C277" s="283" t="n"/>
    </row>
    <row r="278">
      <c r="B278" s="283" t="n"/>
      <c r="C278" s="283" t="n"/>
    </row>
    <row r="279">
      <c r="B279" s="283" t="n"/>
      <c r="C279" s="283" t="n"/>
    </row>
    <row r="280">
      <c r="B280" s="283" t="n"/>
      <c r="C280" s="283" t="n"/>
    </row>
    <row r="281">
      <c r="B281" s="283" t="n"/>
      <c r="C281" s="283" t="n"/>
    </row>
    <row r="282">
      <c r="B282" s="283" t="n"/>
      <c r="C282" s="283" t="n"/>
    </row>
    <row r="283">
      <c r="B283" s="283" t="n"/>
      <c r="C283" s="283" t="n"/>
    </row>
    <row r="284">
      <c r="B284" s="283" t="n"/>
      <c r="C284" s="283" t="n"/>
    </row>
    <row r="285">
      <c r="B285" s="283" t="n"/>
      <c r="C285" s="283" t="n"/>
    </row>
    <row r="286">
      <c r="B286" s="283" t="n"/>
      <c r="C286" s="283" t="n"/>
    </row>
    <row r="287">
      <c r="B287" s="283" t="n"/>
      <c r="C287" s="283" t="n"/>
    </row>
    <row r="288">
      <c r="B288" s="283" t="n"/>
      <c r="C288" s="283" t="n"/>
    </row>
    <row r="289">
      <c r="B289" s="283" t="n"/>
      <c r="C289" s="283" t="n"/>
    </row>
    <row r="290">
      <c r="B290" s="283" t="n"/>
      <c r="C290" s="283" t="n"/>
    </row>
    <row r="291">
      <c r="B291" s="283" t="n"/>
      <c r="C291" s="283" t="n"/>
    </row>
    <row r="292">
      <c r="B292" s="283" t="n"/>
      <c r="C292" s="283" t="n"/>
    </row>
    <row r="293">
      <c r="B293" s="283" t="n"/>
      <c r="C293" s="283" t="n"/>
    </row>
    <row r="294">
      <c r="B294" s="283" t="n"/>
      <c r="C294" s="283" t="n"/>
    </row>
    <row r="295">
      <c r="B295" s="283" t="n"/>
      <c r="C295" s="283" t="n"/>
    </row>
    <row r="296">
      <c r="B296" s="283" t="n"/>
      <c r="C296" s="283" t="n"/>
    </row>
    <row r="297">
      <c r="B297" s="283" t="n"/>
      <c r="C297" s="283" t="n"/>
    </row>
    <row r="298">
      <c r="B298" s="283" t="n"/>
      <c r="C298" s="283" t="n"/>
    </row>
    <row r="299">
      <c r="B299" s="283" t="n"/>
      <c r="C299" s="283" t="n"/>
    </row>
    <row r="300">
      <c r="B300" s="283" t="n"/>
      <c r="C300" s="283" t="n"/>
    </row>
    <row r="301">
      <c r="B301" s="283" t="n"/>
      <c r="C301" s="283" t="n"/>
    </row>
    <row r="302">
      <c r="B302" s="283" t="n"/>
      <c r="C302" s="283" t="n"/>
    </row>
    <row r="303">
      <c r="B303" s="283" t="n"/>
      <c r="C303" s="283" t="n"/>
    </row>
    <row r="304">
      <c r="B304" s="283" t="n"/>
      <c r="C304" s="283" t="n"/>
    </row>
    <row r="305">
      <c r="B305" s="283" t="n"/>
      <c r="C305" s="283" t="n"/>
    </row>
    <row r="306">
      <c r="B306" s="283" t="n"/>
      <c r="C306" s="283" t="n"/>
    </row>
    <row r="307">
      <c r="B307" s="283" t="n"/>
      <c r="C307" s="283" t="n"/>
    </row>
    <row r="308">
      <c r="B308" s="283" t="n"/>
      <c r="C308" s="283" t="n"/>
    </row>
    <row r="309">
      <c r="B309" s="283" t="n"/>
      <c r="C309" s="283" t="n"/>
    </row>
    <row r="310">
      <c r="B310" s="283" t="n"/>
      <c r="C310" s="283" t="n"/>
    </row>
    <row r="311">
      <c r="B311" s="283" t="n"/>
      <c r="C311" s="283" t="n"/>
    </row>
    <row r="312">
      <c r="B312" s="283" t="n"/>
      <c r="C312" s="283" t="n"/>
    </row>
    <row r="313">
      <c r="B313" s="283" t="n"/>
      <c r="C313" s="283" t="n"/>
    </row>
    <row r="314">
      <c r="B314" s="283" t="n"/>
      <c r="C314" s="283" t="n"/>
    </row>
    <row r="315">
      <c r="B315" s="283" t="n"/>
      <c r="C315" s="283" t="n"/>
    </row>
    <row r="316">
      <c r="B316" s="283" t="n"/>
      <c r="C316" s="283" t="n"/>
    </row>
    <row r="317">
      <c r="B317" s="283" t="n"/>
      <c r="C317" s="283" t="n"/>
    </row>
    <row r="318">
      <c r="B318" s="283" t="n"/>
      <c r="C318" s="283" t="n"/>
    </row>
    <row r="319">
      <c r="B319" s="283" t="n"/>
      <c r="C319" s="283" t="n"/>
    </row>
    <row r="320">
      <c r="B320" s="283" t="n"/>
      <c r="C320" s="283" t="n"/>
    </row>
    <row r="321">
      <c r="B321" s="283" t="n"/>
      <c r="C321" s="283" t="n"/>
    </row>
    <row r="322">
      <c r="B322" s="283" t="n"/>
      <c r="C322" s="283" t="n"/>
    </row>
    <row r="323">
      <c r="B323" s="283" t="n"/>
      <c r="C323" s="283" t="n"/>
    </row>
    <row r="324">
      <c r="B324" s="283" t="n"/>
      <c r="C324" s="283" t="n"/>
    </row>
    <row r="325">
      <c r="B325" s="283" t="n"/>
      <c r="C325" s="283" t="n"/>
    </row>
    <row r="326">
      <c r="B326" s="283" t="n"/>
      <c r="C326" s="283" t="n"/>
    </row>
    <row r="327">
      <c r="B327" s="283" t="n"/>
      <c r="C327" s="283" t="n"/>
    </row>
    <row r="328">
      <c r="B328" s="283" t="n"/>
      <c r="C328" s="283" t="n"/>
    </row>
    <row r="329">
      <c r="B329" s="283" t="n"/>
      <c r="C329" s="283" t="n"/>
    </row>
    <row r="330">
      <c r="B330" s="283" t="n"/>
      <c r="C330" s="283" t="n"/>
    </row>
    <row r="331">
      <c r="B331" s="283" t="n"/>
      <c r="C331" s="283" t="n"/>
    </row>
    <row r="332">
      <c r="B332" s="283" t="n"/>
      <c r="C332" s="283" t="n"/>
    </row>
    <row r="333">
      <c r="B333" s="283" t="n"/>
      <c r="C333" s="283" t="n"/>
    </row>
    <row r="334">
      <c r="B334" s="283" t="n"/>
      <c r="C334" s="283" t="n"/>
    </row>
    <row r="335">
      <c r="B335" s="283" t="n"/>
      <c r="C335" s="283" t="n"/>
    </row>
    <row r="336">
      <c r="B336" s="283" t="n"/>
      <c r="C336" s="283" t="n"/>
    </row>
    <row r="337">
      <c r="B337" s="283" t="n"/>
      <c r="C337" s="283" t="n"/>
    </row>
    <row r="338">
      <c r="B338" s="283" t="n"/>
      <c r="C338" s="283" t="n"/>
    </row>
    <row r="339">
      <c r="B339" s="283" t="n"/>
      <c r="C339" s="283" t="n"/>
    </row>
    <row r="340">
      <c r="B340" s="283" t="n"/>
      <c r="C340" s="283" t="n"/>
    </row>
    <row r="341">
      <c r="B341" s="283" t="n"/>
      <c r="C341" s="283" t="n"/>
    </row>
    <row r="342">
      <c r="B342" s="283" t="n"/>
      <c r="C342" s="283" t="n"/>
    </row>
    <row r="343">
      <c r="B343" s="283" t="n"/>
      <c r="C343" s="283" t="n"/>
    </row>
    <row r="344">
      <c r="B344" s="283" t="n"/>
      <c r="C344" s="283" t="n"/>
    </row>
    <row r="345">
      <c r="B345" s="283" t="n"/>
      <c r="C345" s="283" t="n"/>
    </row>
    <row r="346">
      <c r="B346" s="283" t="n"/>
      <c r="C346" s="283" t="n"/>
    </row>
    <row r="347">
      <c r="B347" s="283" t="n"/>
      <c r="C347" s="283" t="n"/>
    </row>
    <row r="348">
      <c r="B348" s="283" t="n"/>
      <c r="C348" s="283" t="n"/>
    </row>
    <row r="349">
      <c r="B349" s="283" t="n"/>
      <c r="C349" s="283" t="n"/>
    </row>
    <row r="350">
      <c r="B350" s="283" t="n"/>
      <c r="C350" s="283" t="n"/>
    </row>
    <row r="351">
      <c r="B351" s="283" t="n"/>
      <c r="C351" s="283" t="n"/>
    </row>
    <row r="352">
      <c r="B352" s="283" t="n"/>
      <c r="C352" s="283" t="n"/>
    </row>
    <row r="353">
      <c r="B353" s="283" t="n"/>
      <c r="C353" s="283" t="n"/>
    </row>
    <row r="354">
      <c r="B354" s="283" t="n"/>
      <c r="C354" s="283" t="n"/>
    </row>
    <row r="355">
      <c r="B355" s="283" t="n"/>
      <c r="C355" s="283" t="n"/>
    </row>
    <row r="356">
      <c r="B356" s="283" t="n"/>
      <c r="C356" s="283" t="n"/>
    </row>
    <row r="357">
      <c r="B357" s="283" t="n"/>
      <c r="C357" s="283" t="n"/>
    </row>
    <row r="358">
      <c r="B358" s="283" t="n"/>
      <c r="C358" s="283" t="n"/>
    </row>
    <row r="359">
      <c r="B359" s="283" t="n"/>
      <c r="C359" s="283" t="n"/>
    </row>
    <row r="360">
      <c r="B360" s="283" t="n"/>
      <c r="C360" s="283" t="n"/>
    </row>
    <row r="361">
      <c r="B361" s="283" t="n"/>
      <c r="C361" s="283" t="n"/>
    </row>
    <row r="362">
      <c r="B362" s="283" t="n"/>
      <c r="C362" s="283" t="n"/>
    </row>
    <row r="363">
      <c r="B363" s="283" t="n"/>
      <c r="C363" s="283" t="n"/>
    </row>
    <row r="364">
      <c r="B364" s="283" t="n"/>
      <c r="C364" s="283" t="n"/>
    </row>
    <row r="365">
      <c r="B365" s="283" t="n"/>
      <c r="C365" s="283" t="n"/>
    </row>
    <row r="366">
      <c r="B366" s="283" t="n"/>
      <c r="C366" s="283" t="n"/>
    </row>
    <row r="367">
      <c r="B367" s="283" t="n"/>
      <c r="C367" s="283" t="n"/>
    </row>
    <row r="368">
      <c r="B368" s="283" t="n"/>
      <c r="C368" s="283" t="n"/>
    </row>
    <row r="369">
      <c r="B369" s="283" t="n"/>
      <c r="C369" s="283" t="n"/>
    </row>
    <row r="370">
      <c r="B370" s="283" t="n"/>
      <c r="C370" s="283" t="n"/>
    </row>
    <row r="371">
      <c r="B371" s="283" t="n"/>
      <c r="C371" s="283" t="n"/>
    </row>
    <row r="372">
      <c r="B372" s="283" t="n"/>
      <c r="C372" s="283" t="n"/>
    </row>
    <row r="373">
      <c r="B373" s="283" t="n"/>
      <c r="C373" s="283" t="n"/>
    </row>
    <row r="374">
      <c r="B374" s="283" t="n"/>
      <c r="C374" s="283" t="n"/>
    </row>
    <row r="375">
      <c r="B375" s="283" t="n"/>
      <c r="C375" s="283" t="n"/>
    </row>
    <row r="376">
      <c r="B376" s="283" t="n"/>
      <c r="C376" s="283" t="n"/>
    </row>
    <row r="377">
      <c r="B377" s="283" t="n"/>
      <c r="C377" s="283" t="n"/>
    </row>
    <row r="378">
      <c r="B378" s="283" t="n"/>
      <c r="C378" s="283" t="n"/>
    </row>
    <row r="379">
      <c r="B379" s="283" t="n"/>
      <c r="C379" s="283" t="n"/>
    </row>
    <row r="380">
      <c r="B380" s="283" t="n"/>
      <c r="C380" s="283" t="n"/>
    </row>
    <row r="381">
      <c r="B381" s="283" t="n"/>
      <c r="C381" s="283" t="n"/>
    </row>
    <row r="382">
      <c r="B382" s="283" t="n"/>
      <c r="C382" s="283" t="n"/>
    </row>
    <row r="383">
      <c r="B383" s="283" t="n"/>
      <c r="C383" s="283" t="n"/>
    </row>
    <row r="384">
      <c r="B384" s="283" t="n"/>
      <c r="C384" s="283" t="n"/>
    </row>
    <row r="385">
      <c r="B385" s="283" t="n"/>
      <c r="C385" s="283" t="n"/>
    </row>
    <row r="386">
      <c r="B386" s="283" t="n"/>
      <c r="C386" s="283" t="n"/>
    </row>
    <row r="387">
      <c r="B387" s="283" t="n"/>
      <c r="C387" s="283" t="n"/>
    </row>
    <row r="388">
      <c r="B388" s="283" t="n"/>
      <c r="C388" s="283" t="n"/>
    </row>
    <row r="389">
      <c r="B389" s="283" t="n"/>
      <c r="C389" s="283" t="n"/>
    </row>
    <row r="390">
      <c r="B390" s="283" t="n"/>
      <c r="C390" s="283" t="n"/>
    </row>
    <row r="391">
      <c r="B391" s="283" t="n"/>
      <c r="C391" s="283" t="n"/>
    </row>
    <row r="392">
      <c r="B392" s="283" t="n"/>
      <c r="C392" s="283" t="n"/>
    </row>
    <row r="393">
      <c r="B393" s="283" t="n"/>
      <c r="C393" s="283" t="n"/>
    </row>
    <row r="394">
      <c r="B394" s="283" t="n"/>
      <c r="C394" s="283" t="n"/>
    </row>
    <row r="395">
      <c r="B395" s="283" t="n"/>
      <c r="C395" s="283" t="n"/>
    </row>
    <row r="396">
      <c r="B396" s="283" t="n"/>
      <c r="C396" s="283" t="n"/>
    </row>
    <row r="397">
      <c r="B397" s="283" t="n"/>
      <c r="C397" s="283" t="n"/>
    </row>
    <row r="398">
      <c r="B398" s="283" t="n"/>
      <c r="C398" s="283" t="n"/>
    </row>
    <row r="399">
      <c r="B399" s="283" t="n"/>
      <c r="C399" s="283" t="n"/>
    </row>
    <row r="400">
      <c r="B400" s="283" t="n"/>
      <c r="C400" s="283" t="n"/>
    </row>
    <row r="401">
      <c r="B401" s="283" t="n"/>
      <c r="C401" s="283" t="n"/>
    </row>
    <row r="402">
      <c r="B402" s="283" t="n"/>
      <c r="C402" s="283" t="n"/>
    </row>
    <row r="403">
      <c r="B403" s="283" t="n"/>
      <c r="C403" s="283" t="n"/>
    </row>
    <row r="404">
      <c r="B404" s="283" t="n"/>
      <c r="C404" s="283" t="n"/>
    </row>
    <row r="405">
      <c r="B405" s="283" t="n"/>
      <c r="C405" s="283" t="n"/>
    </row>
    <row r="406">
      <c r="B406" s="283" t="n"/>
      <c r="C406" s="283" t="n"/>
    </row>
    <row r="407">
      <c r="B407" s="283" t="n"/>
      <c r="C407" s="283" t="n"/>
    </row>
    <row r="408">
      <c r="B408" s="283" t="n"/>
      <c r="C408" s="283" t="n"/>
    </row>
    <row r="409">
      <c r="B409" s="283" t="n"/>
      <c r="C409" s="283" t="n"/>
    </row>
    <row r="410">
      <c r="B410" s="283" t="n"/>
      <c r="C410" s="283" t="n"/>
    </row>
    <row r="411">
      <c r="B411" s="283" t="n"/>
      <c r="C411" s="283" t="n"/>
    </row>
    <row r="412">
      <c r="B412" s="283" t="n"/>
      <c r="C412" s="283" t="n"/>
    </row>
    <row r="413">
      <c r="B413" s="283" t="n"/>
      <c r="C413" s="283" t="n"/>
    </row>
    <row r="414">
      <c r="B414" s="283" t="n"/>
      <c r="C414" s="283" t="n"/>
    </row>
    <row r="415">
      <c r="B415" s="283" t="n"/>
      <c r="C415" s="283" t="n"/>
    </row>
    <row r="416">
      <c r="B416" s="283" t="n"/>
      <c r="C416" s="283" t="n"/>
    </row>
    <row r="417">
      <c r="B417" s="283" t="n"/>
      <c r="C417" s="283" t="n"/>
    </row>
    <row r="418">
      <c r="B418" s="283" t="n"/>
      <c r="C418" s="283" t="n"/>
    </row>
    <row r="419">
      <c r="B419" s="283" t="n"/>
      <c r="C419" s="283" t="n"/>
    </row>
    <row r="420">
      <c r="B420" s="283" t="n"/>
      <c r="C420" s="283" t="n"/>
    </row>
    <row r="421">
      <c r="B421" s="283" t="n"/>
      <c r="C421" s="283" t="n"/>
    </row>
    <row r="422">
      <c r="B422" s="283" t="n"/>
      <c r="C422" s="283" t="n"/>
    </row>
    <row r="423">
      <c r="B423" s="283" t="n"/>
      <c r="C423" s="283" t="n"/>
    </row>
    <row r="424">
      <c r="B424" s="283" t="n"/>
      <c r="C424" s="283" t="n"/>
    </row>
    <row r="425">
      <c r="B425" s="283" t="n"/>
      <c r="C425" s="283" t="n"/>
    </row>
    <row r="426">
      <c r="B426" s="283" t="n"/>
      <c r="C426" s="283" t="n"/>
    </row>
    <row r="427">
      <c r="B427" s="283" t="n"/>
      <c r="C427" s="283" t="n"/>
    </row>
    <row r="428">
      <c r="B428" s="283" t="n"/>
      <c r="C428" s="283" t="n"/>
    </row>
    <row r="429">
      <c r="B429" s="283" t="n"/>
      <c r="C429" s="283" t="n"/>
    </row>
    <row r="430">
      <c r="B430" s="283" t="n"/>
      <c r="C430" s="283" t="n"/>
    </row>
    <row r="431">
      <c r="B431" s="283" t="n"/>
      <c r="C431" s="283" t="n"/>
    </row>
    <row r="432">
      <c r="B432" s="283" t="n"/>
      <c r="C432" s="283" t="n"/>
    </row>
    <row r="433">
      <c r="B433" s="283" t="n"/>
      <c r="C433" s="283" t="n"/>
    </row>
    <row r="434">
      <c r="B434" s="283" t="n"/>
      <c r="C434" s="283" t="n"/>
    </row>
    <row r="435">
      <c r="B435" s="283" t="n"/>
      <c r="C435" s="283" t="n"/>
    </row>
    <row r="436">
      <c r="B436" s="283" t="n"/>
      <c r="C436" s="283" t="n"/>
    </row>
    <row r="437">
      <c r="B437" s="283" t="n"/>
      <c r="C437" s="283" t="n"/>
    </row>
    <row r="438">
      <c r="B438" s="283" t="n"/>
      <c r="C438" s="283" t="n"/>
    </row>
    <row r="439">
      <c r="B439" s="283" t="n"/>
      <c r="C439" s="283" t="n"/>
    </row>
    <row r="440">
      <c r="B440" s="283" t="n"/>
      <c r="C440" s="283" t="n"/>
    </row>
    <row r="441">
      <c r="B441" s="283" t="n"/>
      <c r="C441" s="283" t="n"/>
    </row>
    <row r="442">
      <c r="B442" s="283" t="n"/>
      <c r="C442" s="283" t="n"/>
    </row>
    <row r="443">
      <c r="B443" s="283" t="n"/>
      <c r="C443" s="283" t="n"/>
    </row>
    <row r="444">
      <c r="B444" s="283" t="n"/>
      <c r="C444" s="283" t="n"/>
    </row>
    <row r="445">
      <c r="B445" s="283" t="n"/>
      <c r="C445" s="283" t="n"/>
    </row>
    <row r="446">
      <c r="B446" s="283" t="n"/>
      <c r="C446" s="283" t="n"/>
    </row>
    <row r="447">
      <c r="B447" s="283" t="n"/>
      <c r="C447" s="283" t="n"/>
    </row>
    <row r="448">
      <c r="B448" s="283" t="n"/>
      <c r="C448" s="283" t="n"/>
    </row>
    <row r="449">
      <c r="B449" s="283" t="n"/>
      <c r="C449" s="283" t="n"/>
    </row>
    <row r="450">
      <c r="B450" s="283" t="n"/>
      <c r="C450" s="283" t="n"/>
    </row>
    <row r="451">
      <c r="B451" s="283" t="n"/>
      <c r="C451" s="283" t="n"/>
    </row>
    <row r="452">
      <c r="B452" s="283" t="n"/>
      <c r="C452" s="283" t="n"/>
    </row>
    <row r="453">
      <c r="B453" s="283" t="n"/>
      <c r="C453" s="283" t="n"/>
    </row>
    <row r="454">
      <c r="B454" s="283" t="n"/>
      <c r="C454" s="283" t="n"/>
    </row>
    <row r="455">
      <c r="B455" s="283" t="n"/>
      <c r="C455" s="283" t="n"/>
    </row>
    <row r="456">
      <c r="B456" s="283" t="n"/>
      <c r="C456" s="283" t="n"/>
    </row>
    <row r="457">
      <c r="B457" s="283" t="n"/>
      <c r="C457" s="283" t="n"/>
    </row>
    <row r="458">
      <c r="B458" s="283" t="n"/>
      <c r="C458" s="283" t="n"/>
    </row>
    <row r="459">
      <c r="B459" s="283" t="n"/>
      <c r="C459" s="283" t="n"/>
    </row>
    <row r="460">
      <c r="B460" s="283" t="n"/>
      <c r="C460" s="283" t="n"/>
    </row>
    <row r="461">
      <c r="B461" s="283" t="n"/>
      <c r="C461" s="283" t="n"/>
    </row>
    <row r="462">
      <c r="B462" s="283" t="n"/>
      <c r="C462" s="283" t="n"/>
    </row>
    <row r="463">
      <c r="B463" s="283" t="n"/>
      <c r="C463" s="283" t="n"/>
    </row>
    <row r="464">
      <c r="B464" s="283" t="n"/>
      <c r="C464" s="283" t="n"/>
    </row>
    <row r="465">
      <c r="B465" s="283" t="n"/>
      <c r="C465" s="283" t="n"/>
    </row>
    <row r="466">
      <c r="B466" s="283" t="n"/>
      <c r="C466" s="283" t="n"/>
    </row>
    <row r="467">
      <c r="B467" s="283" t="n"/>
      <c r="C467" s="283" t="n"/>
    </row>
    <row r="468">
      <c r="B468" s="283" t="n"/>
      <c r="C468" s="283" t="n"/>
    </row>
    <row r="469">
      <c r="B469" s="283" t="n"/>
      <c r="C469" s="283" t="n"/>
    </row>
    <row r="470">
      <c r="B470" s="283" t="n"/>
      <c r="C470" s="283" t="n"/>
    </row>
    <row r="471">
      <c r="B471" s="283" t="n"/>
      <c r="C471" s="283" t="n"/>
    </row>
    <row r="472">
      <c r="B472" s="283" t="n"/>
      <c r="C472" s="283" t="n"/>
    </row>
    <row r="473">
      <c r="B473" s="283" t="n"/>
      <c r="C473" s="283" t="n"/>
    </row>
    <row r="474">
      <c r="B474" s="283" t="n"/>
      <c r="C474" s="283" t="n"/>
    </row>
    <row r="475">
      <c r="B475" s="283" t="n"/>
      <c r="C475" s="283" t="n"/>
    </row>
    <row r="476">
      <c r="B476" s="283" t="n"/>
      <c r="C476" s="283" t="n"/>
    </row>
    <row r="477">
      <c r="B477" s="283" t="n"/>
      <c r="C477" s="283" t="n"/>
    </row>
    <row r="478">
      <c r="B478" s="283" t="n"/>
      <c r="C478" s="283" t="n"/>
    </row>
    <row r="479">
      <c r="B479" s="283" t="n"/>
      <c r="C479" s="283" t="n"/>
    </row>
    <row r="480">
      <c r="B480" s="283" t="n"/>
      <c r="C480" s="283" t="n"/>
    </row>
    <row r="481">
      <c r="B481" s="283" t="n"/>
      <c r="C481" s="283" t="n"/>
    </row>
    <row r="482">
      <c r="B482" s="283" t="n"/>
      <c r="C482" s="283" t="n"/>
    </row>
    <row r="483">
      <c r="B483" s="283" t="n"/>
      <c r="C483" s="283" t="n"/>
    </row>
    <row r="484">
      <c r="B484" s="283" t="n"/>
      <c r="C484" s="283" t="n"/>
    </row>
    <row r="485">
      <c r="B485" s="283" t="n"/>
      <c r="C485" s="283" t="n"/>
    </row>
    <row r="486">
      <c r="B486" s="283" t="n"/>
      <c r="C486" s="283" t="n"/>
    </row>
    <row r="487">
      <c r="B487" s="283" t="n"/>
      <c r="C487" s="283" t="n"/>
    </row>
    <row r="488">
      <c r="B488" s="283" t="n"/>
      <c r="C488" s="283" t="n"/>
    </row>
    <row r="489">
      <c r="B489" s="283" t="n"/>
      <c r="C489" s="283" t="n"/>
    </row>
    <row r="490">
      <c r="B490" s="283" t="n"/>
      <c r="C490" s="283" t="n"/>
    </row>
    <row r="491">
      <c r="B491" s="283" t="n"/>
      <c r="C491" s="283" t="n"/>
    </row>
    <row r="492">
      <c r="B492" s="283" t="n"/>
      <c r="C492" s="283" t="n"/>
    </row>
    <row r="493">
      <c r="B493" s="283" t="n"/>
      <c r="C493" s="283" t="n"/>
    </row>
    <row r="494">
      <c r="B494" s="283" t="n"/>
      <c r="C494" s="283" t="n"/>
    </row>
    <row r="495">
      <c r="B495" s="283" t="n"/>
      <c r="C495" s="283" t="n"/>
    </row>
    <row r="496">
      <c r="B496" s="283" t="n"/>
      <c r="C496" s="283" t="n"/>
    </row>
    <row r="497">
      <c r="B497" s="283" t="n"/>
      <c r="C497" s="283" t="n"/>
    </row>
    <row r="498">
      <c r="B498" s="283" t="n"/>
      <c r="C498" s="283" t="n"/>
    </row>
    <row r="499">
      <c r="B499" s="283" t="n"/>
      <c r="C499" s="283" t="n"/>
    </row>
    <row r="500">
      <c r="B500" s="283" t="n"/>
      <c r="C500" s="283" t="n"/>
    </row>
    <row r="501">
      <c r="B501" s="283" t="n"/>
      <c r="C501" s="283" t="n"/>
    </row>
    <row r="502">
      <c r="B502" s="283" t="n"/>
      <c r="C502" s="283" t="n"/>
    </row>
    <row r="503">
      <c r="B503" s="283" t="n"/>
      <c r="C503" s="283" t="n"/>
    </row>
    <row r="504">
      <c r="B504" s="283" t="n"/>
      <c r="C504" s="283" t="n"/>
    </row>
    <row r="505">
      <c r="B505" s="283" t="n"/>
      <c r="C505" s="283" t="n"/>
    </row>
    <row r="506">
      <c r="B506" s="283" t="n"/>
      <c r="C506" s="283" t="n"/>
    </row>
    <row r="507">
      <c r="B507" s="283" t="n"/>
      <c r="C507" s="283" t="n"/>
    </row>
    <row r="508">
      <c r="B508" s="283" t="n"/>
      <c r="C508" s="283" t="n"/>
    </row>
    <row r="509">
      <c r="B509" s="283" t="n"/>
      <c r="C509" s="283" t="n"/>
    </row>
    <row r="510">
      <c r="B510" s="283" t="n"/>
      <c r="C510" s="283" t="n"/>
    </row>
    <row r="511">
      <c r="B511" s="283" t="n"/>
      <c r="C511" s="283" t="n"/>
    </row>
    <row r="512">
      <c r="B512" s="283" t="n"/>
      <c r="C512" s="283" t="n"/>
    </row>
    <row r="513">
      <c r="B513" s="283" t="n"/>
      <c r="C513" s="283" t="n"/>
    </row>
    <row r="514">
      <c r="B514" s="283" t="n"/>
      <c r="C514" s="283" t="n"/>
    </row>
    <row r="515">
      <c r="B515" s="283" t="n"/>
      <c r="C515" s="283" t="n"/>
    </row>
    <row r="516">
      <c r="B516" s="283" t="n"/>
      <c r="C516" s="283" t="n"/>
    </row>
    <row r="517">
      <c r="B517" s="283" t="n"/>
      <c r="C517" s="283" t="n"/>
    </row>
    <row r="518">
      <c r="B518" s="283" t="n"/>
      <c r="C518" s="283" t="n"/>
    </row>
  </sheetData>
  <mergeCells count="2">
    <mergeCell ref="A3:L3"/>
    <mergeCell ref="A1:L2"/>
  </mergeCells>
  <dataValidations count="2">
    <dataValidation sqref="B11:B15" showDropDown="0" showInputMessage="0" showErrorMessage="0" allowBlank="0" type="list">
      <formula1>"Yes,No"</formula1>
    </dataValidation>
    <dataValidation sqref="B10" showDropDown="0" showInputMessage="0" showErrorMessage="0" allowBlank="0" type="list">
      <formula1>"Approved + validated,Validated imports only,Approved reviews only"</formula1>
    </dataValidation>
  </dataValidations>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cols>
    <col width="24" customWidth="1" style="64" min="1" max="1"/>
    <col width="16" customWidth="1" style="64" min="2" max="2"/>
    <col width="22" customWidth="1" style="64" min="4" max="4"/>
    <col width="16" customWidth="1" style="64" min="5" max="5"/>
    <col width="20" customWidth="1" style="64" min="7" max="7"/>
    <col width="14" customWidth="1" style="64" min="8" max="8"/>
  </cols>
  <sheetData>
    <row r="1">
      <c r="A1" s="293" t="inlineStr">
        <is>
          <t>Renewable Tender Management Report</t>
        </is>
      </c>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c r="A3" s="294" t="inlineStr">
        <is>
          <t>Executive summary generated from the Master Tenders database.</t>
        </is>
      </c>
      <c r="B3" s="1" t="n"/>
      <c r="C3" s="1" t="n"/>
      <c r="D3" s="1" t="n"/>
      <c r="E3" s="1" t="n"/>
      <c r="F3" s="1" t="n"/>
      <c r="G3" s="1" t="n"/>
      <c r="H3" s="1" t="n"/>
      <c r="I3" s="1" t="n"/>
      <c r="J3" s="1" t="n"/>
      <c r="K3" s="1" t="n"/>
      <c r="L3" s="1" t="n"/>
      <c r="M3" s="1" t="n"/>
      <c r="N3" s="1" t="n"/>
    </row>
    <row r="5">
      <c r="A5" s="151" t="inlineStr">
        <is>
          <t>KPI</t>
        </is>
      </c>
      <c r="B5" s="151" t="inlineStr">
        <is>
          <t>Value</t>
        </is>
      </c>
      <c r="D5" s="151" t="inlineStr">
        <is>
          <t>Technology</t>
        </is>
      </c>
      <c r="E5" s="151" t="inlineStr">
        <is>
          <t>Capacity MW</t>
        </is>
      </c>
      <c r="G5" s="151" t="inlineStr">
        <is>
          <t>Status</t>
        </is>
      </c>
      <c r="H5" s="151" t="inlineStr">
        <is>
          <t>Count</t>
        </is>
      </c>
    </row>
    <row r="6">
      <c r="A6" t="inlineStr">
        <is>
          <t>Total records</t>
        </is>
      </c>
      <c r="B6" s="295">
        <f>COUNTA('Master Tenders'!A2:A17)</f>
        <v/>
      </c>
      <c r="D6" t="inlineStr">
        <is>
          <t>Solar</t>
        </is>
      </c>
      <c r="E6" s="295">
        <f>SUMIFS('Master Tenders'!G:G,'Master Tenders'!F:F,"Solar")</f>
        <v/>
      </c>
      <c r="G6" t="inlineStr">
        <is>
          <t>New</t>
        </is>
      </c>
      <c r="H6" s="278">
        <f>COUNTIF('Master Tenders'!Q:Q,"New")</f>
        <v/>
      </c>
    </row>
    <row r="7">
      <c r="A7" t="inlineStr">
        <is>
          <t>Open / Extended</t>
        </is>
      </c>
      <c r="B7" s="295">
        <f>COUNTIF('Master Tenders'!Q2:Q17,"Open")+COUNTIF('Master Tenders'!Q2:Q17,"Extended")</f>
        <v/>
      </c>
      <c r="D7" t="inlineStr">
        <is>
          <t>Solar + BESS</t>
        </is>
      </c>
      <c r="E7" s="295">
        <f>SUMIFS('Master Tenders'!G:G,'Master Tenders'!F:F,"Solar + BESS")</f>
        <v/>
      </c>
      <c r="G7" t="inlineStr">
        <is>
          <t>Open</t>
        </is>
      </c>
      <c r="H7" s="278">
        <f>COUNTIF('Master Tenders'!Q:Q,"Open")</f>
        <v/>
      </c>
    </row>
    <row r="8">
      <c r="A8" t="inlineStr">
        <is>
          <t>New tenders</t>
        </is>
      </c>
      <c r="B8" s="295">
        <f>COUNTIF('Master Tenders'!Q2:Q17,"New")</f>
        <v/>
      </c>
      <c r="D8" t="inlineStr">
        <is>
          <t>FDRE</t>
        </is>
      </c>
      <c r="E8" s="295">
        <f>SUMIFS('Master Tenders'!G:G,'Master Tenders'!F:F,"FDRE")</f>
        <v/>
      </c>
      <c r="G8" t="inlineStr">
        <is>
          <t>Extended</t>
        </is>
      </c>
      <c r="H8" s="278">
        <f>COUNTIF('Master Tenders'!Q:Q,"Extended")</f>
        <v/>
      </c>
    </row>
    <row r="9">
      <c r="A9" t="inlineStr">
        <is>
          <t>Corrigenda</t>
        </is>
      </c>
      <c r="B9" s="295">
        <f>COUNTIF('Master Tenders'!Q2:Q17,"Corrigendum")</f>
        <v/>
      </c>
      <c r="D9" t="inlineStr">
        <is>
          <t>Wind</t>
        </is>
      </c>
      <c r="E9" s="295">
        <f>SUMIFS('Master Tenders'!G:G,'Master Tenders'!F:F,"Wind")</f>
        <v/>
      </c>
      <c r="G9" t="inlineStr">
        <is>
          <t>Corrigendum</t>
        </is>
      </c>
      <c r="H9" s="278">
        <f>COUNTIF('Master Tenders'!Q:Q,"Corrigendum")</f>
        <v/>
      </c>
    </row>
    <row r="10">
      <c r="A10" t="inlineStr">
        <is>
          <t>Closing in 7 days</t>
        </is>
      </c>
      <c r="B10" s="295">
        <f>COUNTIFS('Master Tenders'!N2:N17,"&gt;="&amp;TODAY(),'Master Tenders'!N2:N17,"&lt;="&amp;TODAY()+7)</f>
        <v/>
      </c>
      <c r="D10" t="inlineStr">
        <is>
          <t>Hybrid</t>
        </is>
      </c>
      <c r="E10" s="295">
        <f>SUMIFS('Master Tenders'!G:G,'Master Tenders'!F:F,"Hybrid")</f>
        <v/>
      </c>
      <c r="G10" t="inlineStr">
        <is>
          <t>Closed</t>
        </is>
      </c>
      <c r="H10" s="278">
        <f>COUNTIF('Master Tenders'!Q:Q,"Closed")</f>
        <v/>
      </c>
    </row>
    <row r="11">
      <c r="A11" t="inlineStr">
        <is>
          <t>Total capacity MW</t>
        </is>
      </c>
      <c r="B11" s="295">
        <f>SUM('Master Tenders'!G2:G17)</f>
        <v/>
      </c>
      <c r="D11" t="inlineStr">
        <is>
          <t>BESS</t>
        </is>
      </c>
      <c r="E11" s="295">
        <f>SUMIFS('Master Tenders'!G:G,'Master Tenders'!F:F,"BESS")</f>
        <v/>
      </c>
      <c r="G11" t="inlineStr">
        <is>
          <t>Cancelled</t>
        </is>
      </c>
      <c r="H11" s="278">
        <f>COUNTIF('Master Tenders'!Q:Q,"Cancelled")</f>
        <v/>
      </c>
    </row>
    <row r="12">
      <c r="A12" t="inlineStr">
        <is>
          <t>Storage-linked MW</t>
        </is>
      </c>
      <c r="B12" s="295">
        <f>SUMIFS('Master Tenders'!G2:G17,'Master Tenders'!H2:H17,"Yes")</f>
        <v/>
      </c>
      <c r="D12" t="inlineStr">
        <is>
          <t>Pumped Storage</t>
        </is>
      </c>
      <c r="E12" s="295">
        <f>SUMIFS('Master Tenders'!G:G,'Master Tenders'!F:F,"Pumped Storage")</f>
        <v/>
      </c>
      <c r="G12" t="inlineStr">
        <is>
          <t>Awarded</t>
        </is>
      </c>
      <c r="H12" s="278">
        <f>COUNTIF('Master Tenders'!Q:Q,"Awarded")</f>
        <v/>
      </c>
    </row>
    <row r="13">
      <c r="A13" t="inlineStr">
        <is>
          <t>Agencies represented</t>
        </is>
      </c>
      <c r="B13" s="295">
        <f>COUNTA(UNIQUE(FILTER('Master Tenders'!C2:C17,'Master Tenders'!C2:C17&lt;&gt;"")))</f>
        <v/>
      </c>
      <c r="D13" t="inlineStr">
        <is>
          <t>RTC</t>
        </is>
      </c>
      <c r="E13" s="295">
        <f>SUMIFS('Master Tenders'!G:G,'Master Tenders'!F:F,"RTC")</f>
        <v/>
      </c>
      <c r="G13" t="inlineStr">
        <is>
          <t>Expired but Open</t>
        </is>
      </c>
      <c r="H13" s="278">
        <f>COUNTIFS('Master Tenders'!X:X,"Expired",'Master Tenders'!Q:Q,"Open")</f>
        <v/>
      </c>
    </row>
  </sheetData>
  <mergeCells count="2">
    <mergeCell ref="A1:N2"/>
    <mergeCell ref="A3:N3"/>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K370"/>
  <sheetViews>
    <sheetView workbookViewId="0">
      <selection activeCell="A1" sqref="A1"/>
    </sheetView>
  </sheetViews>
  <sheetFormatPr baseColWidth="8" defaultRowHeight="15"/>
  <cols>
    <col width="14" customWidth="1" style="64" min="1" max="1"/>
    <col width="14" customWidth="1" style="64" min="2" max="2"/>
    <col width="16" customWidth="1" style="64" min="3" max="3"/>
    <col width="14" customWidth="1" style="64" min="4" max="4"/>
    <col width="14" customWidth="1" style="64" min="5" max="5"/>
    <col width="12" customWidth="1" style="64" min="6" max="6"/>
    <col width="10" customWidth="1" style="64" min="7" max="7"/>
    <col width="20" customWidth="1" style="64" min="8" max="8"/>
    <col width="18" customWidth="1" style="64" min="9" max="9"/>
    <col width="18" customWidth="1" style="64" min="10" max="10"/>
    <col width="34" customWidth="1" style="64" min="11" max="11"/>
  </cols>
  <sheetData>
    <row r="1">
      <c r="A1" s="293" t="inlineStr">
        <is>
          <t>Daily Tender Update Summary</t>
        </is>
      </c>
      <c r="B1" s="1" t="n"/>
      <c r="C1" s="1" t="n"/>
      <c r="D1" s="1" t="n"/>
      <c r="E1" s="1" t="n"/>
      <c r="F1" s="1" t="n"/>
      <c r="G1" s="1" t="n"/>
      <c r="H1" s="1" t="n"/>
      <c r="I1" s="1" t="n"/>
      <c r="J1" s="1" t="n"/>
      <c r="K1" s="1" t="n"/>
    </row>
    <row r="2">
      <c r="A2" s="1" t="n"/>
      <c r="B2" s="1" t="n"/>
      <c r="C2" s="1" t="n"/>
      <c r="D2" s="1" t="n"/>
      <c r="E2" s="1" t="n"/>
      <c r="F2" s="1" t="n"/>
      <c r="G2" s="1" t="n"/>
      <c r="H2" s="1" t="n"/>
      <c r="I2" s="1" t="n"/>
      <c r="J2" s="1" t="n"/>
      <c r="K2" s="1" t="n"/>
    </row>
    <row r="4">
      <c r="A4" s="151" t="inlineStr">
        <is>
          <t>Update Date</t>
        </is>
      </c>
      <c r="B4" s="151" t="inlineStr">
        <is>
          <t>New Tenders</t>
        </is>
      </c>
      <c r="C4" s="151" t="inlineStr">
        <is>
          <t>Updated Tenders</t>
        </is>
      </c>
      <c r="D4" s="151" t="inlineStr">
        <is>
          <t>Corrigenda</t>
        </is>
      </c>
      <c r="E4" s="151" t="inlineStr">
        <is>
          <t>Extensions</t>
        </is>
      </c>
      <c r="F4" s="151" t="inlineStr">
        <is>
          <t>Closures</t>
        </is>
      </c>
      <c r="G4" s="151" t="inlineStr">
        <is>
          <t>Errors</t>
        </is>
      </c>
      <c r="H4" s="151" t="inlineStr">
        <is>
          <t>Active Capacity MW</t>
        </is>
      </c>
      <c r="I4" s="151" t="inlineStr">
        <is>
          <t>Urgent Deadlines</t>
        </is>
      </c>
      <c r="J4" s="151" t="inlineStr">
        <is>
          <t>Agencies Scanned</t>
        </is>
      </c>
      <c r="K4" s="151" t="inlineStr">
        <is>
          <t>Notes</t>
        </is>
      </c>
    </row>
    <row r="5">
      <c r="A5" s="281" t="n"/>
    </row>
    <row r="6">
      <c r="A6" s="281" t="n"/>
    </row>
    <row r="7">
      <c r="A7" s="281" t="n"/>
    </row>
    <row r="8">
      <c r="A8" s="281" t="n"/>
    </row>
    <row r="9">
      <c r="A9" s="281" t="n"/>
    </row>
    <row r="10">
      <c r="A10" s="281" t="n"/>
    </row>
    <row r="11">
      <c r="A11" s="281" t="n"/>
    </row>
    <row r="12">
      <c r="A12" s="281" t="n"/>
    </row>
    <row r="13">
      <c r="A13" s="281" t="n"/>
    </row>
    <row r="14">
      <c r="A14" s="281" t="n"/>
    </row>
    <row r="15">
      <c r="A15" s="281" t="n"/>
    </row>
    <row r="16">
      <c r="A16" s="281" t="n"/>
    </row>
    <row r="17">
      <c r="A17" s="281" t="n"/>
    </row>
    <row r="18">
      <c r="A18" s="281" t="n"/>
    </row>
    <row r="19">
      <c r="A19" s="281" t="n"/>
    </row>
    <row r="20">
      <c r="A20" s="281" t="n"/>
    </row>
    <row r="21">
      <c r="A21" s="281" t="n"/>
    </row>
    <row r="22">
      <c r="A22" s="281" t="n"/>
    </row>
    <row r="23">
      <c r="A23" s="281" t="n"/>
    </row>
    <row r="24">
      <c r="A24" s="281" t="n"/>
    </row>
    <row r="25">
      <c r="A25" s="281" t="n"/>
    </row>
    <row r="26">
      <c r="A26" s="281" t="n"/>
    </row>
    <row r="27">
      <c r="A27" s="281" t="n"/>
    </row>
    <row r="28">
      <c r="A28" s="281" t="n"/>
    </row>
    <row r="29">
      <c r="A29" s="281" t="n"/>
    </row>
    <row r="30">
      <c r="A30" s="281" t="n"/>
    </row>
    <row r="31">
      <c r="A31" s="281" t="n"/>
    </row>
    <row r="32">
      <c r="A32" s="281" t="n"/>
    </row>
    <row r="33">
      <c r="A33" s="281" t="n"/>
    </row>
    <row r="34">
      <c r="A34" s="281" t="n"/>
    </row>
    <row r="35">
      <c r="A35" s="281" t="n"/>
    </row>
    <row r="36">
      <c r="A36" s="281" t="n"/>
    </row>
    <row r="37">
      <c r="A37" s="281" t="n"/>
    </row>
    <row r="38">
      <c r="A38" s="281" t="n"/>
    </row>
    <row r="39">
      <c r="A39" s="281" t="n"/>
    </row>
    <row r="40">
      <c r="A40" s="281" t="n"/>
    </row>
    <row r="41">
      <c r="A41" s="281" t="n"/>
    </row>
    <row r="42">
      <c r="A42" s="281" t="n"/>
    </row>
    <row r="43">
      <c r="A43" s="281" t="n"/>
    </row>
    <row r="44">
      <c r="A44" s="281" t="n"/>
    </row>
    <row r="45">
      <c r="A45" s="281" t="n"/>
    </row>
    <row r="46">
      <c r="A46" s="281" t="n"/>
    </row>
    <row r="47">
      <c r="A47" s="281" t="n"/>
    </row>
    <row r="48">
      <c r="A48" s="281" t="n"/>
    </row>
    <row r="49">
      <c r="A49" s="281" t="n"/>
    </row>
    <row r="50">
      <c r="A50" s="281" t="n"/>
    </row>
    <row r="51">
      <c r="A51" s="281" t="n"/>
    </row>
    <row r="52">
      <c r="A52" s="281" t="n"/>
    </row>
    <row r="53">
      <c r="A53" s="281" t="n"/>
    </row>
    <row r="54">
      <c r="A54" s="281" t="n"/>
    </row>
    <row r="55">
      <c r="A55" s="281" t="n"/>
    </row>
    <row r="56">
      <c r="A56" s="281" t="n"/>
    </row>
    <row r="57">
      <c r="A57" s="281" t="n"/>
    </row>
    <row r="58">
      <c r="A58" s="281" t="n"/>
    </row>
    <row r="59">
      <c r="A59" s="281" t="n"/>
    </row>
    <row r="60">
      <c r="A60" s="281" t="n"/>
    </row>
    <row r="61">
      <c r="A61" s="281" t="n"/>
    </row>
    <row r="62">
      <c r="A62" s="281" t="n"/>
    </row>
    <row r="63">
      <c r="A63" s="281" t="n"/>
    </row>
    <row r="64">
      <c r="A64" s="281" t="n"/>
    </row>
    <row r="65">
      <c r="A65" s="281" t="n"/>
    </row>
    <row r="66">
      <c r="A66" s="281" t="n"/>
    </row>
    <row r="67">
      <c r="A67" s="281" t="n"/>
    </row>
    <row r="68">
      <c r="A68" s="281" t="n"/>
    </row>
    <row r="69">
      <c r="A69" s="281" t="n"/>
    </row>
    <row r="70">
      <c r="A70" s="281" t="n"/>
    </row>
    <row r="71">
      <c r="A71" s="281" t="n"/>
    </row>
    <row r="72">
      <c r="A72" s="281" t="n"/>
    </row>
    <row r="73">
      <c r="A73" s="281" t="n"/>
    </row>
    <row r="74">
      <c r="A74" s="281" t="n"/>
    </row>
    <row r="75">
      <c r="A75" s="281" t="n"/>
    </row>
    <row r="76">
      <c r="A76" s="281" t="n"/>
    </row>
    <row r="77">
      <c r="A77" s="281" t="n"/>
    </row>
    <row r="78">
      <c r="A78" s="281" t="n"/>
    </row>
    <row r="79">
      <c r="A79" s="281" t="n"/>
    </row>
    <row r="80">
      <c r="A80" s="281" t="n"/>
    </row>
    <row r="81">
      <c r="A81" s="281" t="n"/>
    </row>
    <row r="82">
      <c r="A82" s="281" t="n"/>
    </row>
    <row r="83">
      <c r="A83" s="281" t="n"/>
    </row>
    <row r="84">
      <c r="A84" s="281" t="n"/>
    </row>
    <row r="85">
      <c r="A85" s="281" t="n"/>
    </row>
    <row r="86">
      <c r="A86" s="281" t="n"/>
    </row>
    <row r="87">
      <c r="A87" s="281" t="n"/>
    </row>
    <row r="88">
      <c r="A88" s="281" t="n"/>
    </row>
    <row r="89">
      <c r="A89" s="281" t="n"/>
    </row>
    <row r="90">
      <c r="A90" s="281" t="n"/>
    </row>
    <row r="91">
      <c r="A91" s="281" t="n"/>
    </row>
    <row r="92">
      <c r="A92" s="281" t="n"/>
    </row>
    <row r="93">
      <c r="A93" s="281" t="n"/>
    </row>
    <row r="94">
      <c r="A94" s="281" t="n"/>
    </row>
    <row r="95">
      <c r="A95" s="281" t="n"/>
    </row>
    <row r="96">
      <c r="A96" s="281" t="n"/>
    </row>
    <row r="97">
      <c r="A97" s="281" t="n"/>
    </row>
    <row r="98">
      <c r="A98" s="281" t="n"/>
    </row>
    <row r="99">
      <c r="A99" s="281" t="n"/>
    </row>
    <row r="100">
      <c r="A100" s="281" t="n"/>
    </row>
    <row r="101">
      <c r="A101" s="281" t="n"/>
    </row>
    <row r="102">
      <c r="A102" s="281" t="n"/>
    </row>
    <row r="103">
      <c r="A103" s="281" t="n"/>
    </row>
    <row r="104">
      <c r="A104" s="281" t="n"/>
    </row>
    <row r="105">
      <c r="A105" s="281" t="n"/>
    </row>
    <row r="106">
      <c r="A106" s="281" t="n"/>
    </row>
    <row r="107">
      <c r="A107" s="281" t="n"/>
    </row>
    <row r="108">
      <c r="A108" s="281" t="n"/>
    </row>
    <row r="109">
      <c r="A109" s="281" t="n"/>
    </row>
    <row r="110">
      <c r="A110" s="281" t="n"/>
    </row>
    <row r="111">
      <c r="A111" s="281" t="n"/>
    </row>
    <row r="112">
      <c r="A112" s="281" t="n"/>
    </row>
    <row r="113">
      <c r="A113" s="281" t="n"/>
    </row>
    <row r="114">
      <c r="A114" s="281" t="n"/>
    </row>
    <row r="115">
      <c r="A115" s="281" t="n"/>
    </row>
    <row r="116">
      <c r="A116" s="281" t="n"/>
    </row>
    <row r="117">
      <c r="A117" s="281" t="n"/>
    </row>
    <row r="118">
      <c r="A118" s="281" t="n"/>
    </row>
    <row r="119">
      <c r="A119" s="281" t="n"/>
    </row>
    <row r="120">
      <c r="A120" s="281" t="n"/>
    </row>
    <row r="121">
      <c r="A121" s="281" t="n"/>
    </row>
    <row r="122">
      <c r="A122" s="281" t="n"/>
    </row>
    <row r="123">
      <c r="A123" s="281" t="n"/>
    </row>
    <row r="124">
      <c r="A124" s="281" t="n"/>
    </row>
    <row r="125">
      <c r="A125" s="281" t="n"/>
    </row>
    <row r="126">
      <c r="A126" s="281" t="n"/>
    </row>
    <row r="127">
      <c r="A127" s="281" t="n"/>
    </row>
    <row r="128">
      <c r="A128" s="281" t="n"/>
    </row>
    <row r="129">
      <c r="A129" s="281" t="n"/>
    </row>
    <row r="130">
      <c r="A130" s="281" t="n"/>
    </row>
    <row r="131">
      <c r="A131" s="281" t="n"/>
    </row>
    <row r="132">
      <c r="A132" s="281" t="n"/>
    </row>
    <row r="133">
      <c r="A133" s="281" t="n"/>
    </row>
    <row r="134">
      <c r="A134" s="281" t="n"/>
    </row>
    <row r="135">
      <c r="A135" s="281" t="n"/>
    </row>
    <row r="136">
      <c r="A136" s="281" t="n"/>
    </row>
    <row r="137">
      <c r="A137" s="281" t="n"/>
    </row>
    <row r="138">
      <c r="A138" s="281" t="n"/>
    </row>
    <row r="139">
      <c r="A139" s="281" t="n"/>
    </row>
    <row r="140">
      <c r="A140" s="281" t="n"/>
    </row>
    <row r="141">
      <c r="A141" s="281" t="n"/>
    </row>
    <row r="142">
      <c r="A142" s="281" t="n"/>
    </row>
    <row r="143">
      <c r="A143" s="281" t="n"/>
    </row>
    <row r="144">
      <c r="A144" s="281" t="n"/>
    </row>
    <row r="145">
      <c r="A145" s="281" t="n"/>
    </row>
    <row r="146">
      <c r="A146" s="281" t="n"/>
    </row>
    <row r="147">
      <c r="A147" s="281" t="n"/>
    </row>
    <row r="148">
      <c r="A148" s="281" t="n"/>
    </row>
    <row r="149">
      <c r="A149" s="281" t="n"/>
    </row>
    <row r="150">
      <c r="A150" s="281" t="n"/>
    </row>
    <row r="151">
      <c r="A151" s="281" t="n"/>
    </row>
    <row r="152">
      <c r="A152" s="281" t="n"/>
    </row>
    <row r="153">
      <c r="A153" s="281" t="n"/>
    </row>
    <row r="154">
      <c r="A154" s="281" t="n"/>
    </row>
    <row r="155">
      <c r="A155" s="281" t="n"/>
    </row>
    <row r="156">
      <c r="A156" s="281" t="n"/>
    </row>
    <row r="157">
      <c r="A157" s="281" t="n"/>
    </row>
    <row r="158">
      <c r="A158" s="281" t="n"/>
    </row>
    <row r="159">
      <c r="A159" s="281" t="n"/>
    </row>
    <row r="160">
      <c r="A160" s="281" t="n"/>
    </row>
    <row r="161">
      <c r="A161" s="281" t="n"/>
    </row>
    <row r="162">
      <c r="A162" s="281" t="n"/>
    </row>
    <row r="163">
      <c r="A163" s="281" t="n"/>
    </row>
    <row r="164">
      <c r="A164" s="281" t="n"/>
    </row>
    <row r="165">
      <c r="A165" s="281" t="n"/>
    </row>
    <row r="166">
      <c r="A166" s="281" t="n"/>
    </row>
    <row r="167">
      <c r="A167" s="281" t="n"/>
    </row>
    <row r="168">
      <c r="A168" s="281" t="n"/>
    </row>
    <row r="169">
      <c r="A169" s="281" t="n"/>
    </row>
    <row r="170">
      <c r="A170" s="281" t="n"/>
    </row>
    <row r="171">
      <c r="A171" s="281" t="n"/>
    </row>
    <row r="172">
      <c r="A172" s="281" t="n"/>
    </row>
    <row r="173">
      <c r="A173" s="281" t="n"/>
    </row>
    <row r="174">
      <c r="A174" s="281" t="n"/>
    </row>
    <row r="175">
      <c r="A175" s="281" t="n"/>
    </row>
    <row r="176">
      <c r="A176" s="281" t="n"/>
    </row>
    <row r="177">
      <c r="A177" s="281" t="n"/>
    </row>
    <row r="178">
      <c r="A178" s="281" t="n"/>
    </row>
    <row r="179">
      <c r="A179" s="281" t="n"/>
    </row>
    <row r="180">
      <c r="A180" s="281" t="n"/>
    </row>
    <row r="181">
      <c r="A181" s="281" t="n"/>
    </row>
    <row r="182">
      <c r="A182" s="281" t="n"/>
    </row>
    <row r="183">
      <c r="A183" s="281" t="n"/>
    </row>
    <row r="184">
      <c r="A184" s="281" t="n"/>
    </row>
    <row r="185">
      <c r="A185" s="281" t="n"/>
    </row>
    <row r="186">
      <c r="A186" s="281" t="n"/>
    </row>
    <row r="187">
      <c r="A187" s="281" t="n"/>
    </row>
    <row r="188">
      <c r="A188" s="281" t="n"/>
    </row>
    <row r="189">
      <c r="A189" s="281" t="n"/>
    </row>
    <row r="190">
      <c r="A190" s="281" t="n"/>
    </row>
    <row r="191">
      <c r="A191" s="281" t="n"/>
    </row>
    <row r="192">
      <c r="A192" s="281" t="n"/>
    </row>
    <row r="193">
      <c r="A193" s="281" t="n"/>
    </row>
    <row r="194">
      <c r="A194" s="281" t="n"/>
    </row>
    <row r="195">
      <c r="A195" s="281" t="n"/>
    </row>
    <row r="196">
      <c r="A196" s="281" t="n"/>
    </row>
    <row r="197">
      <c r="A197" s="281" t="n"/>
    </row>
    <row r="198">
      <c r="A198" s="281" t="n"/>
    </row>
    <row r="199">
      <c r="A199" s="281" t="n"/>
    </row>
    <row r="200">
      <c r="A200" s="281" t="n"/>
    </row>
    <row r="201">
      <c r="A201" s="281" t="n"/>
    </row>
    <row r="202">
      <c r="A202" s="281" t="n"/>
    </row>
    <row r="203">
      <c r="A203" s="281" t="n"/>
    </row>
    <row r="204">
      <c r="A204" s="281" t="n"/>
    </row>
    <row r="205">
      <c r="A205" s="281" t="n"/>
    </row>
    <row r="206">
      <c r="A206" s="281" t="n"/>
    </row>
    <row r="207">
      <c r="A207" s="281" t="n"/>
    </row>
    <row r="208">
      <c r="A208" s="281" t="n"/>
    </row>
    <row r="209">
      <c r="A209" s="281" t="n"/>
    </row>
    <row r="210">
      <c r="A210" s="281" t="n"/>
    </row>
    <row r="211">
      <c r="A211" s="281" t="n"/>
    </row>
    <row r="212">
      <c r="A212" s="281" t="n"/>
    </row>
    <row r="213">
      <c r="A213" s="281" t="n"/>
    </row>
    <row r="214">
      <c r="A214" s="281" t="n"/>
    </row>
    <row r="215">
      <c r="A215" s="281" t="n"/>
    </row>
    <row r="216">
      <c r="A216" s="281" t="n"/>
    </row>
    <row r="217">
      <c r="A217" s="281" t="n"/>
    </row>
    <row r="218">
      <c r="A218" s="281" t="n"/>
    </row>
    <row r="219">
      <c r="A219" s="281" t="n"/>
    </row>
    <row r="220">
      <c r="A220" s="281" t="n"/>
    </row>
    <row r="221">
      <c r="A221" s="281" t="n"/>
    </row>
    <row r="222">
      <c r="A222" s="281" t="n"/>
    </row>
    <row r="223">
      <c r="A223" s="281" t="n"/>
    </row>
    <row r="224">
      <c r="A224" s="281" t="n"/>
    </row>
    <row r="225">
      <c r="A225" s="281" t="n"/>
    </row>
    <row r="226">
      <c r="A226" s="281" t="n"/>
    </row>
    <row r="227">
      <c r="A227" s="281" t="n"/>
    </row>
    <row r="228">
      <c r="A228" s="281" t="n"/>
    </row>
    <row r="229">
      <c r="A229" s="281" t="n"/>
    </row>
    <row r="230">
      <c r="A230" s="281" t="n"/>
    </row>
    <row r="231">
      <c r="A231" s="281" t="n"/>
    </row>
    <row r="232">
      <c r="A232" s="281" t="n"/>
    </row>
    <row r="233">
      <c r="A233" s="281" t="n"/>
    </row>
    <row r="234">
      <c r="A234" s="281" t="n"/>
    </row>
    <row r="235">
      <c r="A235" s="281" t="n"/>
    </row>
    <row r="236">
      <c r="A236" s="281" t="n"/>
    </row>
    <row r="237">
      <c r="A237" s="281" t="n"/>
    </row>
    <row r="238">
      <c r="A238" s="281" t="n"/>
    </row>
    <row r="239">
      <c r="A239" s="281" t="n"/>
    </row>
    <row r="240">
      <c r="A240" s="281" t="n"/>
    </row>
    <row r="241">
      <c r="A241" s="281" t="n"/>
    </row>
    <row r="242">
      <c r="A242" s="281" t="n"/>
    </row>
    <row r="243">
      <c r="A243" s="281" t="n"/>
    </row>
    <row r="244">
      <c r="A244" s="281" t="n"/>
    </row>
    <row r="245">
      <c r="A245" s="281" t="n"/>
    </row>
    <row r="246">
      <c r="A246" s="281" t="n"/>
    </row>
    <row r="247">
      <c r="A247" s="281" t="n"/>
    </row>
    <row r="248">
      <c r="A248" s="281" t="n"/>
    </row>
    <row r="249">
      <c r="A249" s="281" t="n"/>
    </row>
    <row r="250">
      <c r="A250" s="281" t="n"/>
    </row>
    <row r="251">
      <c r="A251" s="281" t="n"/>
    </row>
    <row r="252">
      <c r="A252" s="281" t="n"/>
    </row>
    <row r="253">
      <c r="A253" s="281" t="n"/>
    </row>
    <row r="254">
      <c r="A254" s="281" t="n"/>
    </row>
    <row r="255">
      <c r="A255" s="281" t="n"/>
    </row>
    <row r="256">
      <c r="A256" s="281" t="n"/>
    </row>
    <row r="257">
      <c r="A257" s="281" t="n"/>
    </row>
    <row r="258">
      <c r="A258" s="281" t="n"/>
    </row>
    <row r="259">
      <c r="A259" s="281" t="n"/>
    </row>
    <row r="260">
      <c r="A260" s="281" t="n"/>
    </row>
    <row r="261">
      <c r="A261" s="281" t="n"/>
    </row>
    <row r="262">
      <c r="A262" s="281" t="n"/>
    </row>
    <row r="263">
      <c r="A263" s="281" t="n"/>
    </row>
    <row r="264">
      <c r="A264" s="281" t="n"/>
    </row>
    <row r="265">
      <c r="A265" s="281" t="n"/>
    </row>
    <row r="266">
      <c r="A266" s="281" t="n"/>
    </row>
    <row r="267">
      <c r="A267" s="281" t="n"/>
    </row>
    <row r="268">
      <c r="A268" s="281" t="n"/>
    </row>
    <row r="269">
      <c r="A269" s="281" t="n"/>
    </row>
    <row r="270">
      <c r="A270" s="281" t="n"/>
    </row>
    <row r="271">
      <c r="A271" s="281" t="n"/>
    </row>
    <row r="272">
      <c r="A272" s="281" t="n"/>
    </row>
    <row r="273">
      <c r="A273" s="281" t="n"/>
    </row>
    <row r="274">
      <c r="A274" s="281" t="n"/>
    </row>
    <row r="275">
      <c r="A275" s="281" t="n"/>
    </row>
    <row r="276">
      <c r="A276" s="281" t="n"/>
    </row>
    <row r="277">
      <c r="A277" s="281" t="n"/>
    </row>
    <row r="278">
      <c r="A278" s="281" t="n"/>
    </row>
    <row r="279">
      <c r="A279" s="281" t="n"/>
    </row>
    <row r="280">
      <c r="A280" s="281" t="n"/>
    </row>
    <row r="281">
      <c r="A281" s="281" t="n"/>
    </row>
    <row r="282">
      <c r="A282" s="281" t="n"/>
    </row>
    <row r="283">
      <c r="A283" s="281" t="n"/>
    </row>
    <row r="284">
      <c r="A284" s="281" t="n"/>
    </row>
    <row r="285">
      <c r="A285" s="281" t="n"/>
    </row>
    <row r="286">
      <c r="A286" s="281" t="n"/>
    </row>
    <row r="287">
      <c r="A287" s="281" t="n"/>
    </row>
    <row r="288">
      <c r="A288" s="281" t="n"/>
    </row>
    <row r="289">
      <c r="A289" s="281" t="n"/>
    </row>
    <row r="290">
      <c r="A290" s="281" t="n"/>
    </row>
    <row r="291">
      <c r="A291" s="281" t="n"/>
    </row>
    <row r="292">
      <c r="A292" s="281" t="n"/>
    </row>
    <row r="293">
      <c r="A293" s="281" t="n"/>
    </row>
    <row r="294">
      <c r="A294" s="281" t="n"/>
    </row>
    <row r="295">
      <c r="A295" s="281" t="n"/>
    </row>
    <row r="296">
      <c r="A296" s="281" t="n"/>
    </row>
    <row r="297">
      <c r="A297" s="281" t="n"/>
    </row>
    <row r="298">
      <c r="A298" s="281" t="n"/>
    </row>
    <row r="299">
      <c r="A299" s="281" t="n"/>
    </row>
    <row r="300">
      <c r="A300" s="281" t="n"/>
    </row>
    <row r="301">
      <c r="A301" s="281" t="n"/>
    </row>
    <row r="302">
      <c r="A302" s="281" t="n"/>
    </row>
    <row r="303">
      <c r="A303" s="281" t="n"/>
    </row>
    <row r="304">
      <c r="A304" s="281" t="n"/>
    </row>
    <row r="305">
      <c r="A305" s="281" t="n"/>
    </row>
    <row r="306">
      <c r="A306" s="281" t="n"/>
    </row>
    <row r="307">
      <c r="A307" s="281" t="n"/>
    </row>
    <row r="308">
      <c r="A308" s="281" t="n"/>
    </row>
    <row r="309">
      <c r="A309" s="281" t="n"/>
    </row>
    <row r="310">
      <c r="A310" s="281" t="n"/>
    </row>
    <row r="311">
      <c r="A311" s="281" t="n"/>
    </row>
    <row r="312">
      <c r="A312" s="281" t="n"/>
    </row>
    <row r="313">
      <c r="A313" s="281" t="n"/>
    </row>
    <row r="314">
      <c r="A314" s="281" t="n"/>
    </row>
    <row r="315">
      <c r="A315" s="281" t="n"/>
    </row>
    <row r="316">
      <c r="A316" s="281" t="n"/>
    </row>
    <row r="317">
      <c r="A317" s="281" t="n"/>
    </row>
    <row r="318">
      <c r="A318" s="281" t="n"/>
    </row>
    <row r="319">
      <c r="A319" s="281" t="n"/>
    </row>
    <row r="320">
      <c r="A320" s="281" t="n"/>
    </row>
    <row r="321">
      <c r="A321" s="281" t="n"/>
    </row>
    <row r="322">
      <c r="A322" s="281" t="n"/>
    </row>
    <row r="323">
      <c r="A323" s="281" t="n"/>
    </row>
    <row r="324">
      <c r="A324" s="281" t="n"/>
    </row>
    <row r="325">
      <c r="A325" s="281" t="n"/>
    </row>
    <row r="326">
      <c r="A326" s="281" t="n"/>
    </row>
    <row r="327">
      <c r="A327" s="281" t="n"/>
    </row>
    <row r="328">
      <c r="A328" s="281" t="n"/>
    </row>
    <row r="329">
      <c r="A329" s="281" t="n"/>
    </row>
    <row r="330">
      <c r="A330" s="281" t="n"/>
    </row>
    <row r="331">
      <c r="A331" s="281" t="n"/>
    </row>
    <row r="332">
      <c r="A332" s="281" t="n"/>
    </row>
    <row r="333">
      <c r="A333" s="281" t="n"/>
    </row>
    <row r="334">
      <c r="A334" s="281" t="n"/>
    </row>
    <row r="335">
      <c r="A335" s="281" t="n"/>
    </row>
    <row r="336">
      <c r="A336" s="281" t="n"/>
    </row>
    <row r="337">
      <c r="A337" s="281" t="n"/>
    </row>
    <row r="338">
      <c r="A338" s="281" t="n"/>
    </row>
    <row r="339">
      <c r="A339" s="281" t="n"/>
    </row>
    <row r="340">
      <c r="A340" s="281" t="n"/>
    </row>
    <row r="341">
      <c r="A341" s="281" t="n"/>
    </row>
    <row r="342">
      <c r="A342" s="281" t="n"/>
    </row>
    <row r="343">
      <c r="A343" s="281" t="n"/>
    </row>
    <row r="344">
      <c r="A344" s="281" t="n"/>
    </row>
    <row r="345">
      <c r="A345" s="281" t="n"/>
    </row>
    <row r="346">
      <c r="A346" s="281" t="n"/>
    </row>
    <row r="347">
      <c r="A347" s="281" t="n"/>
    </row>
    <row r="348">
      <c r="A348" s="281" t="n"/>
    </row>
    <row r="349">
      <c r="A349" s="281" t="n"/>
    </row>
    <row r="350">
      <c r="A350" s="281" t="n"/>
    </row>
    <row r="351">
      <c r="A351" s="281" t="n"/>
    </row>
    <row r="352">
      <c r="A352" s="281" t="n"/>
    </row>
    <row r="353">
      <c r="A353" s="281" t="n"/>
    </row>
    <row r="354">
      <c r="A354" s="281" t="n"/>
    </row>
    <row r="355">
      <c r="A355" s="281" t="n"/>
    </row>
    <row r="356">
      <c r="A356" s="281" t="n"/>
    </row>
    <row r="357">
      <c r="A357" s="281" t="n"/>
    </row>
    <row r="358">
      <c r="A358" s="281" t="n"/>
    </row>
    <row r="359">
      <c r="A359" s="281" t="n"/>
    </row>
    <row r="360">
      <c r="A360" s="281" t="n"/>
    </row>
    <row r="361">
      <c r="A361" s="281" t="n"/>
    </row>
    <row r="362">
      <c r="A362" s="281" t="n"/>
    </row>
    <row r="363">
      <c r="A363" s="281" t="n"/>
    </row>
    <row r="364">
      <c r="A364" s="281" t="n"/>
    </row>
    <row r="365">
      <c r="A365" s="281" t="n"/>
    </row>
    <row r="366">
      <c r="A366" s="281" t="n"/>
    </row>
    <row r="367">
      <c r="A367" s="281" t="n"/>
    </row>
    <row r="368">
      <c r="A368" s="281" t="n"/>
    </row>
    <row r="369">
      <c r="A369" s="281" t="n"/>
    </row>
    <row r="370">
      <c r="A370" s="281" t="n"/>
    </row>
  </sheetData>
  <mergeCells count="1">
    <mergeCell ref="A1:K2"/>
  </mergeCells>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4" customWidth="1" style="64" min="1" max="1"/>
    <col width="16" customWidth="1" style="64" min="2" max="2"/>
    <col width="18" customWidth="1" style="64" min="3" max="3"/>
    <col width="18" customWidth="1" style="64" min="4" max="4"/>
    <col width="28" customWidth="1" style="64" min="5" max="5"/>
    <col width="22" customWidth="1" style="64" min="6" max="6"/>
    <col width="22" customWidth="1" style="64" min="7" max="7"/>
    <col width="34" customWidth="1" style="64" min="8" max="8"/>
  </cols>
  <sheetData>
    <row r="1">
      <c r="A1" s="296" t="inlineStr">
        <is>
          <t>V8 Live Snapshot Coverage — 02 August 2026</t>
        </is>
      </c>
      <c r="B1" s="1" t="n"/>
      <c r="C1" s="1" t="n"/>
      <c r="D1" s="1" t="n"/>
      <c r="E1" s="1" t="n"/>
      <c r="F1" s="1" t="n"/>
      <c r="G1" s="1" t="n"/>
      <c r="H1" s="1" t="n"/>
    </row>
    <row r="2">
      <c r="A2" s="1" t="n"/>
      <c r="B2" s="1" t="n"/>
      <c r="C2" s="1" t="n"/>
      <c r="D2" s="1" t="n"/>
      <c r="E2" s="1" t="n"/>
      <c r="F2" s="1" t="n"/>
      <c r="G2" s="1" t="n"/>
      <c r="H2" s="1" t="n"/>
    </row>
    <row r="4">
      <c r="A4" s="162" t="inlineStr">
        <is>
          <t>Agency</t>
        </is>
      </c>
      <c r="B4" s="162" t="inlineStr">
        <is>
          <t>Records Populated</t>
        </is>
      </c>
      <c r="C4" s="162" t="inlineStr">
        <is>
          <t>Official Page Reached</t>
        </is>
      </c>
      <c r="D4" s="162" t="inlineStr">
        <is>
          <t>Deadline Available</t>
        </is>
      </c>
      <c r="E4" s="162" t="inlineStr">
        <is>
          <t>Technical Fields Available</t>
        </is>
      </c>
      <c r="F4" s="162" t="inlineStr">
        <is>
          <t>Portal Restriction</t>
        </is>
      </c>
      <c r="G4" s="162" t="inlineStr">
        <is>
          <t>Current Result</t>
        </is>
      </c>
      <c r="H4" s="162" t="inlineStr">
        <is>
          <t>Next Action</t>
        </is>
      </c>
    </row>
    <row r="5">
      <c r="A5" t="inlineStr">
        <is>
          <t>SECI</t>
        </is>
      </c>
      <c r="B5" t="n">
        <v>7</v>
      </c>
      <c r="C5" t="inlineStr">
        <is>
          <t>Yes</t>
        </is>
      </c>
      <c r="D5" t="inlineStr">
        <is>
          <t>Yes</t>
        </is>
      </c>
      <c r="E5" t="inlineStr">
        <is>
          <t>Partial / detail pages</t>
        </is>
      </c>
      <c r="F5" t="inlineStr">
        <is>
          <t>No</t>
        </is>
      </c>
      <c r="G5" t="inlineStr">
        <is>
          <t>Populated</t>
        </is>
      </c>
      <c r="H5" t="inlineStr">
        <is>
          <t>Parse all RfS PDFs</t>
        </is>
      </c>
    </row>
    <row r="6">
      <c r="A6" t="inlineStr">
        <is>
          <t>NTPC REL</t>
        </is>
      </c>
      <c r="B6" t="n">
        <v>5</v>
      </c>
      <c r="C6" t="inlineStr">
        <is>
          <t>Yes</t>
        </is>
      </c>
      <c r="D6" t="inlineStr">
        <is>
          <t>Yes</t>
        </is>
      </c>
      <c r="E6" t="inlineStr">
        <is>
          <t>Capacity, storage and EMD</t>
        </is>
      </c>
      <c r="F6" t="inlineStr">
        <is>
          <t>No</t>
        </is>
      </c>
      <c r="G6" t="inlineStr">
        <is>
          <t>Populated</t>
        </is>
      </c>
      <c r="H6" t="inlineStr">
        <is>
          <t>Expand active NIT search</t>
        </is>
      </c>
    </row>
    <row r="7">
      <c r="A7" t="inlineStr">
        <is>
          <t>NHPC</t>
        </is>
      </c>
      <c r="B7" t="n">
        <v>5</v>
      </c>
      <c r="C7" t="inlineStr">
        <is>
          <t>Yes</t>
        </is>
      </c>
      <c r="D7" t="inlineStr">
        <is>
          <t>Partial</t>
        </is>
      </c>
      <c r="E7" t="inlineStr">
        <is>
          <t>Detailed capacity/storage/dispatch</t>
        </is>
      </c>
      <c r="F7" t="inlineStr">
        <is>
          <t>Some CPPP documents expire</t>
        </is>
      </c>
      <c r="G7" t="inlineStr">
        <is>
          <t>Populated</t>
        </is>
      </c>
      <c r="H7" t="inlineStr">
        <is>
          <t>Confirm latest deadlines for corrigendum-only records</t>
        </is>
      </c>
    </row>
    <row r="8">
      <c r="A8" t="inlineStr">
        <is>
          <t>SJVN</t>
        </is>
      </c>
      <c r="B8" t="n">
        <v>2</v>
      </c>
      <c r="C8" t="inlineStr">
        <is>
          <t>Yes</t>
        </is>
      </c>
      <c r="D8" t="inlineStr">
        <is>
          <t>Yes</t>
        </is>
      </c>
      <c r="E8" t="inlineStr">
        <is>
          <t>Title-level, some capacity</t>
        </is>
      </c>
      <c r="F8" t="inlineStr">
        <is>
          <t>No</t>
        </is>
      </c>
      <c r="G8" t="inlineStr">
        <is>
          <t>Populated</t>
        </is>
      </c>
      <c r="H8" t="inlineStr">
        <is>
          <t>Open individual tender details</t>
        </is>
      </c>
    </row>
    <row r="9">
      <c r="A9" t="inlineStr">
        <is>
          <t>MPUVNL</t>
        </is>
      </c>
      <c r="B9" t="n">
        <v>2</v>
      </c>
      <c r="C9" t="inlineStr">
        <is>
          <t>Yes</t>
        </is>
      </c>
      <c r="D9" t="inlineStr">
        <is>
          <t>Yes on one record</t>
        </is>
      </c>
      <c r="E9" t="inlineStr">
        <is>
          <t>EMD and dates available</t>
        </is>
      </c>
      <c r="F9" t="inlineStr">
        <is>
          <t>Document download may expire</t>
        </is>
      </c>
      <c r="G9" t="inlineStr">
        <is>
          <t>Populated</t>
        </is>
      </c>
      <c r="H9" t="inlineStr">
        <is>
          <t>Search active tender list for newer RE records</t>
        </is>
      </c>
    </row>
    <row r="10">
      <c r="A10" t="inlineStr">
        <is>
          <t>MSEDCL</t>
        </is>
      </c>
      <c r="B10" t="n">
        <v>1</v>
      </c>
      <c r="C10" t="inlineStr">
        <is>
          <t>Yes</t>
        </is>
      </c>
      <c r="D10" t="inlineStr">
        <is>
          <t>Not on listing</t>
        </is>
      </c>
      <c r="E10" t="inlineStr">
        <is>
          <t>Title-level</t>
        </is>
      </c>
      <c r="F10" t="inlineStr">
        <is>
          <t>No</t>
        </is>
      </c>
      <c r="G10" t="inlineStr">
        <is>
          <t>Populated as corrigendum</t>
        </is>
      </c>
      <c r="H10" t="inlineStr">
        <is>
          <t>Open RfS/corrigendum documents</t>
        </is>
      </c>
    </row>
    <row r="11">
      <c r="A11" t="inlineStr">
        <is>
          <t>GRIDCO</t>
        </is>
      </c>
      <c r="B11" t="n">
        <v>2</v>
      </c>
      <c r="C11" t="inlineStr">
        <is>
          <t>Yes</t>
        </is>
      </c>
      <c r="D11" t="inlineStr">
        <is>
          <t>Partial</t>
        </is>
      </c>
      <c r="E11" t="inlineStr">
        <is>
          <t>Capacity and storage on selected records</t>
        </is>
      </c>
      <c r="F11" t="inlineStr">
        <is>
          <t>No</t>
        </is>
      </c>
      <c r="G11" t="inlineStr">
        <is>
          <t>Populated</t>
        </is>
      </c>
      <c r="H11" t="inlineStr">
        <is>
          <t>Separate current and archive listings</t>
        </is>
      </c>
    </row>
    <row r="12">
      <c r="A12" t="inlineStr">
        <is>
          <t>PSPCL</t>
        </is>
      </c>
      <c r="B12" t="n">
        <v>1</v>
      </c>
      <c r="C12" t="inlineStr">
        <is>
          <t>Yes</t>
        </is>
      </c>
      <c r="D12" t="inlineStr">
        <is>
          <t>Not visible</t>
        </is>
      </c>
      <c r="E12" t="inlineStr">
        <is>
          <t>Title-level</t>
        </is>
      </c>
      <c r="F12" t="inlineStr">
        <is>
          <t>No</t>
        </is>
      </c>
      <c r="G12" t="inlineStr">
        <is>
          <t>Populated as EOI/corrigendum</t>
        </is>
      </c>
      <c r="H12" t="inlineStr">
        <is>
          <t>Open EOI PDF</t>
        </is>
      </c>
    </row>
    <row r="13">
      <c r="A13" t="inlineStr">
        <is>
          <t>Jodhpur VVNL</t>
        </is>
      </c>
      <c r="B13" t="n">
        <v>1</v>
      </c>
      <c r="C13" t="inlineStr">
        <is>
          <t>Yes</t>
        </is>
      </c>
      <c r="D13" t="inlineStr">
        <is>
          <t>Yes</t>
        </is>
      </c>
      <c r="E13" t="inlineStr">
        <is>
          <t>Title and dates</t>
        </is>
      </c>
      <c r="F13" t="inlineStr">
        <is>
          <t>Historical record</t>
        </is>
      </c>
      <c r="G13" t="inlineStr">
        <is>
          <t>Populated</t>
        </is>
      </c>
      <c r="H13" t="inlineStr">
        <is>
          <t>Search current PM-KUSUM tenders</t>
        </is>
      </c>
    </row>
    <row r="14">
      <c r="A14" t="inlineStr">
        <is>
          <t>Karnataka agencies</t>
        </is>
      </c>
      <c r="B14" t="n">
        <v>0</v>
      </c>
      <c r="C14" t="inlineStr">
        <is>
          <t>Portal reached</t>
        </is>
      </c>
      <c r="D14" t="inlineStr">
        <is>
          <t>Portal search required</t>
        </is>
      </c>
      <c r="E14" t="inlineStr">
        <is>
          <t>No extracted record</t>
        </is>
      </c>
      <c r="F14" t="inlineStr">
        <is>
          <t>KPPP organisation filters</t>
        </is>
      </c>
      <c r="G14" t="inlineStr">
        <is>
          <t>Manual verification</t>
        </is>
      </c>
      <c r="H14" t="inlineStr">
        <is>
          <t>Search KPPP by agency</t>
        </is>
      </c>
    </row>
    <row r="15">
      <c r="A15" t="inlineStr">
        <is>
          <t>AP / Telangana / Tamil Nadu</t>
        </is>
      </c>
      <c r="B15" t="n">
        <v>0</v>
      </c>
      <c r="C15" t="inlineStr">
        <is>
          <t>Partial</t>
        </is>
      </c>
      <c r="D15" t="inlineStr">
        <is>
          <t>No</t>
        </is>
      </c>
      <c r="E15" t="inlineStr">
        <is>
          <t>No</t>
        </is>
      </c>
      <c r="F15" t="inlineStr">
        <is>
          <t>Multiple portals</t>
        </is>
      </c>
      <c r="G15" t="inlineStr">
        <is>
          <t>Manual verification</t>
        </is>
      </c>
      <c r="H15" t="inlineStr">
        <is>
          <t>Portal-by-portal inspection</t>
        </is>
      </c>
    </row>
    <row r="16">
      <c r="A16" t="inlineStr">
        <is>
          <t>UPNEDA / BSPHCL / HAREDA</t>
        </is>
      </c>
      <c r="B16" t="n">
        <v>0</v>
      </c>
      <c r="C16" t="inlineStr">
        <is>
          <t>Partial</t>
        </is>
      </c>
      <c r="D16" t="inlineStr">
        <is>
          <t>No</t>
        </is>
      </c>
      <c r="E16" t="inlineStr">
        <is>
          <t>No</t>
        </is>
      </c>
      <c r="F16" t="inlineStr">
        <is>
          <t>Indexing / portal limits</t>
        </is>
      </c>
      <c r="G16" t="inlineStr">
        <is>
          <t>Manual verification</t>
        </is>
      </c>
      <c r="H16" t="inlineStr">
        <is>
          <t>Portal-by-portal inspection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style="64" min="1" max="1"/>
    <col width="18" customWidth="1" style="64" min="2" max="2"/>
    <col width="24" customWidth="1" style="64" min="3" max="3"/>
    <col width="30" customWidth="1" style="64" min="4" max="4"/>
    <col width="34" customWidth="1" style="64" min="5" max="5"/>
    <col width="36" customWidth="1" style="64" min="6" max="6"/>
    <col width="14" customWidth="1" style="64" min="7" max="7"/>
    <col width="14" customWidth="1" style="64" min="8" max="8"/>
    <col width="16" customWidth="1" style="64" min="9" max="9"/>
    <col width="30" customWidth="1" style="64" min="10" max="10"/>
  </cols>
  <sheetData>
    <row r="1">
      <c r="A1" s="296" t="inlineStr">
        <is>
          <t>Agencies Requiring Manual or Portal Verification</t>
        </is>
      </c>
      <c r="B1" s="1" t="n"/>
      <c r="C1" s="1" t="n"/>
      <c r="D1" s="1" t="n"/>
      <c r="E1" s="1" t="n"/>
      <c r="F1" s="1" t="n"/>
      <c r="G1" s="1" t="n"/>
      <c r="H1" s="1" t="n"/>
      <c r="I1" s="1" t="n"/>
      <c r="J1" s="1" t="n"/>
    </row>
    <row r="2">
      <c r="A2" s="1" t="n"/>
      <c r="B2" s="1" t="n"/>
      <c r="C2" s="1" t="n"/>
      <c r="D2" s="1" t="n"/>
      <c r="E2" s="1" t="n"/>
      <c r="F2" s="1" t="n"/>
      <c r="G2" s="1" t="n"/>
      <c r="H2" s="1" t="n"/>
      <c r="I2" s="1" t="n"/>
      <c r="J2" s="1" t="n"/>
    </row>
    <row r="4">
      <c r="A4" s="162" t="inlineStr">
        <is>
          <t>Priority</t>
        </is>
      </c>
      <c r="B4" s="162" t="inlineStr">
        <is>
          <t>Category</t>
        </is>
      </c>
      <c r="C4" s="162" t="inlineStr">
        <is>
          <t>Agency</t>
        </is>
      </c>
      <c r="D4" s="162" t="inlineStr">
        <is>
          <t>Likely Portal</t>
        </is>
      </c>
      <c r="E4" s="162" t="inlineStr">
        <is>
          <t>Reason Not Populated</t>
        </is>
      </c>
      <c r="F4" s="162" t="inlineStr">
        <is>
          <t>Required Action</t>
        </is>
      </c>
      <c r="G4" s="162" t="inlineStr">
        <is>
          <t>Last Attempt</t>
        </is>
      </c>
      <c r="H4" s="162" t="inlineStr">
        <is>
          <t>Status</t>
        </is>
      </c>
      <c r="I4" s="162" t="inlineStr">
        <is>
          <t>Owner</t>
        </is>
      </c>
      <c r="J4" s="162" t="inlineStr">
        <is>
          <t>Notes</t>
        </is>
      </c>
    </row>
    <row r="5">
      <c r="A5" t="inlineStr">
        <is>
          <t>High</t>
        </is>
      </c>
      <c r="B5" t="inlineStr">
        <is>
          <t>Central</t>
        </is>
      </c>
      <c r="C5" t="inlineStr">
        <is>
          <t>NHPC</t>
        </is>
      </c>
      <c r="D5" t="inlineStr">
        <is>
          <t>NHPC official tenders / CPPP</t>
        </is>
      </c>
      <c r="E5" t="inlineStr">
        <is>
          <t>No current RE-specific rows reliably indexed</t>
        </is>
      </c>
      <c r="F5" t="inlineStr">
        <is>
          <t>Inspect official tender listings and PDFs</t>
        </is>
      </c>
      <c r="G5" s="281" t="n">
        <v>46236</v>
      </c>
      <c r="H5" t="inlineStr">
        <is>
          <t>Pending</t>
        </is>
      </c>
    </row>
    <row r="6">
      <c r="A6" t="inlineStr">
        <is>
          <t>High</t>
        </is>
      </c>
      <c r="B6" t="inlineStr">
        <is>
          <t>Rajasthan</t>
        </is>
      </c>
      <c r="C6" t="inlineStr">
        <is>
          <t>RUVNL / RVPN</t>
        </is>
      </c>
      <c r="D6" t="inlineStr">
        <is>
          <t>Rajasthan eProcurement</t>
        </is>
      </c>
      <c r="E6" t="inlineStr">
        <is>
          <t>Tender data not reliably indexed</t>
        </is>
      </c>
      <c r="F6" t="inlineStr">
        <is>
          <t>Search state portal by organisation and RE keywords</t>
        </is>
      </c>
      <c r="G6" s="281" t="n">
        <v>46236</v>
      </c>
      <c r="H6" t="inlineStr">
        <is>
          <t>Pending</t>
        </is>
      </c>
    </row>
    <row r="7">
      <c r="A7" t="inlineStr">
        <is>
          <t>High</t>
        </is>
      </c>
      <c r="B7" t="inlineStr">
        <is>
          <t>Karnataka</t>
        </is>
      </c>
      <c r="C7" t="inlineStr">
        <is>
          <t>KREDL / KPTCL / KPCL</t>
        </is>
      </c>
      <c r="D7" t="inlineStr">
        <is>
          <t>Karnataka Public Procurement Portal</t>
        </is>
      </c>
      <c r="E7" t="inlineStr">
        <is>
          <t>Tender pages may require portal navigation</t>
        </is>
      </c>
      <c r="F7" t="inlineStr">
        <is>
          <t>Search solar, wind, BESS and hybrid keywords</t>
        </is>
      </c>
      <c r="G7" s="281" t="n">
        <v>46236</v>
      </c>
      <c r="H7" t="inlineStr">
        <is>
          <t>Pending</t>
        </is>
      </c>
    </row>
    <row r="8">
      <c r="A8" t="inlineStr">
        <is>
          <t>High</t>
        </is>
      </c>
      <c r="B8" t="inlineStr">
        <is>
          <t>Madhya Pradesh</t>
        </is>
      </c>
      <c r="C8" t="inlineStr">
        <is>
          <t>MPUVNL / MPPMCL</t>
        </is>
      </c>
      <c r="D8" t="inlineStr">
        <is>
          <t>MP eProcurement</t>
        </is>
      </c>
      <c r="E8" t="inlineStr">
        <is>
          <t>Portal-specific search required</t>
        </is>
      </c>
      <c r="F8" t="inlineStr">
        <is>
          <t>Search by agency and procurement category</t>
        </is>
      </c>
      <c r="G8" s="281" t="n">
        <v>46236</v>
      </c>
      <c r="H8" t="inlineStr">
        <is>
          <t>Pending</t>
        </is>
      </c>
    </row>
    <row r="9">
      <c r="A9" t="inlineStr">
        <is>
          <t>Medium</t>
        </is>
      </c>
      <c r="B9" t="inlineStr">
        <is>
          <t>Andhra Pradesh</t>
        </is>
      </c>
      <c r="C9" t="inlineStr">
        <is>
          <t>APSPDCL / APGENCO / NREDCAP</t>
        </is>
      </c>
      <c r="D9" t="inlineStr">
        <is>
          <t>AP eProcurement</t>
        </is>
      </c>
      <c r="E9" t="inlineStr">
        <is>
          <t>Multiple agency portals</t>
        </is>
      </c>
      <c r="F9" t="inlineStr">
        <is>
          <t>Search tender and procurement pages</t>
        </is>
      </c>
      <c r="G9" s="281" t="n">
        <v>46236</v>
      </c>
      <c r="H9" t="inlineStr">
        <is>
          <t>Pending</t>
        </is>
      </c>
    </row>
    <row r="10">
      <c r="A10" t="inlineStr">
        <is>
          <t>Medium</t>
        </is>
      </c>
      <c r="B10" t="inlineStr">
        <is>
          <t>Telangana</t>
        </is>
      </c>
      <c r="C10" t="inlineStr">
        <is>
          <t>TGNPDCL / TSSPDCL</t>
        </is>
      </c>
      <c r="D10" t="inlineStr">
        <is>
          <t>Telangana eProcurement</t>
        </is>
      </c>
      <c r="E10" t="inlineStr">
        <is>
          <t>Multiple agency portals</t>
        </is>
      </c>
      <c r="F10" t="inlineStr">
        <is>
          <t>Search RE procurement notices</t>
        </is>
      </c>
      <c r="G10" s="281" t="n">
        <v>46236</v>
      </c>
      <c r="H10" t="inlineStr">
        <is>
          <t>Pending</t>
        </is>
      </c>
    </row>
    <row r="11">
      <c r="A11" t="inlineStr">
        <is>
          <t>Medium</t>
        </is>
      </c>
      <c r="B11" t="inlineStr">
        <is>
          <t>Tamil Nadu</t>
        </is>
      </c>
      <c r="C11" t="inlineStr">
        <is>
          <t>TNGECL / TANTRANSCO</t>
        </is>
      </c>
      <c r="D11" t="inlineStr">
        <is>
          <t>Tamil Nadu tenders portal</t>
        </is>
      </c>
      <c r="E11" t="inlineStr">
        <is>
          <t>Portal and organisation filters required</t>
        </is>
      </c>
      <c r="F11" t="inlineStr">
        <is>
          <t>Search BESS, solar, wind and RTC</t>
        </is>
      </c>
      <c r="G11" s="281" t="n">
        <v>46236</v>
      </c>
      <c r="H11" t="inlineStr">
        <is>
          <t>Pending</t>
        </is>
      </c>
    </row>
    <row r="12">
      <c r="A12" t="inlineStr">
        <is>
          <t>Medium</t>
        </is>
      </c>
      <c r="B12" t="inlineStr">
        <is>
          <t>Haryana</t>
        </is>
      </c>
      <c r="C12" t="inlineStr">
        <is>
          <t>HAREDA</t>
        </is>
      </c>
      <c r="D12" t="inlineStr">
        <is>
          <t>Haryana eProcurement</t>
        </is>
      </c>
      <c r="E12" t="inlineStr">
        <is>
          <t>No current indexed result located</t>
        </is>
      </c>
      <c r="F12" t="inlineStr">
        <is>
          <t>Search official portal and notices</t>
        </is>
      </c>
      <c r="G12" s="281" t="n">
        <v>46236</v>
      </c>
      <c r="H12" t="inlineStr">
        <is>
          <t>Pending</t>
        </is>
      </c>
    </row>
    <row r="13">
      <c r="A13" t="inlineStr">
        <is>
          <t>Medium</t>
        </is>
      </c>
      <c r="B13" t="inlineStr">
        <is>
          <t>Uttar Pradesh</t>
        </is>
      </c>
      <c r="C13" t="inlineStr">
        <is>
          <t>UPNEDA</t>
        </is>
      </c>
      <c r="D13" t="inlineStr">
        <is>
          <t>UP eTender</t>
        </is>
      </c>
      <c r="E13" t="inlineStr">
        <is>
          <t>No current indexed result located</t>
        </is>
      </c>
      <c r="F13" t="inlineStr">
        <is>
          <t>Search official portal and notices</t>
        </is>
      </c>
      <c r="G13" s="281" t="n">
        <v>46236</v>
      </c>
      <c r="H13" t="inlineStr">
        <is>
          <t>Pending</t>
        </is>
      </c>
    </row>
    <row r="14">
      <c r="A14" t="inlineStr">
        <is>
          <t>Medium</t>
        </is>
      </c>
      <c r="B14" t="inlineStr">
        <is>
          <t>Bihar</t>
        </is>
      </c>
      <c r="C14" t="inlineStr">
        <is>
          <t>BSPHCL</t>
        </is>
      </c>
      <c r="D14" t="inlineStr">
        <is>
          <t>Bihar eProcurement</t>
        </is>
      </c>
      <c r="E14" t="inlineStr">
        <is>
          <t>No current indexed result located</t>
        </is>
      </c>
      <c r="F14" t="inlineStr">
        <is>
          <t>Search official portal and notices</t>
        </is>
      </c>
      <c r="G14" s="281" t="n">
        <v>46236</v>
      </c>
      <c r="H14" t="inlineStr">
        <is>
          <t>Pending</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AW9"/>
  <sheetViews>
    <sheetView workbookViewId="0">
      <selection activeCell="A1" sqref="A1"/>
    </sheetView>
  </sheetViews>
  <sheetFormatPr baseColWidth="8" defaultRowHeight="15"/>
  <cols>
    <col width="14" customWidth="1" style="64" min="1" max="1"/>
    <col width="14" customWidth="1" style="64" min="2" max="2"/>
    <col width="14" customWidth="1" style="64" min="3" max="3"/>
    <col width="14" customWidth="1" style="64" min="4" max="4"/>
    <col width="14" customWidth="1" style="64" min="5" max="5"/>
    <col width="14" customWidth="1" style="64" min="6" max="6"/>
    <col width="14" customWidth="1" style="64" min="7" max="7"/>
    <col width="14" customWidth="1" style="64" min="8" max="8"/>
    <col width="14" customWidth="1" style="64" min="9" max="9"/>
    <col width="28" customWidth="1" style="64" min="10" max="10"/>
    <col width="14" customWidth="1" style="64" min="11" max="11"/>
    <col width="14" customWidth="1" style="64" min="12" max="12"/>
    <col width="28" customWidth="1" style="64" min="13" max="13"/>
    <col width="14" customWidth="1" style="64" min="14" max="14"/>
    <col width="14" customWidth="1" style="64" min="15" max="15"/>
    <col width="14" customWidth="1" style="64" min="16" max="16"/>
    <col width="14" customWidth="1" style="64" min="17" max="17"/>
    <col width="14" customWidth="1" style="64" min="18" max="18"/>
    <col width="14" customWidth="1" style="64" min="19" max="19"/>
    <col width="34" customWidth="1" style="64" min="20" max="20"/>
    <col width="34" customWidth="1" style="64" min="21" max="21"/>
    <col width="34" customWidth="1" style="64" min="22" max="22"/>
    <col width="14" customWidth="1" style="64" min="23" max="23"/>
    <col width="14" customWidth="1" style="64" min="24" max="24"/>
    <col width="14" customWidth="1" style="64" min="25" max="25"/>
    <col width="14" customWidth="1" style="64" min="26" max="26"/>
    <col width="14" customWidth="1" style="64" min="27" max="27"/>
    <col width="14" customWidth="1" style="64" min="28" max="28"/>
    <col width="14" customWidth="1" style="64" min="29" max="29"/>
    <col width="14" customWidth="1" style="64" min="30" max="30"/>
    <col width="14" customWidth="1" style="64" min="31" max="31"/>
    <col width="22" customWidth="1" style="64" min="32" max="32"/>
  </cols>
  <sheetData>
    <row r="1">
      <c r="A1" s="297" t="inlineStr">
        <is>
          <t>Current Utility-Scale Power Procurement Tenders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row>
    <row r="3">
      <c r="A3" s="298" t="inlineStr">
        <is>
          <t>Supply, installation, EPC, turnkey and O&amp;M-only tenders are excluded. Detailed supply and penalty clauses are maintained on each Master row.</t>
        </is>
      </c>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row>
    <row r="5">
      <c r="A5" s="213" t="inlineStr">
        <is>
          <t>Tender ID</t>
        </is>
      </c>
      <c r="B5" s="213" t="inlineStr">
        <is>
          <t>Category</t>
        </is>
      </c>
      <c r="C5" s="213" t="inlineStr">
        <is>
          <t>Agency</t>
        </is>
      </c>
      <c r="D5" s="213" t="inlineStr">
        <is>
          <t>State</t>
        </is>
      </c>
      <c r="E5" s="213" t="inlineStr">
        <is>
          <t>Tender Number</t>
        </is>
      </c>
      <c r="F5" s="213" t="inlineStr">
        <is>
          <t>Technology</t>
        </is>
      </c>
      <c r="G5" s="213" t="inlineStr">
        <is>
          <t>Capacity MW</t>
        </is>
      </c>
      <c r="H5" s="213" t="inlineStr">
        <is>
          <t>Storage Required</t>
        </is>
      </c>
      <c r="I5" s="213" t="inlineStr">
        <is>
          <t>Storage Hours</t>
        </is>
      </c>
      <c r="J5" s="213" t="inlineStr">
        <is>
          <t>Dispatch Condition</t>
        </is>
      </c>
      <c r="K5" s="213" t="inlineStr">
        <is>
          <t>Minimum PLF %</t>
        </is>
      </c>
      <c r="L5" s="213" t="inlineStr">
        <is>
          <t>EMD</t>
        </is>
      </c>
      <c r="M5" s="213" t="inlineStr">
        <is>
          <t>BG / PBG Conditions</t>
        </is>
      </c>
      <c r="N5" s="213" t="inlineStr">
        <is>
          <t>Bid Submission Date</t>
        </is>
      </c>
      <c r="O5" s="213" t="inlineStr">
        <is>
          <t>Technical Opening</t>
        </is>
      </c>
      <c r="P5" s="213" t="inlineStr">
        <is>
          <t>Financial Opening</t>
        </is>
      </c>
      <c r="Q5" s="213" t="inlineStr">
        <is>
          <t>Status</t>
        </is>
      </c>
      <c r="R5" s="213" t="inlineStr">
        <is>
          <t>Last Updated</t>
        </is>
      </c>
      <c r="S5" s="213" t="inlineStr">
        <is>
          <t>Corrigendum Count</t>
        </is>
      </c>
      <c r="T5" s="213" t="inlineStr">
        <is>
          <t>Tender URL</t>
        </is>
      </c>
      <c r="U5" s="213" t="inlineStr">
        <is>
          <t>Document URL</t>
        </is>
      </c>
      <c r="V5" s="213" t="inlineStr">
        <is>
          <t>Remarks</t>
        </is>
      </c>
      <c r="W5" s="213" t="inlineStr">
        <is>
          <t>Days to Deadline</t>
        </is>
      </c>
      <c r="X5" s="213" t="inlineStr">
        <is>
          <t>Deadline Alert</t>
        </is>
      </c>
      <c r="Y5" s="213" t="inlineStr">
        <is>
          <t>Duplicate Key</t>
        </is>
      </c>
      <c r="Z5" s="213" t="inlineStr">
        <is>
          <t>Duplicate Flag</t>
        </is>
      </c>
      <c r="AA5" s="213" t="inlineStr">
        <is>
          <t>Change Fingerprint</t>
        </is>
      </c>
      <c r="AB5" s="213" t="inlineStr">
        <is>
          <t>Verified On</t>
        </is>
      </c>
      <c r="AC5" s="213" t="inlineStr">
        <is>
          <t>Source Quality</t>
        </is>
      </c>
      <c r="AD5" s="213" t="inlineStr">
        <is>
          <t>Data Completeness</t>
        </is>
      </c>
      <c r="AE5" s="213" t="inlineStr">
        <is>
          <t>Evidence Score</t>
        </is>
      </c>
      <c r="AF5" s="213" t="inlineStr">
        <is>
          <t>Opportunity Class</t>
        </is>
      </c>
      <c r="AG5" s="213" t="inlineStr">
        <is>
          <t>Tender Notification Date</t>
        </is>
      </c>
      <c r="AH5" s="213" t="inlineStr">
        <is>
          <t>Corrigendum Date(s)</t>
        </is>
      </c>
      <c r="AI5" s="213" t="inlineStr">
        <is>
          <t>Latest Corrigendum Date</t>
        </is>
      </c>
      <c r="AJ5" s="213" t="inlineStr">
        <is>
          <t>Corrigendum Details</t>
        </is>
      </c>
      <c r="AK5" s="213" t="inlineStr">
        <is>
          <t>Procurement Model</t>
        </is>
      </c>
      <c r="AL5" s="213" t="inlineStr">
        <is>
          <t>Supply Window / Dispatch Selection</t>
        </is>
      </c>
      <c r="AM5" s="213" t="inlineStr">
        <is>
          <t>Daily Supply Obligation</t>
        </is>
      </c>
      <c r="AN5" s="213" t="inlineStr">
        <is>
          <t>Monthly Minimum / Reconciliation</t>
        </is>
      </c>
      <c r="AO5" s="213" t="inlineStr">
        <is>
          <t>Annual PLF / CUF / Energy Requirement</t>
        </is>
      </c>
      <c r="AP5" s="213" t="inlineStr">
        <is>
          <t>Allowed Shortfall / Availability Tolerance</t>
        </is>
      </c>
      <c r="AQ5" s="213" t="inlineStr">
        <is>
          <t>Under-Supply Penalty</t>
        </is>
      </c>
      <c r="AR5" s="213" t="inlineStr">
        <is>
          <t>External / Exchange Energy Allowed</t>
        </is>
      </c>
      <c r="AS5" s="213" t="inlineStr">
        <is>
          <t>Maximum External Energy</t>
        </is>
      </c>
      <c r="AT5" s="213" t="inlineStr">
        <is>
          <t>Charging / External Energy Conditions</t>
        </is>
      </c>
      <c r="AU5" s="213" t="inlineStr">
        <is>
          <t>Third-Party / Merchant Use</t>
        </is>
      </c>
      <c r="AV5" s="213" t="inlineStr">
        <is>
          <t>Detailed Source Document</t>
        </is>
      </c>
      <c r="AW5" s="213" t="inlineStr">
        <is>
          <t>Technical Review Status</t>
        </is>
      </c>
    </row>
    <row r="6">
      <c r="A6">
        <f t="array" ref="A6:AW9">_xlfn._xlws.FILTER('Master Tenders'!A2:AW5,'Master Tenders'!A2:A5&lt;&gt;"","No eligible procurement tenders")</f>
        <v/>
      </c>
      <c r="B6" t="inlineStr">
        <is>
          <t>Central</t>
        </is>
      </c>
      <c r="C6" t="inlineStr">
        <is>
          <t>SECI</t>
        </is>
      </c>
      <c r="D6" t="inlineStr">
        <is>
          <t>All India</t>
        </is>
      </c>
      <c r="E6" t="inlineStr">
        <is>
          <t>SECI/C&amp;P/IPP/13/0002/26-27</t>
        </is>
      </c>
      <c r="F6" t="inlineStr">
        <is>
          <t>FDRE</t>
        </is>
      </c>
      <c r="G6" t="n">
        <v>500</v>
      </c>
      <c r="H6" t="inlineStr">
        <is>
          <t>Yes</t>
        </is>
      </c>
      <c r="I6" t="n">
        <v>2</v>
      </c>
      <c r="J6" t="inlineStr">
        <is>
          <t>Assured peak supply under CfD</t>
        </is>
      </c>
      <c r="K6" t="n">
        <v>0</v>
      </c>
      <c r="L6" t="inlineStr">
        <is>
          <t>As per RfS</t>
        </is>
      </c>
      <c r="M6" t="inlineStr">
        <is>
          <t>As per RfS</t>
        </is>
      </c>
      <c r="N6" t="n">
        <v>46237.75</v>
      </c>
      <c r="O6" t="n">
        <v>0</v>
      </c>
      <c r="P6" t="n">
        <v>46240.41666666666</v>
      </c>
      <c r="Q6" t="inlineStr">
        <is>
          <t>Open</t>
        </is>
      </c>
      <c r="R6" t="n">
        <v>46236</v>
      </c>
      <c r="S6" t="n">
        <v>0</v>
      </c>
      <c r="T6" t="inlineStr">
        <is>
          <t>https://www.seci.co.in/tenders/</t>
        </is>
      </c>
      <c r="U6" t="n">
        <v>0</v>
      </c>
      <c r="V6" t="inlineStr">
        <is>
          <t>1000 MWh = 500 MW x 2 hours</t>
        </is>
      </c>
      <c r="W6" t="n">
        <v>1.75</v>
      </c>
      <c r="X6" t="inlineStr">
        <is>
          <t>Urgent</t>
        </is>
      </c>
      <c r="Y6" t="inlineStr">
        <is>
          <t>SECI|SECI/C&amp;P/IPP/13/0002/26-27</t>
        </is>
      </c>
      <c r="Z6" t="inlineStr">
        <is>
          <t>Unique</t>
        </is>
      </c>
      <c r="AA6" t="inlineStr">
        <is>
          <t>SECI|SECI/C&amp;P/IPP/13/0002/26-27|20260803|Open|0|20260717</t>
        </is>
      </c>
      <c r="AB6" t="n">
        <v>46236</v>
      </c>
      <c r="AC6" t="inlineStr">
        <is>
          <t>Official agency page</t>
        </is>
      </c>
      <c r="AD6" t="inlineStr">
        <is>
          <t>Core fields</t>
        </is>
      </c>
      <c r="AE6" t="n">
        <v>5</v>
      </c>
      <c r="AF6" t="inlineStr">
        <is>
          <t>Current Opportunity</t>
        </is>
      </c>
      <c r="AG6" t="n">
        <v>46131</v>
      </c>
      <c r="AH6" t="inlineStr">
        <is>
          <t>2026-07-17</t>
        </is>
      </c>
      <c r="AI6" t="n">
        <v>46220</v>
      </c>
      <c r="AJ6" t="inlineStr">
        <is>
          <t>Amendment-01 uploaded 17-Jul-2026; revised RfS dated 15-Jul-2026</t>
        </is>
      </c>
      <c r="AK6" t="inlineStr">
        <is>
          <t>Contract for Difference (CfD); power sold through exchanges</t>
        </is>
      </c>
      <c r="AL6" t="inlineStr">
        <is>
          <t>RPD chooses any 2 hours daily between 18:00 and 24:00, within non-solar hours</t>
        </is>
      </c>
      <c r="AM6" t="inlineStr">
        <is>
          <t>2 MWh per MW contracted capacity per day; for 500 MW = 1,000 MWh/day</t>
        </is>
      </c>
      <c r="AN6" t="inlineStr">
        <is>
          <t>No monthly PLF stated. Performance tested weekly; penalties recovered monthly</t>
        </is>
      </c>
      <c r="AO6" t="inlineStr">
        <is>
          <t>100% of annual scheduled energy must be renewable. No annual PLF/CUF percentage stated</t>
        </is>
      </c>
      <c r="AP6" t="inlineStr">
        <is>
          <t>Up to 10% weekly shortfall permitted; minimum 90% of 14 MWh/MW per contract week</t>
        </is>
      </c>
      <c r="AQ6" t="inlineStr">
        <is>
          <t>Beyond 10% weekly shortfall: 1.5 × [highest applicable exchange MCP during non-solar hours minus strike price] × shortfall; no penalty when reference rate is below strike price; no CfD settlement for shortfall</t>
        </is>
      </c>
      <c r="AR6" t="inlineStr">
        <is>
          <t>Yes — green-market sources or bilateral RE agreements permitted</t>
        </is>
      </c>
      <c r="AS6" t="inlineStr">
        <is>
          <t>Up to 25% of total annual required energy</t>
        </is>
      </c>
      <c r="AT6" t="inlineStr">
        <is>
          <t>External RE can directly meet peak supply or charge ESS. Charging energy is not counted; only discharged energy counts. External-energy excess above 25% receives no CfD settlement</t>
        </is>
      </c>
      <c r="AU6" t="inlineStr">
        <is>
          <t>ESS may be used for merchant/third-party or exchange sale after completing the day’s 2 MWh/MW peak obligation; premature merchant sale attracts an additional penalty</t>
        </is>
      </c>
      <c r="AV6" t="inlineStr">
        <is>
          <t>https://www.seci.co.in/uploads/tenders/Revised_RfS_for_1000_MWh_assured_Peak_Supply_under_CfD_Mechanism_%28CfD-I%29.pdf</t>
        </is>
      </c>
      <c r="AW6" t="inlineStr">
        <is>
          <t>Verified from revised official RfS</t>
        </is>
      </c>
    </row>
    <row r="7">
      <c r="A7" t="inlineStr">
        <is>
          <t>SECI000258</t>
        </is>
      </c>
      <c r="B7" t="inlineStr">
        <is>
          <t>Central</t>
        </is>
      </c>
      <c r="C7" t="inlineStr">
        <is>
          <t>SECI</t>
        </is>
      </c>
      <c r="D7" t="inlineStr">
        <is>
          <t>All India</t>
        </is>
      </c>
      <c r="E7" t="inlineStr">
        <is>
          <t>SECI/C&amp;P/IPP/13/0006/26-27</t>
        </is>
      </c>
      <c r="F7" t="inlineStr">
        <is>
          <t>FDRE</t>
        </is>
      </c>
      <c r="G7" t="n">
        <v>1200</v>
      </c>
      <c r="H7" t="inlineStr">
        <is>
          <t>Yes</t>
        </is>
      </c>
      <c r="I7" t="n">
        <v>4</v>
      </c>
      <c r="J7" t="inlineStr">
        <is>
          <t>Assured peak supply</t>
        </is>
      </c>
      <c r="K7" t="n">
        <v>0</v>
      </c>
      <c r="L7" t="inlineStr">
        <is>
          <t>As per RfS</t>
        </is>
      </c>
      <c r="M7" t="inlineStr">
        <is>
          <t>As per RfS</t>
        </is>
      </c>
      <c r="N7" t="n">
        <v>46241.75</v>
      </c>
      <c r="O7" t="n">
        <v>0</v>
      </c>
      <c r="P7" t="n">
        <v>46246.41666666666</v>
      </c>
      <c r="Q7" t="inlineStr">
        <is>
          <t>Extended</t>
        </is>
      </c>
      <c r="R7" t="n">
        <v>46236</v>
      </c>
      <c r="S7" t="n">
        <v>1</v>
      </c>
      <c r="T7" t="inlineStr">
        <is>
          <t>https://www.seci.co.in/tender-details/Ymd_</t>
        </is>
      </c>
      <c r="U7" t="n">
        <v>0</v>
      </c>
      <c r="V7" t="inlineStr">
        <is>
          <t>Amendment-01 listed; online deadline passed, offline date 04-Aug-2026</t>
        </is>
      </c>
      <c r="W7" t="n">
        <v>5.75</v>
      </c>
      <c r="X7" t="inlineStr">
        <is>
          <t>Due in 7 Days</t>
        </is>
      </c>
      <c r="Y7" t="inlineStr">
        <is>
          <t>SECI|SECI/C&amp;P/IPP/13/0006/26-27</t>
        </is>
      </c>
      <c r="Z7" t="inlineStr">
        <is>
          <t>Unique</t>
        </is>
      </c>
      <c r="AA7" t="inlineStr">
        <is>
          <t>SECI|SECI/C&amp;P/IPP/13/0006/26-27|20260807|Extended|1|20260708</t>
        </is>
      </c>
      <c r="AB7" t="n">
        <v>46236</v>
      </c>
      <c r="AC7" t="inlineStr">
        <is>
          <t>Official agency page</t>
        </is>
      </c>
      <c r="AD7" t="inlineStr">
        <is>
          <t>Core fields</t>
        </is>
      </c>
      <c r="AE7" t="n">
        <v>5</v>
      </c>
      <c r="AF7" t="inlineStr">
        <is>
          <t>Current Opportunity</t>
        </is>
      </c>
      <c r="AG7" t="n">
        <v>46178</v>
      </c>
      <c r="AH7" t="inlineStr">
        <is>
          <t>2026-07-08</t>
        </is>
      </c>
      <c r="AI7" t="n">
        <v>46211</v>
      </c>
      <c r="AJ7" t="inlineStr">
        <is>
          <t>Amendment-01 uploaded 08-Jul-2026</t>
        </is>
      </c>
      <c r="AK7" t="inlineStr">
        <is>
          <t>Tariff-based competitive bidding with PPA/PSA</t>
        </is>
      </c>
      <c r="AL7" t="inlineStr">
        <is>
          <t>Buying Entity selects 4 hours daily across evening-to-next-morning non-solar peak hours; at least one continuous hour</t>
        </is>
      </c>
      <c r="AM7" t="inlineStr">
        <is>
          <t>4 MWh per MW contracted capacity per day; for 1,200 MW = 4,800 MWh/day</t>
        </is>
      </c>
      <c r="AN7" t="inlineStr">
        <is>
          <t>Monthly reconciliation. Minimum effective supply = 90% of monthly scheduled peak-energy requirement before penalty applies</t>
        </is>
      </c>
      <c r="AO7" t="inlineStr">
        <is>
          <t>100% annual offered energy must be renewable. No annual PLF/CUF percentage stated</t>
        </is>
      </c>
      <c r="AP7" t="inlineStr">
        <is>
          <t>Monthly shortfall up to 10% below required peak energy permitted</t>
        </is>
      </c>
      <c r="AQ7" t="inlineStr">
        <is>
          <t>Shortfall beyond 10% monthly: 1.5 × PPA tariff × energy shortfall</t>
        </is>
      </c>
      <c r="AR7" t="inlineStr">
        <is>
          <t>Yes — green-market sources or bilateral RE agreements permitted</t>
        </is>
      </c>
      <c r="AS7" t="inlineStr">
        <is>
          <t>Up to 5% of total annual required energy</t>
        </is>
      </c>
      <c r="AT7" t="inlineStr">
        <is>
          <t>External RE may directly meet peak requirements or charge ESS. Only discharged ESS energy counts toward the 5%; excess above 5% is unpaid and excluded from performance</t>
        </is>
      </c>
      <c r="AU7" t="inlineStr">
        <is>
          <t>ESS may be used outside peak hours for third-party/exchange sale after PPA obligations. Sale before fulfilling obligations attracts 1.5 × highest DAM/GDAM/RTM market rate per kWh, in addition to shortfall penalty</t>
        </is>
      </c>
      <c r="AV7" t="inlineStr">
        <is>
          <t>https://www.seci.co.in/uploads/tenders/RfS_for_4800_MWh_Peak_Supply_%28FDRE-IX%29-_final_upload.pdf</t>
        </is>
      </c>
      <c r="AW7" t="inlineStr">
        <is>
          <t>Verified from official RfS; latest SECI page shows revised bid dates</t>
        </is>
      </c>
    </row>
    <row r="8">
      <c r="A8" t="inlineStr">
        <is>
          <t>SJVN-BESS2</t>
        </is>
      </c>
      <c r="B8" t="inlineStr">
        <is>
          <t>Central</t>
        </is>
      </c>
      <c r="C8" t="inlineStr">
        <is>
          <t>SJVN</t>
        </is>
      </c>
      <c r="D8" t="inlineStr">
        <is>
          <t>Haryana</t>
        </is>
      </c>
      <c r="E8" t="inlineStr">
        <is>
          <t>SJVN/CCDelhi/REIA/2026/BESS-2</t>
        </is>
      </c>
      <c r="F8" t="inlineStr">
        <is>
          <t>BESS</t>
        </is>
      </c>
      <c r="G8" t="n">
        <v>265</v>
      </c>
      <c r="H8" t="inlineStr">
        <is>
          <t>Yes</t>
        </is>
      </c>
      <c r="I8" t="n">
        <v>2</v>
      </c>
      <c r="J8" t="inlineStr">
        <is>
          <t>Standalone BESS under VGF and TBCB</t>
        </is>
      </c>
      <c r="K8" t="n">
        <v>0</v>
      </c>
      <c r="L8" t="n">
        <v>0</v>
      </c>
      <c r="M8" t="inlineStr">
        <is>
          <t>As per RfS</t>
        </is>
      </c>
      <c r="N8" t="n">
        <v>46255</v>
      </c>
      <c r="O8" t="n">
        <v>0</v>
      </c>
      <c r="P8" t="n">
        <v>0</v>
      </c>
      <c r="Q8" t="inlineStr">
        <is>
          <t>Open</t>
        </is>
      </c>
      <c r="R8" t="n">
        <v>46236</v>
      </c>
      <c r="S8" t="n">
        <v>0</v>
      </c>
      <c r="T8" t="inlineStr">
        <is>
          <t>https://sjvn.nic.in/en/tender</t>
        </is>
      </c>
      <c r="U8" t="n">
        <v>0</v>
      </c>
      <c r="V8" t="inlineStr">
        <is>
          <t>265 MW / 530 MWh BESS in Haryana</t>
        </is>
      </c>
      <c r="W8" t="n">
        <v>19</v>
      </c>
      <c r="X8" t="inlineStr">
        <is>
          <t>Normal</t>
        </is>
      </c>
      <c r="Y8" t="inlineStr">
        <is>
          <t>SJVN|SJVN/CCDELHI/REIA/2026/BESS-2</t>
        </is>
      </c>
      <c r="Z8" t="inlineStr">
        <is>
          <t>Unique</t>
        </is>
      </c>
      <c r="AA8" t="inlineStr">
        <is>
          <t>SJVN|SJVN/CCDelhi/REIA/2026/BESS-2|20260821|Open|0|</t>
        </is>
      </c>
      <c r="AB8" t="n">
        <v>46236</v>
      </c>
      <c r="AC8" t="inlineStr">
        <is>
          <t>Official agency page</t>
        </is>
      </c>
      <c r="AD8" t="inlineStr">
        <is>
          <t>Core fields</t>
        </is>
      </c>
      <c r="AE8" t="n">
        <v>5</v>
      </c>
      <c r="AF8" t="inlineStr">
        <is>
          <t>Current Opportunity</t>
        </is>
      </c>
      <c r="AG8" t="n">
        <v>46227</v>
      </c>
      <c r="AH8" t="n">
        <v>0</v>
      </c>
      <c r="AI8" t="n">
        <v>0</v>
      </c>
      <c r="AJ8" t="inlineStr">
        <is>
          <t>No corrigendum identified in the captured official listing.</t>
        </is>
      </c>
      <c r="AK8" t="inlineStr">
        <is>
          <t>Standalone BESS under VGF and tariff-based competitive bidding</t>
        </is>
      </c>
      <c r="AL8" t="inlineStr">
        <is>
          <t>Dispatch schedule and availability obligations governed by RfS/BESSA/BESPA</t>
        </is>
      </c>
      <c r="AM8" t="inlineStr">
        <is>
          <t>Not verified from accessible document text</t>
        </is>
      </c>
      <c r="AN8" t="inlineStr">
        <is>
          <t>PLF is not applicable to standalone BESS; monthly availability/energy obligations require document review</t>
        </is>
      </c>
      <c r="AO8" t="inlineStr">
        <is>
          <t>Annual PLF/CUF not applicable; annual availability/cycle obligations require document review</t>
        </is>
      </c>
      <c r="AP8" t="inlineStr">
        <is>
          <t>Not verified from accessible document text</t>
        </is>
      </c>
      <c r="AQ8" t="inlineStr">
        <is>
          <t>Not verified from accessible document text</t>
        </is>
      </c>
      <c r="AR8" t="inlineStr">
        <is>
          <t>Charging-source provision not verified from accessible document text</t>
        </is>
      </c>
      <c r="AS8" t="inlineStr">
        <is>
          <t>Not verified</t>
        </is>
      </c>
      <c r="AT8" t="inlineStr">
        <is>
          <t>Official RfS PDF was listed but could not be reliably fetched in this review</t>
        </is>
      </c>
      <c r="AU8" t="inlineStr">
        <is>
          <t>Merchant-use rights not verified</t>
        </is>
      </c>
      <c r="AV8" t="inlineStr">
        <is>
          <t>https://sjvn.nic.in/sites/default/files/2026-07/RfS%20BESS%202%20240726.pdf</t>
        </is>
      </c>
      <c r="AW8" t="inlineStr">
        <is>
          <t>Document-level review pending; no assumptions inserted</t>
        </is>
      </c>
    </row>
    <row r="9">
      <c r="A9" t="inlineStr">
        <is>
          <t>MSEDCL-BESS-2000</t>
        </is>
      </c>
      <c r="B9" t="inlineStr">
        <is>
          <t>Maharashtra</t>
        </is>
      </c>
      <c r="C9" t="inlineStr">
        <is>
          <t>MSEDCL</t>
        </is>
      </c>
      <c r="D9" t="inlineStr">
        <is>
          <t>Maharashtra</t>
        </is>
      </c>
      <c r="E9" t="inlineStr">
        <is>
          <t>RfS-2000MW-4000MWh-BESS-2026</t>
        </is>
      </c>
      <c r="F9" t="inlineStr">
        <is>
          <t>BESS</t>
        </is>
      </c>
      <c r="G9" t="n">
        <v>2000</v>
      </c>
      <c r="H9" t="inlineStr">
        <is>
          <t>Yes</t>
        </is>
      </c>
      <c r="I9" t="n">
        <v>2</v>
      </c>
      <c r="J9" t="inlineStr">
        <is>
          <t>Tariff-based competitive bidding</t>
        </is>
      </c>
      <c r="K9" t="n">
        <v>0</v>
      </c>
      <c r="L9" t="n">
        <v>0</v>
      </c>
      <c r="M9" t="inlineStr">
        <is>
          <t>As per RfS</t>
        </is>
      </c>
      <c r="N9" t="n">
        <v>0</v>
      </c>
      <c r="O9" t="n">
        <v>0</v>
      </c>
      <c r="P9" t="n">
        <v>0</v>
      </c>
      <c r="Q9" t="inlineStr">
        <is>
          <t>Corrigendum</t>
        </is>
      </c>
      <c r="R9" t="n">
        <v>46236</v>
      </c>
      <c r="S9" t="n">
        <v>2</v>
      </c>
      <c r="T9" t="inlineStr">
        <is>
          <t>https://www.mahadiscom.in/en/supplier/tenders/</t>
        </is>
      </c>
      <c r="U9" t="n">
        <v>0</v>
      </c>
      <c r="V9" t="inlineStr">
        <is>
          <t>Corrigendum-2 published 22-Jul-2026; deadline not visible on listing</t>
        </is>
      </c>
      <c r="Y9" t="inlineStr">
        <is>
          <t>MSEDCL|RFS-2000MW-4000MWH-BESS-2026</t>
        </is>
      </c>
      <c r="Z9" t="inlineStr">
        <is>
          <t>Unique</t>
        </is>
      </c>
      <c r="AA9" t="inlineStr">
        <is>
          <t>MSEDCL|RfS-2000MW-4000MWh-BESS-2026||Corrigendum|2|20260722</t>
        </is>
      </c>
      <c r="AB9" t="n">
        <v>46236</v>
      </c>
      <c r="AC9" t="inlineStr">
        <is>
          <t>Official agency page</t>
        </is>
      </c>
      <c r="AD9" t="inlineStr">
        <is>
          <t>Partial</t>
        </is>
      </c>
      <c r="AE9" t="n">
        <v>4</v>
      </c>
      <c r="AF9" t="inlineStr">
        <is>
          <t>Needs Status Check</t>
        </is>
      </c>
      <c r="AG9" t="n">
        <v>46203</v>
      </c>
      <c r="AH9" t="inlineStr">
        <is>
          <t>2026-07-07; 2026-07-22</t>
        </is>
      </c>
      <c r="AI9" t="n">
        <v>46225</v>
      </c>
      <c r="AJ9" t="inlineStr">
        <is>
          <t>Addendum-1 and Addendum-2 published 07-Jul-2026; Corrigendum-2 published 22-Jul-2026</t>
        </is>
      </c>
      <c r="AK9" t="inlineStr">
        <is>
          <t>Standalone BESS under tariff-based competitive bidding</t>
        </is>
      </c>
      <c r="AL9" t="inlineStr">
        <is>
          <t>Dispatch/charging schedule governed by RfS and BESPA</t>
        </is>
      </c>
      <c r="AM9" t="inlineStr">
        <is>
          <t>PLF is not applicable to standalone BESS; daily cycle and availability obligations require current 2026 RfS review</t>
        </is>
      </c>
      <c r="AN9" t="inlineStr">
        <is>
          <t>Monthly availability/payment condition not verified from accessible current document text</t>
        </is>
      </c>
      <c r="AO9" t="inlineStr">
        <is>
          <t>Annual PLF/CUF not applicable; annual availability requirement not verified</t>
        </is>
      </c>
      <c r="AP9" t="inlineStr">
        <is>
          <t>Not verified from accessible current 2026 document text</t>
        </is>
      </c>
      <c r="AQ9" t="inlineStr">
        <is>
          <t>Not verified from accessible current 2026 document text</t>
        </is>
      </c>
      <c r="AR9" t="inlineStr">
        <is>
          <t>Charging source and grid/exchange charging permission not verified</t>
        </is>
      </c>
      <c r="AS9" t="inlineStr">
        <is>
          <t>Not verified</t>
        </is>
      </c>
      <c r="AT9" t="inlineStr">
        <is>
          <t>Current 2026 tender and corrigenda are visible on MSEDCL, but detailed clauses require opening the RfS/corrigendum PDF</t>
        </is>
      </c>
      <c r="AU9" t="inlineStr">
        <is>
          <t>Merchant-use rights not verified</t>
        </is>
      </c>
      <c r="AV9" t="inlineStr">
        <is>
          <t>https://www.mahadiscom.in/en/supplier/tenders/</t>
        </is>
      </c>
      <c r="AW9" t="inlineStr">
        <is>
          <t>Tender confirmed; commercial clause extraction pending</t>
        </is>
      </c>
    </row>
  </sheetData>
  <mergeCells count="6">
    <mergeCell ref="A1:AJ2"/>
    <mergeCell ref="A1:AW2"/>
    <mergeCell ref="A3:AJ3"/>
    <mergeCell ref="A1:AF2"/>
    <mergeCell ref="A3:AW3"/>
    <mergeCell ref="A3:AF3"/>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style="64" min="1" max="1"/>
    <col width="18" customWidth="1" style="64" min="2" max="2"/>
    <col width="24" customWidth="1" style="64" min="3" max="3"/>
    <col width="46" customWidth="1" style="64" min="4" max="4"/>
    <col width="16" customWidth="1" style="64" min="5" max="5"/>
    <col width="44" customWidth="1" style="64" min="6" max="6"/>
    <col width="14" customWidth="1" style="64" min="7" max="7"/>
    <col width="32" customWidth="1" style="64" min="8" max="8"/>
  </cols>
  <sheetData>
    <row r="1">
      <c r="A1" s="299" t="inlineStr">
        <is>
          <t>Official Source Evidence Register</t>
        </is>
      </c>
      <c r="B1" s="1" t="n"/>
      <c r="C1" s="1" t="n"/>
      <c r="D1" s="1" t="n"/>
      <c r="E1" s="1" t="n"/>
      <c r="F1" s="1" t="n"/>
      <c r="G1" s="1" t="n"/>
      <c r="H1" s="1" t="n"/>
    </row>
    <row r="2">
      <c r="A2" s="1" t="n"/>
      <c r="B2" s="1" t="n"/>
      <c r="C2" s="1" t="n"/>
      <c r="D2" s="1" t="n"/>
      <c r="E2" s="1" t="n"/>
      <c r="F2" s="1" t="n"/>
      <c r="G2" s="1" t="n"/>
      <c r="H2" s="1" t="n"/>
    </row>
    <row r="4">
      <c r="A4" s="172" t="inlineStr">
        <is>
          <t>Evidence ID</t>
        </is>
      </c>
      <c r="B4" s="172" t="inlineStr">
        <is>
          <t>Agency</t>
        </is>
      </c>
      <c r="C4" s="172" t="inlineStr">
        <is>
          <t>Tender ID / Reference</t>
        </is>
      </c>
      <c r="D4" s="172" t="inlineStr">
        <is>
          <t>Official URL</t>
        </is>
      </c>
      <c r="E4" s="172" t="inlineStr">
        <is>
          <t>Evidence Captured</t>
        </is>
      </c>
      <c r="F4" s="172" t="inlineStr">
        <is>
          <t>Verified Facts</t>
        </is>
      </c>
      <c r="G4" s="172" t="inlineStr">
        <is>
          <t>Evidence Level</t>
        </is>
      </c>
      <c r="H4" s="172" t="inlineStr">
        <is>
          <t>Notes</t>
        </is>
      </c>
    </row>
    <row r="5">
      <c r="A5" t="inlineStr">
        <is>
          <t>EV-NHPC-01</t>
        </is>
      </c>
      <c r="B5" t="inlineStr">
        <is>
          <t>NHPC</t>
        </is>
      </c>
      <c r="C5" t="inlineStr">
        <is>
          <t>2025_NHPC_849236_1</t>
        </is>
      </c>
      <c r="D5" t="inlineStr">
        <is>
          <t>https://www.nhpcindia.com/welcome/tender_detail/7841.html</t>
        </is>
      </c>
      <c r="E5" s="281" t="n">
        <v>46236</v>
      </c>
      <c r="F5" t="inlineStr">
        <is>
          <t>500 MW / 1000 MWh; Andhra Pradesh; 2-hour; peak use; corrigenda</t>
        </is>
      </c>
      <c r="G5" t="inlineStr">
        <is>
          <t>High</t>
        </is>
      </c>
      <c r="H5" t="inlineStr">
        <is>
          <t>Official NHPC detail page</t>
        </is>
      </c>
    </row>
    <row r="6">
      <c r="A6" t="inlineStr">
        <is>
          <t>EV-NHPC-02</t>
        </is>
      </c>
      <c r="B6" t="inlineStr">
        <is>
          <t>NHPC</t>
        </is>
      </c>
      <c r="C6" t="inlineStr">
        <is>
          <t>2025_NHPC_849707_1</t>
        </is>
      </c>
      <c r="D6" t="inlineStr">
        <is>
          <t>https://eprocure.gov.in/eprocure/app</t>
        </is>
      </c>
      <c r="E6" s="281" t="n">
        <v>46236</v>
      </c>
      <c r="F6" t="inlineStr">
        <is>
          <t>1200 MW solar; 600 MW / 2400 MWh ESS; corrigendum</t>
        </is>
      </c>
      <c r="G6" t="inlineStr">
        <is>
          <t>High</t>
        </is>
      </c>
      <c r="H6" t="inlineStr">
        <is>
          <t>Official CPPP record</t>
        </is>
      </c>
    </row>
    <row r="7">
      <c r="A7" t="inlineStr">
        <is>
          <t>EV-NHPC-03</t>
        </is>
      </c>
      <c r="B7" t="inlineStr">
        <is>
          <t>NHPC</t>
        </is>
      </c>
      <c r="C7" t="inlineStr">
        <is>
          <t>2025_NHPC_844873_1</t>
        </is>
      </c>
      <c r="D7" t="inlineStr">
        <is>
          <t>https://www.nhpcindia.com/welcome/tender_detail/7738.html</t>
        </is>
      </c>
      <c r="E7" s="281" t="n">
        <v>46236</v>
      </c>
      <c r="F7" t="inlineStr">
        <is>
          <t>125 MW / 500 MWh Kerala BESS; six corrigenda</t>
        </is>
      </c>
      <c r="G7" t="inlineStr">
        <is>
          <t>High</t>
        </is>
      </c>
      <c r="H7" t="inlineStr">
        <is>
          <t>Official NHPC detail page</t>
        </is>
      </c>
    </row>
    <row r="8">
      <c r="A8" t="inlineStr">
        <is>
          <t>EV-MP-01</t>
        </is>
      </c>
      <c r="B8" t="inlineStr">
        <is>
          <t>MPUVNL</t>
        </is>
      </c>
      <c r="C8" t="inlineStr">
        <is>
          <t>2026_MPUVN_484501_1</t>
        </is>
      </c>
      <c r="D8" t="inlineStr">
        <is>
          <t>https://mptenders.gov.in/nicgep/app</t>
        </is>
      </c>
      <c r="E8" s="281" t="n">
        <v>46236</v>
      </c>
      <c r="F8" t="inlineStr">
        <is>
          <t>Rooftop solar RESCO; eight districts; EMD 184000; bid dates</t>
        </is>
      </c>
      <c r="G8" t="inlineStr">
        <is>
          <t>High</t>
        </is>
      </c>
      <c r="H8" t="inlineStr">
        <is>
          <t>Official MP eProcurement</t>
        </is>
      </c>
    </row>
    <row r="9">
      <c r="A9" t="inlineStr">
        <is>
          <t>EV-MP-02</t>
        </is>
      </c>
      <c r="B9" t="inlineStr">
        <is>
          <t>MPUVNL</t>
        </is>
      </c>
      <c r="C9" t="inlineStr">
        <is>
          <t>2026_MPUVN_511408_1</t>
        </is>
      </c>
      <c r="D9" t="inlineStr">
        <is>
          <t>https://mptenders.gov.in/nicgep/app</t>
        </is>
      </c>
      <c r="E9" s="281" t="n">
        <v>46236</v>
      </c>
      <c r="F9" t="inlineStr">
        <is>
          <t>Solar cooker tender under technical evaluation</t>
        </is>
      </c>
      <c r="G9" t="inlineStr">
        <is>
          <t>Medium</t>
        </is>
      </c>
      <c r="H9" t="inlineStr">
        <is>
          <t>Status page only</t>
        </is>
      </c>
    </row>
    <row r="10">
      <c r="A10" t="inlineStr">
        <is>
          <t>EV-RAJ-01</t>
        </is>
      </c>
      <c r="B10" t="inlineStr">
        <is>
          <t>Jodhpur VVNL</t>
        </is>
      </c>
      <c r="C10" t="inlineStr">
        <is>
          <t>2025_JdVVN_455300_1</t>
        </is>
      </c>
      <c r="D10" t="inlineStr">
        <is>
          <t>https://eproc.rajasthan.gov.in/nicgep/app</t>
        </is>
      </c>
      <c r="E10" s="281" t="n">
        <v>46236</v>
      </c>
      <c r="F10" t="inlineStr">
        <is>
          <t>PM-KUSUM RESCO solar; Nohar/Sangaria; extension dates</t>
        </is>
      </c>
      <c r="G10" t="inlineStr">
        <is>
          <t>High</t>
        </is>
      </c>
      <c r="H10" t="inlineStr">
        <is>
          <t>Official Rajasthan eProcurement</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1055"/>
  <sheetViews>
    <sheetView workbookViewId="0">
      <selection activeCell="A1" sqref="A1"/>
    </sheetView>
  </sheetViews>
  <sheetFormatPr baseColWidth="8" defaultRowHeight="15"/>
  <cols>
    <col width="18" customWidth="1" style="64" min="1" max="1"/>
    <col width="20" customWidth="1" style="64" min="2" max="2"/>
    <col width="28" customWidth="1" style="64" min="3" max="3"/>
    <col width="18" customWidth="1" style="64" min="4" max="4"/>
    <col width="14" customWidth="1" style="64" min="5" max="5"/>
    <col width="16" customWidth="1" style="64" min="6" max="6"/>
    <col width="36" customWidth="1" style="64" min="7" max="7"/>
    <col width="44" customWidth="1" style="64" min="8" max="8"/>
  </cols>
  <sheetData>
    <row r="1">
      <c r="A1" s="300" t="inlineStr">
        <is>
          <t>Tender Exclusion Log</t>
        </is>
      </c>
      <c r="B1" s="1" t="n"/>
      <c r="C1" s="1" t="n"/>
      <c r="D1" s="1" t="n"/>
      <c r="E1" s="1" t="n"/>
      <c r="F1" s="1" t="n"/>
      <c r="G1" s="1" t="n"/>
      <c r="H1" s="1" t="n"/>
    </row>
    <row r="2">
      <c r="A2" s="1" t="n"/>
      <c r="B2" s="1" t="n"/>
      <c r="C2" s="1" t="n"/>
      <c r="D2" s="1" t="n"/>
      <c r="E2" s="1" t="n"/>
      <c r="F2" s="1" t="n"/>
      <c r="G2" s="1" t="n"/>
      <c r="H2" s="1" t="n"/>
    </row>
    <row r="3">
      <c r="A3" s="301" t="inlineStr">
        <is>
          <t>Excluded automatically under the configured scope: capacity below 100 MW, unconfirmed capacity, rooftop solar, or PM-KUSUM.</t>
        </is>
      </c>
      <c r="B3" s="1" t="n"/>
      <c r="C3" s="1" t="n"/>
      <c r="D3" s="1" t="n"/>
      <c r="E3" s="1" t="n"/>
      <c r="F3" s="1" t="n"/>
      <c r="G3" s="1" t="n"/>
      <c r="H3" s="1" t="n"/>
    </row>
    <row r="5">
      <c r="A5" s="192" t="inlineStr">
        <is>
          <t>Tender ID</t>
        </is>
      </c>
      <c r="B5" s="192" t="inlineStr">
        <is>
          <t>Agency</t>
        </is>
      </c>
      <c r="C5" s="192" t="inlineStr">
        <is>
          <t>Tender Number</t>
        </is>
      </c>
      <c r="D5" s="192" t="inlineStr">
        <is>
          <t>Technology</t>
        </is>
      </c>
      <c r="E5" s="192" t="inlineStr">
        <is>
          <t>Capacity MW</t>
        </is>
      </c>
      <c r="F5" s="192" t="inlineStr">
        <is>
          <t>Status</t>
        </is>
      </c>
      <c r="G5" s="192" t="inlineStr">
        <is>
          <t>Exclusion Reason</t>
        </is>
      </c>
      <c r="H5" s="192" t="inlineStr">
        <is>
          <t>Source URL</t>
        </is>
      </c>
    </row>
    <row r="6">
      <c r="A6" t="inlineStr">
        <is>
          <t>SECI000265</t>
        </is>
      </c>
      <c r="B6" t="inlineStr">
        <is>
          <t>SECI</t>
        </is>
      </c>
      <c r="C6" t="inlineStr">
        <is>
          <t>SECI/C&amp;P/IPP/11/0007/26-27</t>
        </is>
      </c>
      <c r="D6" t="inlineStr">
        <is>
          <t>Solar</t>
        </is>
      </c>
      <c r="E6" t="n">
        <v>5.29</v>
      </c>
      <c r="F6" t="inlineStr">
        <is>
          <t>Open</t>
        </is>
      </c>
      <c r="G6" t="inlineStr">
        <is>
          <t>Rooftop solar excluded; Capacity below 100 MW</t>
        </is>
      </c>
      <c r="H6" t="inlineStr">
        <is>
          <t>https://www.seci.co.in/tender-details/YmRy</t>
        </is>
      </c>
    </row>
    <row r="7">
      <c r="A7" t="inlineStr">
        <is>
          <t>SECI000264</t>
        </is>
      </c>
      <c r="B7" t="inlineStr">
        <is>
          <t>SECI</t>
        </is>
      </c>
      <c r="C7" t="inlineStr">
        <is>
          <t>SECI/C&amp;P/EOI/17/0002/26-27</t>
        </is>
      </c>
      <c r="D7" t="inlineStr">
        <is>
          <t>Other</t>
        </is>
      </c>
      <c r="F7" t="inlineStr">
        <is>
          <t>Open</t>
        </is>
      </c>
      <c r="G7" t="inlineStr">
        <is>
          <t>Capacity not confirmed</t>
        </is>
      </c>
      <c r="H7" t="inlineStr">
        <is>
          <t>https://www.seci.co.in/tenders/</t>
        </is>
      </c>
    </row>
    <row r="8">
      <c r="A8" t="inlineStr">
        <is>
          <t>SECI000263</t>
        </is>
      </c>
      <c r="B8" t="inlineStr">
        <is>
          <t>SECI</t>
        </is>
      </c>
      <c r="C8" t="inlineStr">
        <is>
          <t>SECI/C&amp;P/OP/11/0003/26-27</t>
        </is>
      </c>
      <c r="D8" t="inlineStr">
        <is>
          <t>Wind</t>
        </is>
      </c>
      <c r="E8" t="n">
        <v>45.6</v>
      </c>
      <c r="F8" t="inlineStr">
        <is>
          <t>Open</t>
        </is>
      </c>
      <c r="G8" t="inlineStr">
        <is>
          <t>Capacity below 100 MW</t>
        </is>
      </c>
      <c r="H8" t="inlineStr">
        <is>
          <t>https://www.seci.co.in/tender-details/YmR0</t>
        </is>
      </c>
    </row>
    <row r="9">
      <c r="A9" t="inlineStr">
        <is>
          <t>SECI000252</t>
        </is>
      </c>
      <c r="B9" t="inlineStr">
        <is>
          <t>SECI</t>
        </is>
      </c>
      <c r="C9" t="inlineStr">
        <is>
          <t>SECI/C&amp;P/OP/11/0001/26-27</t>
        </is>
      </c>
      <c r="D9" t="inlineStr">
        <is>
          <t>Solar</t>
        </is>
      </c>
      <c r="E9" t="n">
        <v>88</v>
      </c>
      <c r="F9" t="inlineStr">
        <is>
          <t>Open</t>
        </is>
      </c>
      <c r="G9" t="inlineStr">
        <is>
          <t>Capacity below 100 MW</t>
        </is>
      </c>
      <c r="H9" t="inlineStr">
        <is>
          <t>https://www.seci.co.in/tender-details/Ymd1</t>
        </is>
      </c>
    </row>
    <row r="10">
      <c r="A10" t="inlineStr">
        <is>
          <t>SECI000262</t>
        </is>
      </c>
      <c r="B10" t="inlineStr">
        <is>
          <t>SECI</t>
        </is>
      </c>
      <c r="C10" t="inlineStr">
        <is>
          <t>SECI/C&amp;P/OP/11/0002/26-27</t>
        </is>
      </c>
      <c r="D10" t="inlineStr">
        <is>
          <t>Solar + BESS</t>
        </is>
      </c>
      <c r="E10" t="n">
        <v>70</v>
      </c>
      <c r="F10" t="inlineStr">
        <is>
          <t>Open</t>
        </is>
      </c>
      <c r="G10" t="inlineStr">
        <is>
          <t>Capacity below 100 MW</t>
        </is>
      </c>
      <c r="H10" t="inlineStr">
        <is>
          <t>https://www.seci.co.in/tenders/</t>
        </is>
      </c>
    </row>
    <row r="11">
      <c r="A11" t="inlineStr">
        <is>
          <t>GRIDCO-FSPV-2026</t>
        </is>
      </c>
      <c r="B11" t="inlineStr">
        <is>
          <t>GRIDCO</t>
        </is>
      </c>
      <c r="C11" t="inlineStr">
        <is>
          <t>GRIDCO/RE NODAL AGENCY/E-TENDER/01/2026-27</t>
        </is>
      </c>
      <c r="D11" t="inlineStr">
        <is>
          <t>Solar</t>
        </is>
      </c>
      <c r="F11" t="inlineStr">
        <is>
          <t>Open</t>
        </is>
      </c>
      <c r="G11" t="inlineStr">
        <is>
          <t>Capacity not confirmed</t>
        </is>
      </c>
      <c r="H11" t="inlineStr">
        <is>
          <t>https://www.gridco.co.in/archive_tender.aspx</t>
        </is>
      </c>
    </row>
    <row r="12">
      <c r="A12" t="inlineStr">
        <is>
          <t>PSPCL-BIOMASS-65</t>
        </is>
      </c>
      <c r="B12" t="inlineStr">
        <is>
          <t>PSPCL</t>
        </is>
      </c>
      <c r="C12" t="inlineStr">
        <is>
          <t>65/Elec-H&amp;CG-92</t>
        </is>
      </c>
      <c r="D12" t="inlineStr">
        <is>
          <t>Other</t>
        </is>
      </c>
      <c r="F12" t="inlineStr">
        <is>
          <t>Corrigendum</t>
        </is>
      </c>
      <c r="G12" t="inlineStr">
        <is>
          <t>Capacity not confirmed</t>
        </is>
      </c>
      <c r="H12" t="inlineStr">
        <is>
          <t>https://pspcl.in/renewable-purchase-obligation-circulars/Expression-of-interest</t>
        </is>
      </c>
    </row>
    <row r="13">
      <c r="A13" t="inlineStr">
        <is>
          <t>MPUVNL-484501</t>
        </is>
      </c>
      <c r="B13" t="inlineStr">
        <is>
          <t>MPUVNL</t>
        </is>
      </c>
      <c r="C13" t="inlineStr">
        <is>
          <t>2026_MPUVN_484501_1</t>
        </is>
      </c>
      <c r="D13" t="inlineStr">
        <is>
          <t>Solar</t>
        </is>
      </c>
      <c r="F13" t="inlineStr">
        <is>
          <t>Closed</t>
        </is>
      </c>
      <c r="G13" t="inlineStr">
        <is>
          <t>Rooftop solar excluded; Capacity not confirmed</t>
        </is>
      </c>
      <c r="H13" t="inlineStr">
        <is>
          <t>https://mptenders.gov.in/nicgep/app</t>
        </is>
      </c>
    </row>
    <row r="14">
      <c r="A14" t="inlineStr">
        <is>
          <t>MPUVNL-511408</t>
        </is>
      </c>
      <c r="B14" t="inlineStr">
        <is>
          <t>MPUVNL</t>
        </is>
      </c>
      <c r="C14" t="inlineStr">
        <is>
          <t>2026_MPUVN_511408_1</t>
        </is>
      </c>
      <c r="D14" t="inlineStr">
        <is>
          <t>Other</t>
        </is>
      </c>
      <c r="F14" t="inlineStr">
        <is>
          <t>Evaluation</t>
        </is>
      </c>
      <c r="G14" t="inlineStr">
        <is>
          <t>Capacity not confirmed</t>
        </is>
      </c>
      <c r="H14" t="inlineStr">
        <is>
          <t>https://mptenders.gov.in/nicgep/app</t>
        </is>
      </c>
    </row>
    <row r="15">
      <c r="A15" t="inlineStr">
        <is>
          <t>JDVVNL-KUSUM-100</t>
        </is>
      </c>
      <c r="B15" t="inlineStr">
        <is>
          <t>Jodhpur VVNL</t>
        </is>
      </c>
      <c r="C15" t="inlineStr">
        <is>
          <t>2025_JdVVN_455300_1</t>
        </is>
      </c>
      <c r="D15" t="inlineStr">
        <is>
          <t>Solar</t>
        </is>
      </c>
      <c r="F15" t="inlineStr">
        <is>
          <t>Closed</t>
        </is>
      </c>
      <c r="G15" t="inlineStr">
        <is>
          <t>PM-KUSUM excluded; Capacity not confirmed</t>
        </is>
      </c>
      <c r="H15" t="inlineStr">
        <is>
          <t>https://eproc.rajasthan.gov.in/nicgep/app</t>
        </is>
      </c>
    </row>
    <row r="16">
      <c r="A16" t="inlineStr">
        <is>
          <t>NTPC29973</t>
        </is>
      </c>
      <c r="B16" t="inlineStr">
        <is>
          <t>NTPC REL</t>
        </is>
      </c>
      <c r="C16" t="inlineStr">
        <is>
          <t>NREL-CS-5824-004(BESS1)-9</t>
        </is>
      </c>
      <c r="D16" t="inlineStr">
        <is>
          <t>BESS</t>
        </is>
      </c>
      <c r="E16" t="n">
        <v>240</v>
      </c>
      <c r="F16" t="inlineStr">
        <is>
          <t>Closed</t>
        </is>
      </c>
      <c r="G16" t="inlineStr">
        <is>
          <t>Closed/expired as of 2026-08-02</t>
        </is>
      </c>
      <c r="H16" t="inlineStr">
        <is>
          <t>https://ntpctender.ntpc.co.in/NITDetails/NITs/29973</t>
        </is>
      </c>
    </row>
    <row r="17">
      <c r="A17" t="inlineStr">
        <is>
          <t>NTPC29990</t>
        </is>
      </c>
      <c r="B17" t="inlineStr">
        <is>
          <t>NTPC REL</t>
        </is>
      </c>
      <c r="C17" t="inlineStr">
        <is>
          <t>NRE-CS-5820-004(EPC)-9</t>
        </is>
      </c>
      <c r="D17" t="inlineStr">
        <is>
          <t>Solar</t>
        </is>
      </c>
      <c r="E17" t="n">
        <v>600</v>
      </c>
      <c r="F17" t="inlineStr">
        <is>
          <t>Closed</t>
        </is>
      </c>
      <c r="G17" t="inlineStr">
        <is>
          <t>Closed/expired as of 2026-08-02</t>
        </is>
      </c>
      <c r="H17" t="inlineStr">
        <is>
          <t>https://ntpctender.ntpc.co.in/NITDetails/NITs/29990</t>
        </is>
      </c>
    </row>
    <row r="18">
      <c r="A18" t="inlineStr">
        <is>
          <t>NTPC29893</t>
        </is>
      </c>
      <c r="B18" t="inlineStr">
        <is>
          <t>NTPC REL</t>
        </is>
      </c>
      <c r="C18" t="inlineStr">
        <is>
          <t>NRE-CS-5846-004(PHES)-9</t>
        </is>
      </c>
      <c r="D18" t="inlineStr">
        <is>
          <t>Pumped Storage</t>
        </is>
      </c>
      <c r="E18" t="n">
        <v>2000</v>
      </c>
      <c r="F18" t="inlineStr">
        <is>
          <t>Closed</t>
        </is>
      </c>
      <c r="G18" t="inlineStr">
        <is>
          <t>Closed/expired as of 2026-08-02</t>
        </is>
      </c>
      <c r="H18" t="inlineStr">
        <is>
          <t>https://ntpctender.ntpc.co.in/NITDetails/NITs/29893</t>
        </is>
      </c>
    </row>
    <row r="19">
      <c r="A19" t="inlineStr">
        <is>
          <t>NTPC29969</t>
        </is>
      </c>
      <c r="B19" t="inlineStr">
        <is>
          <t>NTPC REL</t>
        </is>
      </c>
      <c r="C19" t="inlineStr">
        <is>
          <t>NREL-CS-5823-004(BESS1)-9</t>
        </is>
      </c>
      <c r="D19" t="inlineStr">
        <is>
          <t>BESS</t>
        </is>
      </c>
      <c r="E19" t="n">
        <v>550</v>
      </c>
      <c r="F19" t="inlineStr">
        <is>
          <t>Closed</t>
        </is>
      </c>
      <c r="G19" t="inlineStr">
        <is>
          <t>Closed/expired as of 2026-08-02</t>
        </is>
      </c>
      <c r="H19" t="inlineStr">
        <is>
          <t>https://ntpctender.ntpc.co.in/NITDetails/NITs/29969</t>
        </is>
      </c>
    </row>
    <row r="20">
      <c r="A20" t="inlineStr">
        <is>
          <t>GRIDCO-BESS-125</t>
        </is>
      </c>
      <c r="B20" t="inlineStr">
        <is>
          <t>GRIDCO</t>
        </is>
      </c>
      <c r="C20" t="inlineStr">
        <is>
          <t>SECI/C&amp;P/IPP/15/0015/25-26</t>
        </is>
      </c>
      <c r="D20" t="inlineStr">
        <is>
          <t>BESS</t>
        </is>
      </c>
      <c r="E20" t="n">
        <v>125</v>
      </c>
      <c r="F20" t="inlineStr">
        <is>
          <t>Closed</t>
        </is>
      </c>
      <c r="G20" t="inlineStr">
        <is>
          <t>Closed/expired as of 2026-08-02</t>
        </is>
      </c>
      <c r="H20" t="inlineStr">
        <is>
          <t>https://gridco.co.in/archive_tender.aspx/writereaddata/Tenders/repowerghga.aspx</t>
        </is>
      </c>
    </row>
    <row r="21">
      <c r="A21" t="inlineStr">
        <is>
          <t>NHPC-849236</t>
        </is>
      </c>
      <c r="B21" t="inlineStr">
        <is>
          <t>NHPC</t>
        </is>
      </c>
      <c r="C21" t="inlineStr">
        <is>
          <t>2025_NHPC_849236_1</t>
        </is>
      </c>
      <c r="D21" t="inlineStr">
        <is>
          <t>BESS</t>
        </is>
      </c>
      <c r="E21" t="n">
        <v>500</v>
      </c>
      <c r="F21" t="inlineStr">
        <is>
          <t>Closed</t>
        </is>
      </c>
      <c r="G21" t="inlineStr">
        <is>
          <t>Closed/expired as of 2026-08-02</t>
        </is>
      </c>
      <c r="H21" t="inlineStr">
        <is>
          <t>https://www.nhpcindia.com/welcome/tender_detail/7841.html</t>
        </is>
      </c>
    </row>
    <row r="22">
      <c r="A22" t="inlineStr">
        <is>
          <t>NHPC-813414</t>
        </is>
      </c>
      <c r="B22" t="inlineStr">
        <is>
          <t>NHPC</t>
        </is>
      </c>
      <c r="C22" t="inlineStr">
        <is>
          <t>2024_NHPC_813414_1</t>
        </is>
      </c>
      <c r="D22" t="inlineStr">
        <is>
          <t>FDRE</t>
        </is>
      </c>
      <c r="E22" t="n">
        <v>1200</v>
      </c>
      <c r="F22" t="inlineStr">
        <is>
          <t>Closed</t>
        </is>
      </c>
      <c r="G22" t="inlineStr">
        <is>
          <t>Closed/expired as of 2026-08-02</t>
        </is>
      </c>
      <c r="H22" t="inlineStr">
        <is>
          <t>https://www.nhpcindia.com/welcome/tender_detail/7140.html</t>
        </is>
      </c>
    </row>
    <row r="23">
      <c r="A23" t="inlineStr">
        <is>
          <t>NHPC-835426</t>
        </is>
      </c>
      <c r="B23" t="inlineStr">
        <is>
          <t>NHPC</t>
        </is>
      </c>
      <c r="C23" t="inlineStr">
        <is>
          <t>2024_NHPC_835426_1</t>
        </is>
      </c>
      <c r="D23" t="inlineStr">
        <is>
          <t>Hybrid</t>
        </is>
      </c>
      <c r="E23" t="n">
        <v>1200</v>
      </c>
      <c r="F23" t="inlineStr">
        <is>
          <t>Closed</t>
        </is>
      </c>
      <c r="G23" t="inlineStr">
        <is>
          <t>Closed/expired as of 2026-08-02</t>
        </is>
      </c>
      <c r="H23" t="inlineStr">
        <is>
          <t>https://www.nhpcindia.com/welcome/tender_detail/7663.html</t>
        </is>
      </c>
    </row>
    <row r="24">
      <c r="A24" t="inlineStr">
        <is>
          <t>NTPC29985</t>
        </is>
      </c>
      <c r="B24" t="inlineStr">
        <is>
          <t>NTPC REL</t>
        </is>
      </c>
      <c r="C24" t="inlineStr">
        <is>
          <t>NRE-CS-5928-003(WTG)-9</t>
        </is>
      </c>
      <c r="D24" t="inlineStr">
        <is>
          <t>Wind</t>
        </is>
      </c>
      <c r="E24" t="n">
        <v>813</v>
      </c>
      <c r="F24" t="inlineStr">
        <is>
          <t>Extended</t>
        </is>
      </c>
      <c r="G24" t="inlineStr">
        <is>
          <t>Supply / installation / EPC / O&amp;M tender excluded</t>
        </is>
      </c>
      <c r="H24" t="inlineStr">
        <is>
          <t>https://ntpctender.ntpc.co.in/NITDetails/NITs/29985</t>
        </is>
      </c>
    </row>
    <row r="25">
      <c r="A25" t="inlineStr">
        <is>
          <t>SJVN-GEM7789243</t>
        </is>
      </c>
      <c r="B25" t="inlineStr">
        <is>
          <t>SJVN</t>
        </is>
      </c>
      <c r="C25" t="inlineStr">
        <is>
          <t>GEM/2026/B/7789243</t>
        </is>
      </c>
      <c r="D25" t="inlineStr">
        <is>
          <t>Solar</t>
        </is>
      </c>
      <c r="E25" t="n">
        <v>200</v>
      </c>
      <c r="F25" t="inlineStr">
        <is>
          <t>Open</t>
        </is>
      </c>
      <c r="G25" t="inlineStr">
        <is>
          <t>Supply / installation / EPC / O&amp;M tender excluded</t>
        </is>
      </c>
      <c r="H25" t="inlineStr">
        <is>
          <t>https://www.sjvn.nic.in/en/tender?page=2</t>
        </is>
      </c>
    </row>
    <row r="26">
      <c r="A26" t="inlineStr">
        <is>
          <t>NHPC-849707</t>
        </is>
      </c>
      <c r="B26" t="inlineStr">
        <is>
          <t>NHPC</t>
        </is>
      </c>
      <c r="C26" t="inlineStr">
        <is>
          <t>2025_NHPC_849707_1</t>
        </is>
      </c>
      <c r="D26" t="inlineStr">
        <is>
          <t>Solar + BESS</t>
        </is>
      </c>
      <c r="E26" t="n">
        <v>1200</v>
      </c>
      <c r="F26" t="inlineStr">
        <is>
          <t>Corrigendum</t>
        </is>
      </c>
      <c r="G26" t="inlineStr">
        <is>
          <t>Official bid deadline expired in 2025</t>
        </is>
      </c>
      <c r="H26" t="inlineStr">
        <is>
          <t>https://eprocure.gov.in/eprocure/app</t>
        </is>
      </c>
    </row>
    <row r="27">
      <c r="A27" t="inlineStr">
        <is>
          <t>NHPC-844873</t>
        </is>
      </c>
      <c r="B27" t="inlineStr">
        <is>
          <t>NHPC</t>
        </is>
      </c>
      <c r="C27" t="inlineStr">
        <is>
          <t>2025_NHPC_844873_1</t>
        </is>
      </c>
      <c r="D27" t="inlineStr">
        <is>
          <t>BESS</t>
        </is>
      </c>
      <c r="E27" t="n">
        <v>125</v>
      </c>
      <c r="F27" t="inlineStr">
        <is>
          <t>Corrigendum</t>
        </is>
      </c>
      <c r="G27" t="inlineStr">
        <is>
          <t>Official bid deadline expired in 2025</t>
        </is>
      </c>
      <c r="H27" t="inlineStr">
        <is>
          <t>https://www.nhpcindia.com/welcome/tender_detail/7738.html</t>
        </is>
      </c>
    </row>
    <row r="28">
      <c r="A28" t="inlineStr">
        <is>
          <t>SECI000265</t>
        </is>
      </c>
      <c r="B28" t="inlineStr">
        <is>
          <t>SECI</t>
        </is>
      </c>
      <c r="C28" t="inlineStr">
        <is>
          <t>SECI/C&amp;P/IPP/11/0007/26-27</t>
        </is>
      </c>
      <c r="D28" t="inlineStr">
        <is>
          <t>Solar</t>
        </is>
      </c>
      <c r="F28" t="inlineStr">
        <is>
          <t>Open</t>
        </is>
      </c>
      <c r="G28" t="inlineStr">
        <is>
          <t>Rooftop solar excluded</t>
        </is>
      </c>
      <c r="H28" t="inlineStr">
        <is>
          <t>https://www.seci.co.in/tender-details/YmRy</t>
        </is>
      </c>
    </row>
    <row r="29">
      <c r="A29" t="inlineStr">
        <is>
          <t>SECI000264</t>
        </is>
      </c>
      <c r="B29" t="inlineStr">
        <is>
          <t>SECI</t>
        </is>
      </c>
      <c r="C29" t="inlineStr">
        <is>
          <t>SECI/C&amp;P/EOI/17/0002/26-27</t>
        </is>
      </c>
      <c r="D29" t="inlineStr">
        <is>
          <t>Other</t>
        </is>
      </c>
      <c r="F29" t="inlineStr">
        <is>
          <t>Open</t>
        </is>
      </c>
      <c r="G29" t="inlineStr">
        <is>
          <t>Capacity not confirmed</t>
        </is>
      </c>
      <c r="H29" t="inlineStr">
        <is>
          <t>https://www.seci.co.in/tender-details/YmRz</t>
        </is>
      </c>
    </row>
    <row r="30">
      <c r="A30" t="inlineStr">
        <is>
          <t>SECI000263</t>
        </is>
      </c>
      <c r="B30" t="inlineStr">
        <is>
          <t>SECI</t>
        </is>
      </c>
      <c r="C30" t="inlineStr">
        <is>
          <t>SECI/C&amp;P/OP/11/0003/26-27</t>
        </is>
      </c>
      <c r="D30" t="inlineStr">
        <is>
          <t>Wind</t>
        </is>
      </c>
      <c r="E30" t="n">
        <v>45.6</v>
      </c>
      <c r="F30" t="inlineStr">
        <is>
          <t>Open</t>
        </is>
      </c>
      <c r="G30" t="inlineStr">
        <is>
          <t>Capacity below configured minimum</t>
        </is>
      </c>
      <c r="H30" t="inlineStr">
        <is>
          <t>https://www.seci.co.in/tender-details/YmR0</t>
        </is>
      </c>
    </row>
    <row r="31">
      <c r="A31" t="inlineStr">
        <is>
          <t>SECI000252</t>
        </is>
      </c>
      <c r="B31" t="inlineStr">
        <is>
          <t>SECI</t>
        </is>
      </c>
      <c r="C31" t="inlineStr">
        <is>
          <t>SECI/C&amp;P/OP/11/0001/26-27</t>
        </is>
      </c>
      <c r="D31" t="inlineStr">
        <is>
          <t>Solar</t>
        </is>
      </c>
      <c r="E31" t="n">
        <v>88</v>
      </c>
      <c r="F31" t="inlineStr">
        <is>
          <t>Open</t>
        </is>
      </c>
      <c r="G31" t="inlineStr">
        <is>
          <t>EPC / turnkey / BoS excluded</t>
        </is>
      </c>
      <c r="H31" t="inlineStr">
        <is>
          <t>https://www.seci.co.in/tender-details/Ymd1</t>
        </is>
      </c>
    </row>
    <row r="32">
      <c r="A32" t="inlineStr">
        <is>
          <t>SECI000262</t>
        </is>
      </c>
      <c r="B32" t="inlineStr">
        <is>
          <t>SECI</t>
        </is>
      </c>
      <c r="C32" t="inlineStr">
        <is>
          <t>SECI/C&amp;P/OP/11/0002/26-27</t>
        </is>
      </c>
      <c r="D32" t="inlineStr">
        <is>
          <t>Solar + BESS</t>
        </is>
      </c>
      <c r="E32" t="n">
        <v>25</v>
      </c>
      <c r="F32" t="inlineStr">
        <is>
          <t>Open</t>
        </is>
      </c>
      <c r="G32" t="inlineStr">
        <is>
          <t>Capacity below configured minimum</t>
        </is>
      </c>
      <c r="H32" t="inlineStr">
        <is>
          <t>https://www.seci.co.in/tender-details/YmR1</t>
        </is>
      </c>
    </row>
    <row r="33">
      <c r="B33" t="inlineStr">
        <is>
          <t>NTPC REL</t>
        </is>
      </c>
      <c r="D33" t="inlineStr">
        <is>
          <t>Wind</t>
        </is>
      </c>
      <c r="E33" t="n">
        <v>813</v>
      </c>
      <c r="F33" t="inlineStr">
        <is>
          <t>Corrigendum</t>
        </is>
      </c>
      <c r="G33" t="inlineStr">
        <is>
          <t>Supply / installation excluded</t>
        </is>
      </c>
      <c r="H33" t="inlineStr">
        <is>
          <t>https://ntpctender.ntpc.co.in/NITDetails/NITs/29708</t>
        </is>
      </c>
    </row>
    <row r="34">
      <c r="B34" t="inlineStr">
        <is>
          <t>GRIDCO</t>
        </is>
      </c>
      <c r="C34" t="inlineStr">
        <is>
          <t>View Details Tender Document Addendum-I Pre-Bid Meeting Link Corrigendum-II Addendum-6 Odisha Floating Solar Data Room - Contents Addendum_09 Addendum</t>
        </is>
      </c>
      <c r="D34" t="inlineStr">
        <is>
          <t>Solar</t>
        </is>
      </c>
      <c r="F34" t="inlineStr">
        <is>
          <t>Corrigendum</t>
        </is>
      </c>
      <c r="G34" t="inlineStr">
        <is>
          <t>Capacity not confirmed</t>
        </is>
      </c>
      <c r="H34" t="inlineStr">
        <is>
          <t>https://www.gridco.co.in/writereaddata/Tenders/301225101225upload.pdf</t>
        </is>
      </c>
    </row>
    <row r="35">
      <c r="B35" t="inlineStr">
        <is>
          <t>GRIDCO</t>
        </is>
      </c>
      <c r="C35" t="inlineStr">
        <is>
          <t>Addendum-6 Odisha Floating Solar Data Room - Contents</t>
        </is>
      </c>
      <c r="D35" t="inlineStr">
        <is>
          <t>Solar</t>
        </is>
      </c>
      <c r="F35" t="inlineStr">
        <is>
          <t>Open</t>
        </is>
      </c>
      <c r="G35" t="inlineStr">
        <is>
          <t>Capacity not confirmed</t>
        </is>
      </c>
      <c r="H35" t="inlineStr">
        <is>
          <t>https://www.gridco.co.in/writereaddata/Tenders/301126051106Addendum-6_Odisha Floating Solar Data room - Contents.pdf</t>
        </is>
      </c>
    </row>
    <row r="36">
      <c r="A36" t="inlineStr">
        <is>
          <t>SECI000267</t>
        </is>
      </c>
      <c r="B36" t="inlineStr">
        <is>
          <t>SECI</t>
        </is>
      </c>
      <c r="C36" t="inlineStr">
        <is>
          <t>SECI/C&amp;P/MI/00/0001/26-27</t>
        </is>
      </c>
      <c r="D36" t="inlineStr">
        <is>
          <t>Other</t>
        </is>
      </c>
      <c r="F36" t="inlineStr">
        <is>
          <t>Open</t>
        </is>
      </c>
      <c r="G36" t="inlineStr">
        <is>
          <t>Capacity not confirmed</t>
        </is>
      </c>
      <c r="H36" t="inlineStr">
        <is>
          <t>https://www.seci.co.in/tender-details/YmRw</t>
        </is>
      </c>
    </row>
    <row r="37">
      <c r="A37" t="inlineStr">
        <is>
          <t>SECI000265</t>
        </is>
      </c>
      <c r="B37" t="inlineStr">
        <is>
          <t>SECI</t>
        </is>
      </c>
      <c r="C37" t="inlineStr">
        <is>
          <t>SECI/C&amp;P/IPP/11/0007/26-27</t>
        </is>
      </c>
      <c r="D37" t="inlineStr">
        <is>
          <t>Solar</t>
        </is>
      </c>
      <c r="F37" t="inlineStr">
        <is>
          <t>Open</t>
        </is>
      </c>
      <c r="G37" t="inlineStr">
        <is>
          <t>Rooftop solar excluded</t>
        </is>
      </c>
      <c r="H37" t="inlineStr">
        <is>
          <t>https://www.seci.co.in/tender-details/YmRy</t>
        </is>
      </c>
    </row>
    <row r="38">
      <c r="A38" t="inlineStr">
        <is>
          <t>SECI000264</t>
        </is>
      </c>
      <c r="B38" t="inlineStr">
        <is>
          <t>SECI</t>
        </is>
      </c>
      <c r="C38" t="inlineStr">
        <is>
          <t>SECI/C&amp;P/EOI/17/0002/26-27</t>
        </is>
      </c>
      <c r="D38" t="inlineStr">
        <is>
          <t>Other</t>
        </is>
      </c>
      <c r="F38" t="inlineStr">
        <is>
          <t>Open</t>
        </is>
      </c>
      <c r="G38" t="inlineStr">
        <is>
          <t>Capacity not confirmed</t>
        </is>
      </c>
      <c r="H38" t="inlineStr">
        <is>
          <t>https://www.seci.co.in/tender-details/YmRz</t>
        </is>
      </c>
    </row>
    <row r="39">
      <c r="A39" t="inlineStr">
        <is>
          <t>SECI000263</t>
        </is>
      </c>
      <c r="B39" t="inlineStr">
        <is>
          <t>SECI</t>
        </is>
      </c>
      <c r="C39" t="inlineStr">
        <is>
          <t>SECI/C&amp;P/OP/11/0003/26-27</t>
        </is>
      </c>
      <c r="D39" t="inlineStr">
        <is>
          <t>Wind</t>
        </is>
      </c>
      <c r="E39" t="n">
        <v>45.6</v>
      </c>
      <c r="F39" t="inlineStr">
        <is>
          <t>Open</t>
        </is>
      </c>
      <c r="G39" t="inlineStr">
        <is>
          <t>Capacity below configured minimum</t>
        </is>
      </c>
      <c r="H39" t="inlineStr">
        <is>
          <t>https://www.seci.co.in/tender-details/YmR0</t>
        </is>
      </c>
    </row>
    <row r="40">
      <c r="A40" t="inlineStr">
        <is>
          <t>SECI000252</t>
        </is>
      </c>
      <c r="B40" t="inlineStr">
        <is>
          <t>SECI</t>
        </is>
      </c>
      <c r="C40" t="inlineStr">
        <is>
          <t>SECI/C&amp;P/OP/11/0001/26-27</t>
        </is>
      </c>
      <c r="D40" t="inlineStr">
        <is>
          <t>Solar</t>
        </is>
      </c>
      <c r="E40" t="n">
        <v>88</v>
      </c>
      <c r="F40" t="inlineStr">
        <is>
          <t>Open</t>
        </is>
      </c>
      <c r="G40" t="inlineStr">
        <is>
          <t>EPC / turnkey / BoS excluded</t>
        </is>
      </c>
      <c r="H40" t="inlineStr">
        <is>
          <t>https://www.seci.co.in/tender-details/Ymd1</t>
        </is>
      </c>
    </row>
    <row r="41">
      <c r="A41" t="inlineStr">
        <is>
          <t>SECI000262</t>
        </is>
      </c>
      <c r="B41" t="inlineStr">
        <is>
          <t>SECI</t>
        </is>
      </c>
      <c r="C41" t="inlineStr">
        <is>
          <t>SECI/C&amp;P/OP/11/0002/26-27</t>
        </is>
      </c>
      <c r="D41" t="inlineStr">
        <is>
          <t>Solar + BESS</t>
        </is>
      </c>
      <c r="E41" t="n">
        <v>25</v>
      </c>
      <c r="F41" t="inlineStr">
        <is>
          <t>Open</t>
        </is>
      </c>
      <c r="G41" t="inlineStr">
        <is>
          <t>Capacity below configured minimum</t>
        </is>
      </c>
      <c r="H41" t="inlineStr">
        <is>
          <t>https://www.seci.co.in/tender-details/YmR1</t>
        </is>
      </c>
    </row>
    <row r="42">
      <c r="B42" t="inlineStr">
        <is>
          <t>GRIDCO</t>
        </is>
      </c>
      <c r="C42" t="inlineStr">
        <is>
          <t>View Details Tender Document Addendum-I Pre-Bid Meeting Link Corrigendum-II Addendum-6 Odisha Floating Solar Data Room - Contents Addendum_09 Addendum</t>
        </is>
      </c>
      <c r="D42" t="inlineStr">
        <is>
          <t>Solar</t>
        </is>
      </c>
      <c r="F42" t="inlineStr">
        <is>
          <t>Corrigendum</t>
        </is>
      </c>
      <c r="G42" t="inlineStr">
        <is>
          <t>Capacity not confirmed</t>
        </is>
      </c>
      <c r="H42" t="inlineStr">
        <is>
          <t>https://www.gridco.co.in/writereaddata/Tenders/301225101225upload.pdf</t>
        </is>
      </c>
    </row>
    <row r="43">
      <c r="B43" t="inlineStr">
        <is>
          <t>GRIDCO</t>
        </is>
      </c>
      <c r="C43" t="inlineStr">
        <is>
          <t>Addendum-6 Odisha Floating Solar Data Room - Contents</t>
        </is>
      </c>
      <c r="D43" t="inlineStr">
        <is>
          <t>Solar</t>
        </is>
      </c>
      <c r="F43" t="inlineStr">
        <is>
          <t>Open</t>
        </is>
      </c>
      <c r="G43" t="inlineStr">
        <is>
          <t>Capacity not confirmed</t>
        </is>
      </c>
      <c r="H43" t="inlineStr">
        <is>
          <t>https://www.gridco.co.in/writereaddata/Tenders/301126051106Addendum-6_Odisha Floating Solar Data room - Contents.pdf</t>
        </is>
      </c>
    </row>
    <row r="44">
      <c r="A44" t="inlineStr">
        <is>
          <t>SECI000249</t>
        </is>
      </c>
      <c r="B44" t="inlineStr">
        <is>
          <t>SECI</t>
        </is>
      </c>
      <c r="C44" t="inlineStr">
        <is>
          <t>SECI/C&amp;P/IPP/13/0002/26-27</t>
        </is>
      </c>
      <c r="D44" t="inlineStr">
        <is>
          <t>FDRE</t>
        </is>
      </c>
      <c r="E44" t="n">
        <v>500</v>
      </c>
      <c r="F44" t="inlineStr">
        <is>
          <t>Open</t>
        </is>
      </c>
      <c r="G44" t="inlineStr">
        <is>
          <t>Deadline expired without verified extension</t>
        </is>
      </c>
      <c r="H44" t="inlineStr">
        <is>
          <t>https://www.seci.co.in/tenders/</t>
        </is>
      </c>
    </row>
    <row r="45">
      <c r="A45" t="inlineStr">
        <is>
          <t>SECI000267</t>
        </is>
      </c>
      <c r="B45" t="inlineStr">
        <is>
          <t>SECI</t>
        </is>
      </c>
      <c r="C45" t="inlineStr">
        <is>
          <t>SECI/C&amp;P/MI/00/0001/26-27</t>
        </is>
      </c>
      <c r="D45" t="inlineStr">
        <is>
          <t>Other</t>
        </is>
      </c>
      <c r="F45" t="inlineStr">
        <is>
          <t>Open</t>
        </is>
      </c>
      <c r="G45" t="inlineStr">
        <is>
          <t>Capacity not confirmed</t>
        </is>
      </c>
      <c r="H45" t="inlineStr">
        <is>
          <t>https://www.seci.co.in/tender-details/YmRw</t>
        </is>
      </c>
    </row>
    <row r="46">
      <c r="A46" t="inlineStr">
        <is>
          <t>SECI000265</t>
        </is>
      </c>
      <c r="B46" t="inlineStr">
        <is>
          <t>SECI</t>
        </is>
      </c>
      <c r="C46" t="inlineStr">
        <is>
          <t>SECI/C&amp;P/IPP/11/0007/26-27</t>
        </is>
      </c>
      <c r="D46" t="inlineStr">
        <is>
          <t>Solar</t>
        </is>
      </c>
      <c r="F46" t="inlineStr">
        <is>
          <t>Open</t>
        </is>
      </c>
      <c r="G46" t="inlineStr">
        <is>
          <t>Rooftop solar excluded</t>
        </is>
      </c>
      <c r="H46" t="inlineStr">
        <is>
          <t>https://www.seci.co.in/tender-details/YmRy</t>
        </is>
      </c>
    </row>
    <row r="47">
      <c r="A47" t="inlineStr">
        <is>
          <t>SECI000264</t>
        </is>
      </c>
      <c r="B47" t="inlineStr">
        <is>
          <t>SECI</t>
        </is>
      </c>
      <c r="C47" t="inlineStr">
        <is>
          <t>SECI/C&amp;P/EOI/17/0002/26-27</t>
        </is>
      </c>
      <c r="D47" t="inlineStr">
        <is>
          <t>Other</t>
        </is>
      </c>
      <c r="F47" t="inlineStr">
        <is>
          <t>Open</t>
        </is>
      </c>
      <c r="G47" t="inlineStr">
        <is>
          <t>Capacity not confirmed</t>
        </is>
      </c>
      <c r="H47" t="inlineStr">
        <is>
          <t>https://www.seci.co.in/tender-details/YmRz</t>
        </is>
      </c>
    </row>
    <row r="48">
      <c r="A48" t="inlineStr">
        <is>
          <t>SECI000263</t>
        </is>
      </c>
      <c r="B48" t="inlineStr">
        <is>
          <t>SECI</t>
        </is>
      </c>
      <c r="C48" t="inlineStr">
        <is>
          <t>SECI/C&amp;P/OP/11/0003/26-27</t>
        </is>
      </c>
      <c r="D48" t="inlineStr">
        <is>
          <t>Wind</t>
        </is>
      </c>
      <c r="E48" t="n">
        <v>45.6</v>
      </c>
      <c r="F48" t="inlineStr">
        <is>
          <t>Open</t>
        </is>
      </c>
      <c r="G48" t="inlineStr">
        <is>
          <t>Capacity below configured minimum</t>
        </is>
      </c>
      <c r="H48" t="inlineStr">
        <is>
          <t>https://www.seci.co.in/tender-details/YmR0</t>
        </is>
      </c>
    </row>
    <row r="49">
      <c r="A49" t="inlineStr">
        <is>
          <t>SECI000252</t>
        </is>
      </c>
      <c r="B49" t="inlineStr">
        <is>
          <t>SECI</t>
        </is>
      </c>
      <c r="C49" t="inlineStr">
        <is>
          <t>SECI/C&amp;P/OP/11/0001/26-27</t>
        </is>
      </c>
      <c r="D49" t="inlineStr">
        <is>
          <t>Solar</t>
        </is>
      </c>
      <c r="E49" t="n">
        <v>88</v>
      </c>
      <c r="F49" t="inlineStr">
        <is>
          <t>Open</t>
        </is>
      </c>
      <c r="G49" t="inlineStr">
        <is>
          <t>EPC / turnkey / BoS excluded</t>
        </is>
      </c>
      <c r="H49" t="inlineStr">
        <is>
          <t>https://www.seci.co.in/tender-details/Ymd1</t>
        </is>
      </c>
    </row>
    <row r="50">
      <c r="A50" t="inlineStr">
        <is>
          <t>SECI000262</t>
        </is>
      </c>
      <c r="B50" t="inlineStr">
        <is>
          <t>SECI</t>
        </is>
      </c>
      <c r="C50" t="inlineStr">
        <is>
          <t>SECI/C&amp;P/OP/11/0002/26-27</t>
        </is>
      </c>
      <c r="D50" t="inlineStr">
        <is>
          <t>Solar + BESS</t>
        </is>
      </c>
      <c r="E50" t="n">
        <v>25</v>
      </c>
      <c r="F50" t="inlineStr">
        <is>
          <t>Open</t>
        </is>
      </c>
      <c r="G50" t="inlineStr">
        <is>
          <t>Capacity below configured minimum</t>
        </is>
      </c>
      <c r="H50" t="inlineStr">
        <is>
          <t>https://www.seci.co.in/tender-details/YmR1</t>
        </is>
      </c>
    </row>
    <row r="51">
      <c r="B51" t="inlineStr">
        <is>
          <t>NTPC REL</t>
        </is>
      </c>
      <c r="D51" t="inlineStr">
        <is>
          <t>Solar</t>
        </is>
      </c>
      <c r="E51" t="n">
        <v>600</v>
      </c>
      <c r="F51" t="inlineStr">
        <is>
          <t>Corrigendum</t>
        </is>
      </c>
      <c r="G51" t="inlineStr">
        <is>
          <t>EPC / turnkey / BoS excluded</t>
        </is>
      </c>
      <c r="H51" t="inlineStr">
        <is>
          <t>https://ntpctender.ntpc.co.in/NITDetails/NITs/29990</t>
        </is>
      </c>
    </row>
    <row r="52">
      <c r="B52" t="inlineStr">
        <is>
          <t>GRIDCO</t>
        </is>
      </c>
      <c r="C52" t="inlineStr">
        <is>
          <t>View Details Tender Document Addendum-I Pre-Bid Meeting Link Corrigendum-II Addendum-6 Odisha Floating Solar Data Room - Contents Addendum_09 Addendum</t>
        </is>
      </c>
      <c r="D52" t="inlineStr">
        <is>
          <t>Solar</t>
        </is>
      </c>
      <c r="F52" t="inlineStr">
        <is>
          <t>Corrigendum</t>
        </is>
      </c>
      <c r="G52" t="inlineStr">
        <is>
          <t>Capacity not confirmed</t>
        </is>
      </c>
      <c r="H52" t="inlineStr">
        <is>
          <t>https://www.gridco.co.in/writereaddata/Tenders/301225101225upload.pdf</t>
        </is>
      </c>
    </row>
    <row r="53">
      <c r="B53" t="inlineStr">
        <is>
          <t>GRIDCO</t>
        </is>
      </c>
      <c r="C53" t="inlineStr">
        <is>
          <t>Addendum-6 Odisha Floating Solar Data Room - Contents</t>
        </is>
      </c>
      <c r="D53" t="inlineStr">
        <is>
          <t>Solar</t>
        </is>
      </c>
      <c r="F53" t="inlineStr">
        <is>
          <t>Open</t>
        </is>
      </c>
      <c r="G53" t="inlineStr">
        <is>
          <t>Capacity not confirmed</t>
        </is>
      </c>
      <c r="H53" t="inlineStr">
        <is>
          <t>https://www.gridco.co.in/writereaddata/Tenders/301126051106Addendum-6_Odisha Floating Solar Data room - Contents.pdf</t>
        </is>
      </c>
    </row>
    <row r="54">
      <c r="A54" t="inlineStr">
        <is>
          <t>SECI000267</t>
        </is>
      </c>
      <c r="B54" t="inlineStr">
        <is>
          <t>SECI</t>
        </is>
      </c>
      <c r="C54" t="inlineStr">
        <is>
          <t>SECI/C&amp;P/MI/00/0001/26-27</t>
        </is>
      </c>
      <c r="D54" t="inlineStr">
        <is>
          <t>Other</t>
        </is>
      </c>
      <c r="F54" t="inlineStr">
        <is>
          <t>Open</t>
        </is>
      </c>
      <c r="G54" t="inlineStr">
        <is>
          <t>Capacity not confirmed</t>
        </is>
      </c>
      <c r="H54" t="inlineStr">
        <is>
          <t>https://www.seci.co.in/tender-details/YmRw</t>
        </is>
      </c>
    </row>
    <row r="55">
      <c r="A55" t="inlineStr">
        <is>
          <t>SECI000265</t>
        </is>
      </c>
      <c r="B55" t="inlineStr">
        <is>
          <t>SECI</t>
        </is>
      </c>
      <c r="C55" t="inlineStr">
        <is>
          <t>SECI/C&amp;P/IPP/11/0007/26-27</t>
        </is>
      </c>
      <c r="D55" t="inlineStr">
        <is>
          <t>Solar</t>
        </is>
      </c>
      <c r="F55" t="inlineStr">
        <is>
          <t>Open</t>
        </is>
      </c>
      <c r="G55" t="inlineStr">
        <is>
          <t>Rooftop solar excluded</t>
        </is>
      </c>
      <c r="H55" t="inlineStr">
        <is>
          <t>https://www.seci.co.in/tender-details/YmRy</t>
        </is>
      </c>
    </row>
    <row r="56">
      <c r="A56" t="inlineStr">
        <is>
          <t>SECI000264</t>
        </is>
      </c>
      <c r="B56" t="inlineStr">
        <is>
          <t>SECI</t>
        </is>
      </c>
      <c r="C56" t="inlineStr">
        <is>
          <t>SECI/C&amp;P/EOI/17/0002/26-27</t>
        </is>
      </c>
      <c r="D56" t="inlineStr">
        <is>
          <t>Other</t>
        </is>
      </c>
      <c r="F56" t="inlineStr">
        <is>
          <t>Open</t>
        </is>
      </c>
      <c r="G56" t="inlineStr">
        <is>
          <t>Capacity not confirmed</t>
        </is>
      </c>
      <c r="H56" t="inlineStr">
        <is>
          <t>https://www.seci.co.in/tender-details/YmRz</t>
        </is>
      </c>
    </row>
    <row r="57">
      <c r="A57" t="inlineStr">
        <is>
          <t>SECI000263</t>
        </is>
      </c>
      <c r="B57" t="inlineStr">
        <is>
          <t>SECI</t>
        </is>
      </c>
      <c r="C57" t="inlineStr">
        <is>
          <t>SECI/C&amp;P/OP/11/0003/26-27</t>
        </is>
      </c>
      <c r="D57" t="inlineStr">
        <is>
          <t>Wind</t>
        </is>
      </c>
      <c r="E57" t="n">
        <v>45.6</v>
      </c>
      <c r="F57" t="inlineStr">
        <is>
          <t>Open</t>
        </is>
      </c>
      <c r="G57" t="inlineStr">
        <is>
          <t>Capacity below configured minimum</t>
        </is>
      </c>
      <c r="H57" t="inlineStr">
        <is>
          <t>https://www.seci.co.in/tender-details/YmR0</t>
        </is>
      </c>
    </row>
    <row r="58">
      <c r="A58" t="inlineStr">
        <is>
          <t>SECI000252</t>
        </is>
      </c>
      <c r="B58" t="inlineStr">
        <is>
          <t>SECI</t>
        </is>
      </c>
      <c r="C58" t="inlineStr">
        <is>
          <t>SECI/C&amp;P/OP/11/0001/26-27</t>
        </is>
      </c>
      <c r="D58" t="inlineStr">
        <is>
          <t>Solar</t>
        </is>
      </c>
      <c r="E58" t="n">
        <v>88</v>
      </c>
      <c r="F58" t="inlineStr">
        <is>
          <t>Open</t>
        </is>
      </c>
      <c r="G58" t="inlineStr">
        <is>
          <t>EPC / turnkey / BoS excluded</t>
        </is>
      </c>
      <c r="H58" t="inlineStr">
        <is>
          <t>https://www.seci.co.in/tender-details/Ymd1</t>
        </is>
      </c>
    </row>
    <row r="59">
      <c r="A59" t="inlineStr">
        <is>
          <t>SECI000262</t>
        </is>
      </c>
      <c r="B59" t="inlineStr">
        <is>
          <t>SECI</t>
        </is>
      </c>
      <c r="C59" t="inlineStr">
        <is>
          <t>SECI/C&amp;P/OP/11/0002/26-27</t>
        </is>
      </c>
      <c r="D59" t="inlineStr">
        <is>
          <t>Solar + BESS</t>
        </is>
      </c>
      <c r="E59" t="n">
        <v>25</v>
      </c>
      <c r="F59" t="inlineStr">
        <is>
          <t>Open</t>
        </is>
      </c>
      <c r="G59" t="inlineStr">
        <is>
          <t>Capacity below configured minimum</t>
        </is>
      </c>
      <c r="H59" t="inlineStr">
        <is>
          <t>https://www.seci.co.in/tender-details/YmR1</t>
        </is>
      </c>
    </row>
    <row r="60">
      <c r="B60" t="inlineStr">
        <is>
          <t>NTPC REL</t>
        </is>
      </c>
      <c r="D60" t="inlineStr">
        <is>
          <t>Solar</t>
        </is>
      </c>
      <c r="E60" t="n">
        <v>600</v>
      </c>
      <c r="F60" t="inlineStr">
        <is>
          <t>Corrigendum</t>
        </is>
      </c>
      <c r="G60" t="inlineStr">
        <is>
          <t>EPC / turnkey / BoS excluded</t>
        </is>
      </c>
      <c r="H60" t="inlineStr">
        <is>
          <t>https://ntpctender.ntpc.co.in/NITDetails/NITs/29990</t>
        </is>
      </c>
    </row>
    <row r="61">
      <c r="B61" t="inlineStr">
        <is>
          <t>GRIDCO</t>
        </is>
      </c>
      <c r="C61" t="inlineStr">
        <is>
          <t>View Details Tender Document Addendum-I Pre-Bid Meeting Link Corrigendum-II Addendum-6 Odisha Floating Solar Data Room - Contents Addendum_09 Addendum</t>
        </is>
      </c>
      <c r="D61" t="inlineStr">
        <is>
          <t>Solar</t>
        </is>
      </c>
      <c r="F61" t="inlineStr">
        <is>
          <t>Corrigendum</t>
        </is>
      </c>
      <c r="G61" t="inlineStr">
        <is>
          <t>Capacity not confirmed</t>
        </is>
      </c>
      <c r="H61" t="inlineStr">
        <is>
          <t>https://www.gridco.co.in/writereaddata/Tenders/301225101225upload.pdf</t>
        </is>
      </c>
    </row>
    <row r="62">
      <c r="B62" t="inlineStr">
        <is>
          <t>GRIDCO</t>
        </is>
      </c>
      <c r="C62" t="inlineStr">
        <is>
          <t>Addendum-6 Odisha Floating Solar Data Room - Contents</t>
        </is>
      </c>
      <c r="D62" t="inlineStr">
        <is>
          <t>Solar</t>
        </is>
      </c>
      <c r="F62" t="inlineStr">
        <is>
          <t>Open</t>
        </is>
      </c>
      <c r="G62" t="inlineStr">
        <is>
          <t>Capacity not confirmed</t>
        </is>
      </c>
      <c r="H62" t="inlineStr">
        <is>
          <t>https://www.gridco.co.in/writereaddata/Tenders/301126051106Addendum-6_Odisha Floating Solar Data room - Contents.pdf</t>
        </is>
      </c>
    </row>
    <row r="63">
      <c r="A63" t="inlineStr">
        <is>
          <t>SECI000252</t>
        </is>
      </c>
      <c r="B63" t="inlineStr">
        <is>
          <t>SECI</t>
        </is>
      </c>
      <c r="C63" t="inlineStr">
        <is>
          <t>SECI/C&amp;P/OP/11/0001/26-27</t>
        </is>
      </c>
      <c r="D63" t="inlineStr">
        <is>
          <t>Solar</t>
        </is>
      </c>
      <c r="E63" t="n">
        <v>88</v>
      </c>
      <c r="F63" t="inlineStr">
        <is>
          <t>Open</t>
        </is>
      </c>
      <c r="G63" t="inlineStr">
        <is>
          <t>EPC / turnkey / BoS excluded</t>
        </is>
      </c>
      <c r="H63" t="inlineStr">
        <is>
          <t>https://www.seci.co.in/tender-details/Ymd1</t>
        </is>
      </c>
    </row>
    <row r="64">
      <c r="A64" t="inlineStr">
        <is>
          <t>SECI000267</t>
        </is>
      </c>
      <c r="B64" t="inlineStr">
        <is>
          <t>SECI</t>
        </is>
      </c>
      <c r="C64" t="inlineStr">
        <is>
          <t>SECI/C&amp;P/MI/00/0001/26-27</t>
        </is>
      </c>
      <c r="D64" t="inlineStr">
        <is>
          <t>Other</t>
        </is>
      </c>
      <c r="F64" t="inlineStr">
        <is>
          <t>Open</t>
        </is>
      </c>
      <c r="G64" t="inlineStr">
        <is>
          <t>Capacity not confirmed</t>
        </is>
      </c>
      <c r="H64" t="inlineStr">
        <is>
          <t>https://www.seci.co.in/tender-details/YmRw</t>
        </is>
      </c>
    </row>
    <row r="65">
      <c r="A65" t="inlineStr">
        <is>
          <t>SECI000265</t>
        </is>
      </c>
      <c r="B65" t="inlineStr">
        <is>
          <t>SECI</t>
        </is>
      </c>
      <c r="C65" t="inlineStr">
        <is>
          <t>SECI/C&amp;P/IPP/11/0007/26-27</t>
        </is>
      </c>
      <c r="D65" t="inlineStr">
        <is>
          <t>Solar</t>
        </is>
      </c>
      <c r="F65" t="inlineStr">
        <is>
          <t>Open</t>
        </is>
      </c>
      <c r="G65" t="inlineStr">
        <is>
          <t>Rooftop solar excluded</t>
        </is>
      </c>
      <c r="H65" t="inlineStr">
        <is>
          <t>https://www.seci.co.in/tender-details/YmRy</t>
        </is>
      </c>
    </row>
    <row r="66">
      <c r="A66" t="inlineStr">
        <is>
          <t>SECI000269</t>
        </is>
      </c>
      <c r="B66" t="inlineStr">
        <is>
          <t>SECI</t>
        </is>
      </c>
      <c r="C66" t="inlineStr">
        <is>
          <t>SECI000269</t>
        </is>
      </c>
      <c r="D66" t="inlineStr">
        <is>
          <t>BESS</t>
        </is>
      </c>
      <c r="E66" t="n">
        <v>40</v>
      </c>
      <c r="F66" t="inlineStr">
        <is>
          <t>Open</t>
        </is>
      </c>
      <c r="G66" t="inlineStr">
        <is>
          <t>Capacity below configured minimum</t>
        </is>
      </c>
      <c r="H66" t="inlineStr">
        <is>
          <t>https://www.seci.co.in/tender-details/YmR-</t>
        </is>
      </c>
    </row>
    <row r="67">
      <c r="A67" t="inlineStr">
        <is>
          <t>SECI000264</t>
        </is>
      </c>
      <c r="B67" t="inlineStr">
        <is>
          <t>SECI</t>
        </is>
      </c>
      <c r="C67" t="inlineStr">
        <is>
          <t>SECI/C&amp;P/EOI/17/0002/26-27</t>
        </is>
      </c>
      <c r="D67" t="inlineStr">
        <is>
          <t>Other</t>
        </is>
      </c>
      <c r="F67" t="inlineStr">
        <is>
          <t>Open</t>
        </is>
      </c>
      <c r="G67" t="inlineStr">
        <is>
          <t>Capacity not confirmed</t>
        </is>
      </c>
      <c r="H67" t="inlineStr">
        <is>
          <t>https://www.seci.co.in/tender-details/YmRz</t>
        </is>
      </c>
    </row>
    <row r="68">
      <c r="A68" t="inlineStr">
        <is>
          <t>SECI000263</t>
        </is>
      </c>
      <c r="B68" t="inlineStr">
        <is>
          <t>SECI</t>
        </is>
      </c>
      <c r="C68" t="inlineStr">
        <is>
          <t>SECI/C&amp;P/OP/11/0003/26-27</t>
        </is>
      </c>
      <c r="D68" t="inlineStr">
        <is>
          <t>Wind</t>
        </is>
      </c>
      <c r="E68" t="n">
        <v>45.6</v>
      </c>
      <c r="F68" t="inlineStr">
        <is>
          <t>Open</t>
        </is>
      </c>
      <c r="G68" t="inlineStr">
        <is>
          <t>Capacity below configured minimum</t>
        </is>
      </c>
      <c r="H68" t="inlineStr">
        <is>
          <t>https://www.seci.co.in/tender-details/YmR0</t>
        </is>
      </c>
    </row>
    <row r="69">
      <c r="A69" t="inlineStr">
        <is>
          <t>SECI000262</t>
        </is>
      </c>
      <c r="B69" t="inlineStr">
        <is>
          <t>SECI</t>
        </is>
      </c>
      <c r="C69" t="inlineStr">
        <is>
          <t>SECI/C&amp;P/OP/11/0002/26-27</t>
        </is>
      </c>
      <c r="D69" t="inlineStr">
        <is>
          <t>Solar + BESS</t>
        </is>
      </c>
      <c r="E69" t="n">
        <v>25</v>
      </c>
      <c r="F69" t="inlineStr">
        <is>
          <t>Open</t>
        </is>
      </c>
      <c r="G69" t="inlineStr">
        <is>
          <t>Capacity below configured minimum</t>
        </is>
      </c>
      <c r="H69" t="inlineStr">
        <is>
          <t>https://www.seci.co.in/tender-details/YmR1</t>
        </is>
      </c>
    </row>
    <row r="70">
      <c r="B70" t="inlineStr">
        <is>
          <t>NTPC REL</t>
        </is>
      </c>
      <c r="D70" t="inlineStr">
        <is>
          <t>Wind</t>
        </is>
      </c>
      <c r="E70" t="n">
        <v>813</v>
      </c>
      <c r="F70" t="inlineStr">
        <is>
          <t>Corrigendum</t>
        </is>
      </c>
      <c r="G70" t="inlineStr">
        <is>
          <t>Supply / installation excluded</t>
        </is>
      </c>
      <c r="H70" t="inlineStr">
        <is>
          <t>https://ntpctender.ntpc.co.in/NITDetails/NITs/29985</t>
        </is>
      </c>
    </row>
    <row r="71">
      <c r="B71" t="inlineStr">
        <is>
          <t>GRIDCO</t>
        </is>
      </c>
      <c r="C71" t="inlineStr">
        <is>
          <t>View Details Tender Document Addendum-I Pre-Bid Meeting Link Corrigendum-II Addendum-6 Odisha Floating Solar Data Room - Contents Addendum_09 Addendum</t>
        </is>
      </c>
      <c r="D71" t="inlineStr">
        <is>
          <t>Solar</t>
        </is>
      </c>
      <c r="F71" t="inlineStr">
        <is>
          <t>Corrigendum</t>
        </is>
      </c>
      <c r="G71" t="inlineStr">
        <is>
          <t>Capacity not confirmed</t>
        </is>
      </c>
      <c r="H71" t="inlineStr">
        <is>
          <t>https://www.gridco.co.in/writereaddata/Tenders/301225101225upload.pdf</t>
        </is>
      </c>
    </row>
    <row r="72">
      <c r="B72" t="inlineStr">
        <is>
          <t>GRIDCO</t>
        </is>
      </c>
      <c r="C72" t="inlineStr">
        <is>
          <t>Addendum-6 Odisha Floating Solar Data Room - Contents</t>
        </is>
      </c>
      <c r="D72" t="inlineStr">
        <is>
          <t>Solar</t>
        </is>
      </c>
      <c r="F72" t="inlineStr">
        <is>
          <t>Open</t>
        </is>
      </c>
      <c r="G72" t="inlineStr">
        <is>
          <t>Capacity not confirmed</t>
        </is>
      </c>
      <c r="H72" t="inlineStr">
        <is>
          <t>https://www.gridco.co.in/writereaddata/Tenders/301126051106Addendum-6_Odisha Floating Solar Data room - Contents.pdf</t>
        </is>
      </c>
    </row>
    <row r="73">
      <c r="A73" t="inlineStr">
        <is>
          <t>SECI000270</t>
        </is>
      </c>
      <c r="B73" t="inlineStr">
        <is>
          <t>SECI</t>
        </is>
      </c>
      <c r="C73" t="inlineStr">
        <is>
          <t>SECI/C&amp;P/OP/15/0005/26-27</t>
        </is>
      </c>
      <c r="D73" t="inlineStr">
        <is>
          <t>Solar</t>
        </is>
      </c>
      <c r="F73" t="inlineStr">
        <is>
          <t>Open</t>
        </is>
      </c>
      <c r="G73" t="inlineStr">
        <is>
          <t>Rooftop solar excluded</t>
        </is>
      </c>
      <c r="H73" t="inlineStr">
        <is>
          <t>https://www.seci.co.in/tender-details/YmV3</t>
        </is>
      </c>
    </row>
    <row r="74">
      <c r="A74" t="inlineStr">
        <is>
          <t>SECI000252</t>
        </is>
      </c>
      <c r="B74" t="inlineStr">
        <is>
          <t>SECI</t>
        </is>
      </c>
      <c r="C74" t="inlineStr">
        <is>
          <t>SECI/C&amp;P/OP/11/0001/26-27</t>
        </is>
      </c>
      <c r="D74" t="inlineStr">
        <is>
          <t>Solar</t>
        </is>
      </c>
      <c r="E74" t="n">
        <v>88</v>
      </c>
      <c r="F74" t="inlineStr">
        <is>
          <t>Open</t>
        </is>
      </c>
      <c r="G74" t="inlineStr">
        <is>
          <t>EPC / turnkey / BoS excluded</t>
        </is>
      </c>
      <c r="H74" t="inlineStr">
        <is>
          <t>https://www.seci.co.in/tender-details/Ymd1</t>
        </is>
      </c>
    </row>
    <row r="75">
      <c r="A75" t="inlineStr">
        <is>
          <t>SECI000267</t>
        </is>
      </c>
      <c r="B75" t="inlineStr">
        <is>
          <t>SECI</t>
        </is>
      </c>
      <c r="C75" t="inlineStr">
        <is>
          <t>SECI/C&amp;P/MI/00/0001/26-27</t>
        </is>
      </c>
      <c r="D75" t="inlineStr">
        <is>
          <t>Other</t>
        </is>
      </c>
      <c r="F75" t="inlineStr">
        <is>
          <t>Open</t>
        </is>
      </c>
      <c r="G75" t="inlineStr">
        <is>
          <t>Capacity not confirmed</t>
        </is>
      </c>
      <c r="H75" t="inlineStr">
        <is>
          <t>https://www.seci.co.in/tender-details/YmRw</t>
        </is>
      </c>
    </row>
    <row r="76">
      <c r="A76" t="inlineStr">
        <is>
          <t>SECI000265</t>
        </is>
      </c>
      <c r="B76" t="inlineStr">
        <is>
          <t>SECI</t>
        </is>
      </c>
      <c r="C76" t="inlineStr">
        <is>
          <t>SECI/C&amp;P/IPP/11/0007/26-27</t>
        </is>
      </c>
      <c r="D76" t="inlineStr">
        <is>
          <t>Solar</t>
        </is>
      </c>
      <c r="F76" t="inlineStr">
        <is>
          <t>Open</t>
        </is>
      </c>
      <c r="G76" t="inlineStr">
        <is>
          <t>Rooftop solar excluded</t>
        </is>
      </c>
      <c r="H76" t="inlineStr">
        <is>
          <t>https://www.seci.co.in/tender-details/YmRy</t>
        </is>
      </c>
    </row>
    <row r="77">
      <c r="A77" t="inlineStr">
        <is>
          <t>SECI000269</t>
        </is>
      </c>
      <c r="B77" t="inlineStr">
        <is>
          <t>SECI</t>
        </is>
      </c>
      <c r="C77" t="inlineStr">
        <is>
          <t>SECI000269</t>
        </is>
      </c>
      <c r="D77" t="inlineStr">
        <is>
          <t>BESS</t>
        </is>
      </c>
      <c r="E77" t="n">
        <v>40</v>
      </c>
      <c r="F77" t="inlineStr">
        <is>
          <t>Open</t>
        </is>
      </c>
      <c r="G77" t="inlineStr">
        <is>
          <t>Capacity below configured minimum</t>
        </is>
      </c>
      <c r="H77" t="inlineStr">
        <is>
          <t>https://www.seci.co.in/tender-details/YmR-</t>
        </is>
      </c>
    </row>
    <row r="78">
      <c r="A78" t="inlineStr">
        <is>
          <t>SECI000262</t>
        </is>
      </c>
      <c r="B78" t="inlineStr">
        <is>
          <t>SECI</t>
        </is>
      </c>
      <c r="C78" t="inlineStr">
        <is>
          <t>SECI/C&amp;P/OP/11/0002/26-27</t>
        </is>
      </c>
      <c r="D78" t="inlineStr">
        <is>
          <t>Solar + BESS</t>
        </is>
      </c>
      <c r="E78" t="n">
        <v>25</v>
      </c>
      <c r="F78" t="inlineStr">
        <is>
          <t>Open</t>
        </is>
      </c>
      <c r="G78" t="inlineStr">
        <is>
          <t>Capacity below configured minimum</t>
        </is>
      </c>
      <c r="H78" t="inlineStr">
        <is>
          <t>https://www.seci.co.in/tender-details/YmR1</t>
        </is>
      </c>
    </row>
    <row r="79">
      <c r="A79" t="inlineStr">
        <is>
          <t>SECI000264</t>
        </is>
      </c>
      <c r="B79" t="inlineStr">
        <is>
          <t>SECI</t>
        </is>
      </c>
      <c r="C79" t="inlineStr">
        <is>
          <t>SECI/C&amp;P/EOI/17/0002/26-27</t>
        </is>
      </c>
      <c r="D79" t="inlineStr">
        <is>
          <t>Other</t>
        </is>
      </c>
      <c r="F79" t="inlineStr">
        <is>
          <t>Open</t>
        </is>
      </c>
      <c r="G79" t="inlineStr">
        <is>
          <t>Capacity not confirmed</t>
        </is>
      </c>
      <c r="H79" t="inlineStr">
        <is>
          <t>https://www.seci.co.in/tender-details/YmRz</t>
        </is>
      </c>
    </row>
    <row r="80">
      <c r="A80" t="inlineStr">
        <is>
          <t>SECI000263</t>
        </is>
      </c>
      <c r="B80" t="inlineStr">
        <is>
          <t>SECI</t>
        </is>
      </c>
      <c r="C80" t="inlineStr">
        <is>
          <t>SECI/C&amp;P/OP/11/0003/26-27</t>
        </is>
      </c>
      <c r="D80" t="inlineStr">
        <is>
          <t>Wind</t>
        </is>
      </c>
      <c r="E80" t="n">
        <v>45.6</v>
      </c>
      <c r="F80" t="inlineStr">
        <is>
          <t>Open</t>
        </is>
      </c>
      <c r="G80" t="inlineStr">
        <is>
          <t>Capacity below configured minimum</t>
        </is>
      </c>
      <c r="H80" t="inlineStr">
        <is>
          <t>https://www.seci.co.in/tender-details/YmR0</t>
        </is>
      </c>
    </row>
    <row r="81">
      <c r="B81" t="inlineStr">
        <is>
          <t>NTPC REL</t>
        </is>
      </c>
      <c r="D81" t="inlineStr">
        <is>
          <t>Wind</t>
        </is>
      </c>
      <c r="E81" t="n">
        <v>813</v>
      </c>
      <c r="F81" t="inlineStr">
        <is>
          <t>Corrigendum</t>
        </is>
      </c>
      <c r="G81" t="inlineStr">
        <is>
          <t>Supply / installation excluded</t>
        </is>
      </c>
      <c r="H81" t="inlineStr">
        <is>
          <t>https://ntpctender.ntpc.co.in/NITDetails/NITs/29985</t>
        </is>
      </c>
    </row>
    <row r="82">
      <c r="B82" t="inlineStr">
        <is>
          <t>GRIDCO</t>
        </is>
      </c>
      <c r="C82" t="inlineStr">
        <is>
          <t>View Details Tender Document Addendum-I Pre-Bid Meeting Link Corrigendum-II Addendum-6 Odisha Floating Solar Data Room - Contents Addendum_09 Addendum</t>
        </is>
      </c>
      <c r="D82" t="inlineStr">
        <is>
          <t>Solar</t>
        </is>
      </c>
      <c r="F82" t="inlineStr">
        <is>
          <t>Corrigendum</t>
        </is>
      </c>
      <c r="G82" t="inlineStr">
        <is>
          <t>Capacity not confirmed</t>
        </is>
      </c>
      <c r="H82" t="inlineStr">
        <is>
          <t>https://www.gridco.co.in/writereaddata/Tenders/301225101225upload.pdf</t>
        </is>
      </c>
    </row>
    <row r="83">
      <c r="B83" t="inlineStr">
        <is>
          <t>GRIDCO</t>
        </is>
      </c>
      <c r="C83" t="inlineStr">
        <is>
          <t>Addendum-6 Odisha Floating Solar Data Room - Contents</t>
        </is>
      </c>
      <c r="D83" t="inlineStr">
        <is>
          <t>Solar</t>
        </is>
      </c>
      <c r="F83" t="inlineStr">
        <is>
          <t>Open</t>
        </is>
      </c>
      <c r="G83" t="inlineStr">
        <is>
          <t>Capacity not confirmed</t>
        </is>
      </c>
      <c r="H83" t="inlineStr">
        <is>
          <t>https://www.gridco.co.in/writereaddata/Tenders/301126051106Addendum-6_Odisha Floating Solar Data room - Contents.pdf</t>
        </is>
      </c>
    </row>
    <row r="84">
      <c r="A84" t="inlineStr">
        <is>
          <t>SECI000258</t>
        </is>
      </c>
      <c r="B84" t="inlineStr">
        <is>
          <t>SECI</t>
        </is>
      </c>
      <c r="C84" t="inlineStr">
        <is>
          <t>SECI/C&amp;P/IPP/13/0006/26-27</t>
        </is>
      </c>
      <c r="D84" t="inlineStr">
        <is>
          <t>FDRE</t>
        </is>
      </c>
      <c r="E84" t="n">
        <v>1500</v>
      </c>
      <c r="F84" t="inlineStr">
        <is>
          <t>Open</t>
        </is>
      </c>
      <c r="G84" t="inlineStr">
        <is>
          <t>Deadline expired without verified extension</t>
        </is>
      </c>
      <c r="H84" t="inlineStr">
        <is>
          <t>https://www.seci.co.in/tender-details/Ymd_</t>
        </is>
      </c>
    </row>
    <row r="85">
      <c r="A85" t="inlineStr">
        <is>
          <t>SECI000270</t>
        </is>
      </c>
      <c r="B85" t="inlineStr">
        <is>
          <t>SECI</t>
        </is>
      </c>
      <c r="C85" t="inlineStr">
        <is>
          <t>SECI/C&amp;P/OP/15/0005/26-27</t>
        </is>
      </c>
      <c r="D85" t="inlineStr">
        <is>
          <t>Solar</t>
        </is>
      </c>
      <c r="F85" t="inlineStr">
        <is>
          <t>Open</t>
        </is>
      </c>
      <c r="G85" t="inlineStr">
        <is>
          <t>Rooftop solar excluded</t>
        </is>
      </c>
      <c r="H85" t="inlineStr">
        <is>
          <t>https://www.seci.co.in/tender-details/YmV3</t>
        </is>
      </c>
    </row>
    <row r="86">
      <c r="A86" t="inlineStr">
        <is>
          <t>SECI000252</t>
        </is>
      </c>
      <c r="B86" t="inlineStr">
        <is>
          <t>SECI</t>
        </is>
      </c>
      <c r="C86" t="inlineStr">
        <is>
          <t>SECI/C&amp;P/OP/11/0001/26-27</t>
        </is>
      </c>
      <c r="D86" t="inlineStr">
        <is>
          <t>Solar</t>
        </is>
      </c>
      <c r="E86" t="n">
        <v>88</v>
      </c>
      <c r="F86" t="inlineStr">
        <is>
          <t>Open</t>
        </is>
      </c>
      <c r="G86" t="inlineStr">
        <is>
          <t>EPC / turnkey / BoS excluded</t>
        </is>
      </c>
      <c r="H86" t="inlineStr">
        <is>
          <t>https://www.seci.co.in/tender-details/Ymd1</t>
        </is>
      </c>
    </row>
    <row r="87">
      <c r="A87" t="inlineStr">
        <is>
          <t>SECI000267</t>
        </is>
      </c>
      <c r="B87" t="inlineStr">
        <is>
          <t>SECI</t>
        </is>
      </c>
      <c r="C87" t="inlineStr">
        <is>
          <t>SECI/C&amp;P/MI/00/0001/26-27</t>
        </is>
      </c>
      <c r="D87" t="inlineStr">
        <is>
          <t>Other</t>
        </is>
      </c>
      <c r="F87" t="inlineStr">
        <is>
          <t>Open</t>
        </is>
      </c>
      <c r="G87" t="inlineStr">
        <is>
          <t>Capacity not confirmed</t>
        </is>
      </c>
      <c r="H87" t="inlineStr">
        <is>
          <t>https://www.seci.co.in/tender-details/YmRw</t>
        </is>
      </c>
    </row>
    <row r="88">
      <c r="A88" t="inlineStr">
        <is>
          <t>SECI000265</t>
        </is>
      </c>
      <c r="B88" t="inlineStr">
        <is>
          <t>SECI</t>
        </is>
      </c>
      <c r="C88" t="inlineStr">
        <is>
          <t>SECI/C&amp;P/IPP/11/0007/26-27</t>
        </is>
      </c>
      <c r="D88" t="inlineStr">
        <is>
          <t>Solar</t>
        </is>
      </c>
      <c r="F88" t="inlineStr">
        <is>
          <t>Open</t>
        </is>
      </c>
      <c r="G88" t="inlineStr">
        <is>
          <t>Rooftop solar excluded</t>
        </is>
      </c>
      <c r="H88" t="inlineStr">
        <is>
          <t>https://www.seci.co.in/tender-details/YmRy</t>
        </is>
      </c>
    </row>
    <row r="89">
      <c r="A89" t="inlineStr">
        <is>
          <t>SECI000269</t>
        </is>
      </c>
      <c r="B89" t="inlineStr">
        <is>
          <t>SECI</t>
        </is>
      </c>
      <c r="C89" t="inlineStr">
        <is>
          <t>SECI000269</t>
        </is>
      </c>
      <c r="D89" t="inlineStr">
        <is>
          <t>BESS</t>
        </is>
      </c>
      <c r="E89" t="n">
        <v>40</v>
      </c>
      <c r="F89" t="inlineStr">
        <is>
          <t>Open</t>
        </is>
      </c>
      <c r="G89" t="inlineStr">
        <is>
          <t>Capacity below configured minimum</t>
        </is>
      </c>
      <c r="H89" t="inlineStr">
        <is>
          <t>https://www.seci.co.in/tender-details/YmR-</t>
        </is>
      </c>
    </row>
    <row r="90">
      <c r="A90" t="inlineStr">
        <is>
          <t>SECI000262</t>
        </is>
      </c>
      <c r="B90" t="inlineStr">
        <is>
          <t>SECI</t>
        </is>
      </c>
      <c r="C90" t="inlineStr">
        <is>
          <t>SECI/C&amp;P/OP/11/0002/26-27</t>
        </is>
      </c>
      <c r="D90" t="inlineStr">
        <is>
          <t>Solar + BESS</t>
        </is>
      </c>
      <c r="E90" t="n">
        <v>25</v>
      </c>
      <c r="F90" t="inlineStr">
        <is>
          <t>Open</t>
        </is>
      </c>
      <c r="G90" t="inlineStr">
        <is>
          <t>Capacity below configured minimum</t>
        </is>
      </c>
      <c r="H90" t="inlineStr">
        <is>
          <t>https://www.seci.co.in/tender-details/YmR1</t>
        </is>
      </c>
    </row>
    <row r="91">
      <c r="A91" t="inlineStr">
        <is>
          <t>SECI000264</t>
        </is>
      </c>
      <c r="B91" t="inlineStr">
        <is>
          <t>SECI</t>
        </is>
      </c>
      <c r="C91" t="inlineStr">
        <is>
          <t>SECI/C&amp;P/EOI/17/0002/26-27</t>
        </is>
      </c>
      <c r="D91" t="inlineStr">
        <is>
          <t>Other</t>
        </is>
      </c>
      <c r="F91" t="inlineStr">
        <is>
          <t>Open</t>
        </is>
      </c>
      <c r="G91" t="inlineStr">
        <is>
          <t>Capacity not confirmed</t>
        </is>
      </c>
      <c r="H91" t="inlineStr">
        <is>
          <t>https://www.seci.co.in/tender-details/YmRz</t>
        </is>
      </c>
    </row>
    <row r="92">
      <c r="A92" t="inlineStr">
        <is>
          <t>SECI000263</t>
        </is>
      </c>
      <c r="B92" t="inlineStr">
        <is>
          <t>SECI</t>
        </is>
      </c>
      <c r="C92" t="inlineStr">
        <is>
          <t>SECI/C&amp;P/OP/11/0003/26-27</t>
        </is>
      </c>
      <c r="D92" t="inlineStr">
        <is>
          <t>Wind</t>
        </is>
      </c>
      <c r="E92" t="n">
        <v>45.6</v>
      </c>
      <c r="F92" t="inlineStr">
        <is>
          <t>Open</t>
        </is>
      </c>
      <c r="G92" t="inlineStr">
        <is>
          <t>Capacity below configured minimum</t>
        </is>
      </c>
      <c r="H92" t="inlineStr">
        <is>
          <t>https://www.seci.co.in/tender-details/YmR0</t>
        </is>
      </c>
    </row>
    <row r="93">
      <c r="B93" t="inlineStr">
        <is>
          <t>NTPC REL</t>
        </is>
      </c>
      <c r="D93" t="inlineStr">
        <is>
          <t>Wind</t>
        </is>
      </c>
      <c r="E93" t="n">
        <v>813</v>
      </c>
      <c r="F93" t="inlineStr">
        <is>
          <t>Corrigendum</t>
        </is>
      </c>
      <c r="G93" t="inlineStr">
        <is>
          <t>Supply / installation excluded</t>
        </is>
      </c>
      <c r="H93" t="inlineStr">
        <is>
          <t>https://ntpctender.ntpc.co.in/NITDetails/NITs/29985</t>
        </is>
      </c>
    </row>
    <row r="94">
      <c r="B94" t="inlineStr">
        <is>
          <t>GRIDCO</t>
        </is>
      </c>
      <c r="C94" t="inlineStr">
        <is>
          <t>View Details Tender Document Addendum-I Pre-Bid Meeting Link Corrigendum-II Addendum-6 Odisha Floating Solar Data Room - Contents Addendum_09 Addendum</t>
        </is>
      </c>
      <c r="D94" t="inlineStr">
        <is>
          <t>Solar</t>
        </is>
      </c>
      <c r="F94" t="inlineStr">
        <is>
          <t>Corrigendum</t>
        </is>
      </c>
      <c r="G94" t="inlineStr">
        <is>
          <t>Capacity not confirmed</t>
        </is>
      </c>
      <c r="H94" t="inlineStr">
        <is>
          <t>https://www.gridco.co.in/writereaddata/Tenders/301225101225upload.pdf</t>
        </is>
      </c>
    </row>
    <row r="95">
      <c r="B95" t="inlineStr">
        <is>
          <t>GRIDCO</t>
        </is>
      </c>
      <c r="C95" t="inlineStr">
        <is>
          <t>Addendum-6 Odisha Floating Solar Data Room - Contents</t>
        </is>
      </c>
      <c r="D95" t="inlineStr">
        <is>
          <t>Solar</t>
        </is>
      </c>
      <c r="F95" t="inlineStr">
        <is>
          <t>Open</t>
        </is>
      </c>
      <c r="G95" t="inlineStr">
        <is>
          <t>Capacity not confirmed</t>
        </is>
      </c>
      <c r="H95" t="inlineStr">
        <is>
          <t>https://www.gridco.co.in/writereaddata/Tenders/301126051106Addendum-6_Odisha Floating Solar Data room - Contents.pdf</t>
        </is>
      </c>
    </row>
    <row r="96">
      <c r="A96" t="inlineStr">
        <is>
          <t>SECI000270</t>
        </is>
      </c>
      <c r="B96" t="inlineStr">
        <is>
          <t>SECI</t>
        </is>
      </c>
      <c r="C96" t="inlineStr">
        <is>
          <t>SECI/C&amp;P/OP/15/0005/26-27</t>
        </is>
      </c>
      <c r="D96" t="inlineStr">
        <is>
          <t>Solar</t>
        </is>
      </c>
      <c r="F96" t="inlineStr">
        <is>
          <t>Open</t>
        </is>
      </c>
      <c r="G96" t="inlineStr">
        <is>
          <t>Rooftop solar excluded</t>
        </is>
      </c>
      <c r="H96" t="inlineStr">
        <is>
          <t>https://www.seci.co.in/tender-details/YmV3</t>
        </is>
      </c>
    </row>
    <row r="97">
      <c r="A97" t="inlineStr">
        <is>
          <t>SECI000252</t>
        </is>
      </c>
      <c r="B97" t="inlineStr">
        <is>
          <t>SECI</t>
        </is>
      </c>
      <c r="C97" t="inlineStr">
        <is>
          <t>SECI/C&amp;P/OP/11/0001/26-27</t>
        </is>
      </c>
      <c r="D97" t="inlineStr">
        <is>
          <t>Solar</t>
        </is>
      </c>
      <c r="E97" t="n">
        <v>88</v>
      </c>
      <c r="F97" t="inlineStr">
        <is>
          <t>Open</t>
        </is>
      </c>
      <c r="G97" t="inlineStr">
        <is>
          <t>EPC / turnkey / BoS excluded</t>
        </is>
      </c>
      <c r="H97" t="inlineStr">
        <is>
          <t>https://www.seci.co.in/tender-details/Ymd1</t>
        </is>
      </c>
    </row>
    <row r="98">
      <c r="A98" t="inlineStr">
        <is>
          <t>SECI000267</t>
        </is>
      </c>
      <c r="B98" t="inlineStr">
        <is>
          <t>SECI</t>
        </is>
      </c>
      <c r="C98" t="inlineStr">
        <is>
          <t>SECI/C&amp;P/MI/00/0001/26-27</t>
        </is>
      </c>
      <c r="D98" t="inlineStr">
        <is>
          <t>Other</t>
        </is>
      </c>
      <c r="F98" t="inlineStr">
        <is>
          <t>Open</t>
        </is>
      </c>
      <c r="G98" t="inlineStr">
        <is>
          <t>Capacity not confirmed</t>
        </is>
      </c>
      <c r="H98" t="inlineStr">
        <is>
          <t>https://www.seci.co.in/tender-details/YmRw</t>
        </is>
      </c>
    </row>
    <row r="99">
      <c r="A99" t="inlineStr">
        <is>
          <t>SECI000265</t>
        </is>
      </c>
      <c r="B99" t="inlineStr">
        <is>
          <t>SECI</t>
        </is>
      </c>
      <c r="C99" t="inlineStr">
        <is>
          <t>SECI/C&amp;P/IPP/11/0007/26-27</t>
        </is>
      </c>
      <c r="D99" t="inlineStr">
        <is>
          <t>Solar</t>
        </is>
      </c>
      <c r="F99" t="inlineStr">
        <is>
          <t>Open</t>
        </is>
      </c>
      <c r="G99" t="inlineStr">
        <is>
          <t>Rooftop solar excluded</t>
        </is>
      </c>
      <c r="H99" t="inlineStr">
        <is>
          <t>https://www.seci.co.in/tender-details/YmRy</t>
        </is>
      </c>
    </row>
    <row r="100">
      <c r="A100" t="inlineStr">
        <is>
          <t>SECI000269</t>
        </is>
      </c>
      <c r="B100" t="inlineStr">
        <is>
          <t>SECI</t>
        </is>
      </c>
      <c r="C100" t="inlineStr">
        <is>
          <t>SECI000269</t>
        </is>
      </c>
      <c r="D100" t="inlineStr">
        <is>
          <t>BESS</t>
        </is>
      </c>
      <c r="E100" t="n">
        <v>40</v>
      </c>
      <c r="F100" t="inlineStr">
        <is>
          <t>Open</t>
        </is>
      </c>
      <c r="G100" t="inlineStr">
        <is>
          <t>Capacity below configured minimum</t>
        </is>
      </c>
      <c r="H100" t="inlineStr">
        <is>
          <t>https://www.seci.co.in/tender-details/YmR-</t>
        </is>
      </c>
    </row>
    <row r="101">
      <c r="A101" t="inlineStr">
        <is>
          <t>SECI000262</t>
        </is>
      </c>
      <c r="B101" t="inlineStr">
        <is>
          <t>SECI</t>
        </is>
      </c>
      <c r="C101" t="inlineStr">
        <is>
          <t>SECI/C&amp;P/OP/11/0002/26-27</t>
        </is>
      </c>
      <c r="D101" t="inlineStr">
        <is>
          <t>Solar + BESS</t>
        </is>
      </c>
      <c r="E101" t="n">
        <v>25</v>
      </c>
      <c r="F101" t="inlineStr">
        <is>
          <t>Open</t>
        </is>
      </c>
      <c r="G101" t="inlineStr">
        <is>
          <t>Capacity below configured minimum</t>
        </is>
      </c>
      <c r="H101" t="inlineStr">
        <is>
          <t>https://www.seci.co.in/tender-details/YmR1</t>
        </is>
      </c>
    </row>
    <row r="102">
      <c r="A102" t="inlineStr">
        <is>
          <t>SECI000264</t>
        </is>
      </c>
      <c r="B102" t="inlineStr">
        <is>
          <t>SECI</t>
        </is>
      </c>
      <c r="C102" t="inlineStr">
        <is>
          <t>SECI/C&amp;P/EOI/17/0002/26-27</t>
        </is>
      </c>
      <c r="D102" t="inlineStr">
        <is>
          <t>Other</t>
        </is>
      </c>
      <c r="F102" t="inlineStr">
        <is>
          <t>Open</t>
        </is>
      </c>
      <c r="G102" t="inlineStr">
        <is>
          <t>Capacity not confirmed</t>
        </is>
      </c>
      <c r="H102" t="inlineStr">
        <is>
          <t>https://www.seci.co.in/tender-details/YmRz</t>
        </is>
      </c>
    </row>
    <row r="103">
      <c r="A103" t="inlineStr">
        <is>
          <t>SECI000263</t>
        </is>
      </c>
      <c r="B103" t="inlineStr">
        <is>
          <t>SECI</t>
        </is>
      </c>
      <c r="C103" t="inlineStr">
        <is>
          <t>SECI/C&amp;P/OP/11/0003/26-27</t>
        </is>
      </c>
      <c r="D103" t="inlineStr">
        <is>
          <t>Wind</t>
        </is>
      </c>
      <c r="E103" t="n">
        <v>45.6</v>
      </c>
      <c r="F103" t="inlineStr">
        <is>
          <t>Open</t>
        </is>
      </c>
      <c r="G103" t="inlineStr">
        <is>
          <t>Capacity below configured minimum</t>
        </is>
      </c>
      <c r="H103" t="inlineStr">
        <is>
          <t>https://www.seci.co.in/tender-details/YmR0</t>
        </is>
      </c>
    </row>
    <row r="104">
      <c r="B104" t="inlineStr">
        <is>
          <t>NTPC REL</t>
        </is>
      </c>
      <c r="D104" t="inlineStr">
        <is>
          <t>Wind</t>
        </is>
      </c>
      <c r="E104" t="n">
        <v>813</v>
      </c>
      <c r="F104" t="inlineStr">
        <is>
          <t>Corrigendum</t>
        </is>
      </c>
      <c r="G104" t="inlineStr">
        <is>
          <t>Supply / installation excluded</t>
        </is>
      </c>
      <c r="H104" t="inlineStr">
        <is>
          <t>https://ntpctender.ntpc.co.in/NITDetails/NITs/29985</t>
        </is>
      </c>
    </row>
    <row r="105">
      <c r="B105" t="inlineStr">
        <is>
          <t>GRIDCO</t>
        </is>
      </c>
      <c r="C105" t="inlineStr">
        <is>
          <t>View Details Tender Document Addendum-I Pre-Bid Meeting Link Corrigendum-II Addendum-6 Odisha Floating Solar Data Room - Contents Addendum_09 Addendum</t>
        </is>
      </c>
      <c r="D105" t="inlineStr">
        <is>
          <t>Solar</t>
        </is>
      </c>
      <c r="F105" t="inlineStr">
        <is>
          <t>Corrigendum</t>
        </is>
      </c>
      <c r="G105" t="inlineStr">
        <is>
          <t>Capacity not confirmed</t>
        </is>
      </c>
      <c r="H105" t="inlineStr">
        <is>
          <t>https://www.gridco.co.in/writereaddata/Tenders/301225101225upload.pdf</t>
        </is>
      </c>
    </row>
    <row r="106">
      <c r="B106" t="inlineStr">
        <is>
          <t>GRIDCO</t>
        </is>
      </c>
      <c r="C106" t="inlineStr">
        <is>
          <t>Addendum-6 Odisha Floating Solar Data Room - Contents</t>
        </is>
      </c>
      <c r="D106" t="inlineStr">
        <is>
          <t>Solar</t>
        </is>
      </c>
      <c r="F106" t="inlineStr">
        <is>
          <t>Open</t>
        </is>
      </c>
      <c r="G106" t="inlineStr">
        <is>
          <t>Capacity not confirmed</t>
        </is>
      </c>
      <c r="H106" t="inlineStr">
        <is>
          <t>https://www.gridco.co.in/writereaddata/Tenders/301126051106Addendum-6_Odisha Floating Solar Data room - Contents.pdf</t>
        </is>
      </c>
    </row>
    <row r="107">
      <c r="A107" t="inlineStr">
        <is>
          <t>SECI000270</t>
        </is>
      </c>
      <c r="B107" t="inlineStr">
        <is>
          <t>SECI</t>
        </is>
      </c>
      <c r="C107" t="inlineStr">
        <is>
          <t>SECI/C&amp;P/OP/15/0005/26-27</t>
        </is>
      </c>
      <c r="D107" t="inlineStr">
        <is>
          <t>Solar</t>
        </is>
      </c>
      <c r="F107" t="inlineStr">
        <is>
          <t>Open</t>
        </is>
      </c>
      <c r="G107" t="inlineStr">
        <is>
          <t>Rooftop solar excluded</t>
        </is>
      </c>
      <c r="H107" t="inlineStr">
        <is>
          <t>https://www.seci.co.in/tender-details/YmV3</t>
        </is>
      </c>
    </row>
    <row r="108">
      <c r="A108" t="inlineStr">
        <is>
          <t>SECI000252</t>
        </is>
      </c>
      <c r="B108" t="inlineStr">
        <is>
          <t>SECI</t>
        </is>
      </c>
      <c r="C108" t="inlineStr">
        <is>
          <t>SECI/C&amp;P/OP/11/0001/26-27</t>
        </is>
      </c>
      <c r="D108" t="inlineStr">
        <is>
          <t>Solar</t>
        </is>
      </c>
      <c r="E108" t="n">
        <v>88</v>
      </c>
      <c r="F108" t="inlineStr">
        <is>
          <t>Open</t>
        </is>
      </c>
      <c r="G108" t="inlineStr">
        <is>
          <t>EPC / turnkey / BoS excluded</t>
        </is>
      </c>
      <c r="H108" t="inlineStr">
        <is>
          <t>https://www.seci.co.in/tender-details/Ymd1</t>
        </is>
      </c>
    </row>
    <row r="109">
      <c r="A109" t="inlineStr">
        <is>
          <t>SECI000267</t>
        </is>
      </c>
      <c r="B109" t="inlineStr">
        <is>
          <t>SECI</t>
        </is>
      </c>
      <c r="C109" t="inlineStr">
        <is>
          <t>SECI/C&amp;P/MI/00/0001/26-27</t>
        </is>
      </c>
      <c r="D109" t="inlineStr">
        <is>
          <t>Other</t>
        </is>
      </c>
      <c r="F109" t="inlineStr">
        <is>
          <t>Open</t>
        </is>
      </c>
      <c r="G109" t="inlineStr">
        <is>
          <t>Capacity not confirmed</t>
        </is>
      </c>
      <c r="H109" t="inlineStr">
        <is>
          <t>https://www.seci.co.in/tender-details/YmRw</t>
        </is>
      </c>
    </row>
    <row r="110">
      <c r="A110" t="inlineStr">
        <is>
          <t>SECI000265</t>
        </is>
      </c>
      <c r="B110" t="inlineStr">
        <is>
          <t>SECI</t>
        </is>
      </c>
      <c r="C110" t="inlineStr">
        <is>
          <t>SECI/C&amp;P/IPP/11/0007/26-27</t>
        </is>
      </c>
      <c r="D110" t="inlineStr">
        <is>
          <t>Solar</t>
        </is>
      </c>
      <c r="F110" t="inlineStr">
        <is>
          <t>Open</t>
        </is>
      </c>
      <c r="G110" t="inlineStr">
        <is>
          <t>Rooftop solar excluded</t>
        </is>
      </c>
      <c r="H110" t="inlineStr">
        <is>
          <t>https://www.seci.co.in/tender-details/YmRy</t>
        </is>
      </c>
    </row>
    <row r="111">
      <c r="A111" t="inlineStr">
        <is>
          <t>SECI000269</t>
        </is>
      </c>
      <c r="B111" t="inlineStr">
        <is>
          <t>SECI</t>
        </is>
      </c>
      <c r="C111" t="inlineStr">
        <is>
          <t>SECI000269</t>
        </is>
      </c>
      <c r="D111" t="inlineStr">
        <is>
          <t>BESS</t>
        </is>
      </c>
      <c r="E111" t="n">
        <v>40</v>
      </c>
      <c r="F111" t="inlineStr">
        <is>
          <t>Open</t>
        </is>
      </c>
      <c r="G111" t="inlineStr">
        <is>
          <t>Capacity below configured minimum</t>
        </is>
      </c>
      <c r="H111" t="inlineStr">
        <is>
          <t>https://www.seci.co.in/tender-details/YmR-</t>
        </is>
      </c>
    </row>
    <row r="112">
      <c r="A112" t="inlineStr">
        <is>
          <t>SECI000262</t>
        </is>
      </c>
      <c r="B112" t="inlineStr">
        <is>
          <t>SECI</t>
        </is>
      </c>
      <c r="C112" t="inlineStr">
        <is>
          <t>SECI/C&amp;P/OP/11/0002/26-27</t>
        </is>
      </c>
      <c r="D112" t="inlineStr">
        <is>
          <t>Solar + BESS</t>
        </is>
      </c>
      <c r="E112" t="n">
        <v>25</v>
      </c>
      <c r="F112" t="inlineStr">
        <is>
          <t>Open</t>
        </is>
      </c>
      <c r="G112" t="inlineStr">
        <is>
          <t>Capacity below configured minimum</t>
        </is>
      </c>
      <c r="H112" t="inlineStr">
        <is>
          <t>https://www.seci.co.in/tender-details/YmR1</t>
        </is>
      </c>
    </row>
    <row r="113">
      <c r="A113" t="inlineStr">
        <is>
          <t>SECI000264</t>
        </is>
      </c>
      <c r="B113" t="inlineStr">
        <is>
          <t>SECI</t>
        </is>
      </c>
      <c r="C113" t="inlineStr">
        <is>
          <t>SECI/C&amp;P/EOI/17/0002/26-27</t>
        </is>
      </c>
      <c r="D113" t="inlineStr">
        <is>
          <t>Other</t>
        </is>
      </c>
      <c r="F113" t="inlineStr">
        <is>
          <t>Open</t>
        </is>
      </c>
      <c r="G113" t="inlineStr">
        <is>
          <t>Capacity not confirmed</t>
        </is>
      </c>
      <c r="H113" t="inlineStr">
        <is>
          <t>https://www.seci.co.in/tender-details/YmRz</t>
        </is>
      </c>
    </row>
    <row r="114">
      <c r="A114" t="inlineStr">
        <is>
          <t>SECI000263</t>
        </is>
      </c>
      <c r="B114" t="inlineStr">
        <is>
          <t>SECI</t>
        </is>
      </c>
      <c r="C114" t="inlineStr">
        <is>
          <t>SECI/C&amp;P/OP/11/0003/26-27</t>
        </is>
      </c>
      <c r="D114" t="inlineStr">
        <is>
          <t>Wind</t>
        </is>
      </c>
      <c r="E114" t="n">
        <v>45.6</v>
      </c>
      <c r="F114" t="inlineStr">
        <is>
          <t>Open</t>
        </is>
      </c>
      <c r="G114" t="inlineStr">
        <is>
          <t>Capacity below configured minimum</t>
        </is>
      </c>
      <c r="H114" t="inlineStr">
        <is>
          <t>https://www.seci.co.in/tender-details/YmR0</t>
        </is>
      </c>
    </row>
    <row r="115">
      <c r="B115" t="inlineStr">
        <is>
          <t>GRIDCO</t>
        </is>
      </c>
      <c r="C115" t="inlineStr">
        <is>
          <t>View Details Tender Document Addendum-I Pre-Bid Meeting Link Corrigendum-II Addendum-6 Odisha Floating Solar Data Room - Contents Addendum_09 Addendum</t>
        </is>
      </c>
      <c r="D115" t="inlineStr">
        <is>
          <t>Solar</t>
        </is>
      </c>
      <c r="F115" t="inlineStr">
        <is>
          <t>Corrigendum</t>
        </is>
      </c>
      <c r="G115" t="inlineStr">
        <is>
          <t>Capacity not confirmed</t>
        </is>
      </c>
      <c r="H115" t="inlineStr">
        <is>
          <t>https://www.gridco.co.in/writereaddata/Tenders/301225101225upload.pdf</t>
        </is>
      </c>
    </row>
    <row r="116">
      <c r="B116" t="inlineStr">
        <is>
          <t>GRIDCO</t>
        </is>
      </c>
      <c r="C116" t="inlineStr">
        <is>
          <t>Addendum-6 Odisha Floating Solar Data Room - Contents</t>
        </is>
      </c>
      <c r="D116" t="inlineStr">
        <is>
          <t>Solar</t>
        </is>
      </c>
      <c r="F116" t="inlineStr">
        <is>
          <t>Open</t>
        </is>
      </c>
      <c r="G116" t="inlineStr">
        <is>
          <t>Capacity not confirmed</t>
        </is>
      </c>
      <c r="H116" t="inlineStr">
        <is>
          <t>https://www.gridco.co.in/writereaddata/Tenders/301126051106Addendum-6_Odisha Floating Solar Data room - Contents.pdf</t>
        </is>
      </c>
    </row>
    <row r="117">
      <c r="A117" t="inlineStr">
        <is>
          <t>SECI000270</t>
        </is>
      </c>
      <c r="B117" t="inlineStr">
        <is>
          <t>SECI</t>
        </is>
      </c>
      <c r="C117" t="inlineStr">
        <is>
          <t>SECI/C&amp;P/OP/15/0005/26-27</t>
        </is>
      </c>
      <c r="D117" t="inlineStr">
        <is>
          <t>Solar</t>
        </is>
      </c>
      <c r="F117" t="inlineStr">
        <is>
          <t>Open</t>
        </is>
      </c>
      <c r="G117" t="inlineStr">
        <is>
          <t>Rooftop solar excluded</t>
        </is>
      </c>
      <c r="H117" t="inlineStr">
        <is>
          <t>https://www.seci.co.in/tender-details/YmV3</t>
        </is>
      </c>
    </row>
    <row r="118">
      <c r="A118" t="inlineStr">
        <is>
          <t>SECI000252</t>
        </is>
      </c>
      <c r="B118" t="inlineStr">
        <is>
          <t>SECI</t>
        </is>
      </c>
      <c r="C118" t="inlineStr">
        <is>
          <t>SECI/C&amp;P/OP/11/0001/26-27</t>
        </is>
      </c>
      <c r="D118" t="inlineStr">
        <is>
          <t>Solar</t>
        </is>
      </c>
      <c r="E118" t="n">
        <v>88</v>
      </c>
      <c r="F118" t="inlineStr">
        <is>
          <t>Open</t>
        </is>
      </c>
      <c r="G118" t="inlineStr">
        <is>
          <t>EPC / turnkey / BoS excluded</t>
        </is>
      </c>
      <c r="H118" t="inlineStr">
        <is>
          <t>https://www.seci.co.in/tender-details/Ymd1</t>
        </is>
      </c>
    </row>
    <row r="119">
      <c r="A119" t="inlineStr">
        <is>
          <t>SECI000267</t>
        </is>
      </c>
      <c r="B119" t="inlineStr">
        <is>
          <t>SECI</t>
        </is>
      </c>
      <c r="C119" t="inlineStr">
        <is>
          <t>SECI/C&amp;P/MI/00/0001/26-27</t>
        </is>
      </c>
      <c r="D119" t="inlineStr">
        <is>
          <t>Other</t>
        </is>
      </c>
      <c r="F119" t="inlineStr">
        <is>
          <t>Open</t>
        </is>
      </c>
      <c r="G119" t="inlineStr">
        <is>
          <t>Capacity not confirmed</t>
        </is>
      </c>
      <c r="H119" t="inlineStr">
        <is>
          <t>https://www.seci.co.in/tender-details/YmRw</t>
        </is>
      </c>
    </row>
    <row r="120">
      <c r="A120" t="inlineStr">
        <is>
          <t>SECI000263</t>
        </is>
      </c>
      <c r="B120" t="inlineStr">
        <is>
          <t>SECI</t>
        </is>
      </c>
      <c r="C120" t="inlineStr">
        <is>
          <t>SECI/C&amp;P/OP/11/0003/26-27</t>
        </is>
      </c>
      <c r="D120" t="inlineStr">
        <is>
          <t>Wind</t>
        </is>
      </c>
      <c r="E120" t="n">
        <v>45.6</v>
      </c>
      <c r="F120" t="inlineStr">
        <is>
          <t>Open</t>
        </is>
      </c>
      <c r="G120" t="inlineStr">
        <is>
          <t>Capacity below configured minimum</t>
        </is>
      </c>
      <c r="H120" t="inlineStr">
        <is>
          <t>https://www.seci.co.in/tender-details/YmR0</t>
        </is>
      </c>
    </row>
    <row r="121">
      <c r="A121" t="inlineStr">
        <is>
          <t>SECI000265</t>
        </is>
      </c>
      <c r="B121" t="inlineStr">
        <is>
          <t>SECI</t>
        </is>
      </c>
      <c r="C121" t="inlineStr">
        <is>
          <t>SECI/C&amp;P/IPP/11/0007/26-27</t>
        </is>
      </c>
      <c r="D121" t="inlineStr">
        <is>
          <t>Solar</t>
        </is>
      </c>
      <c r="F121" t="inlineStr">
        <is>
          <t>Open</t>
        </is>
      </c>
      <c r="G121" t="inlineStr">
        <is>
          <t>Rooftop solar excluded</t>
        </is>
      </c>
      <c r="H121" t="inlineStr">
        <is>
          <t>https://www.seci.co.in/tender-details/YmRy</t>
        </is>
      </c>
    </row>
    <row r="122">
      <c r="A122" t="inlineStr">
        <is>
          <t>SECI000269</t>
        </is>
      </c>
      <c r="B122" t="inlineStr">
        <is>
          <t>SECI</t>
        </is>
      </c>
      <c r="C122" t="inlineStr">
        <is>
          <t>SECI000269</t>
        </is>
      </c>
      <c r="D122" t="inlineStr">
        <is>
          <t>BESS</t>
        </is>
      </c>
      <c r="E122" t="n">
        <v>40</v>
      </c>
      <c r="F122" t="inlineStr">
        <is>
          <t>Open</t>
        </is>
      </c>
      <c r="G122" t="inlineStr">
        <is>
          <t>Capacity below configured minimum</t>
        </is>
      </c>
      <c r="H122" t="inlineStr">
        <is>
          <t>https://www.seci.co.in/tender-details/YmR-</t>
        </is>
      </c>
    </row>
    <row r="123">
      <c r="A123" t="inlineStr">
        <is>
          <t>SECI000262</t>
        </is>
      </c>
      <c r="B123" t="inlineStr">
        <is>
          <t>SECI</t>
        </is>
      </c>
      <c r="C123" t="inlineStr">
        <is>
          <t>SECI/C&amp;P/OP/11/0002/26-27</t>
        </is>
      </c>
      <c r="D123" t="inlineStr">
        <is>
          <t>Solar + BESS</t>
        </is>
      </c>
      <c r="E123" t="n">
        <v>25</v>
      </c>
      <c r="F123" t="inlineStr">
        <is>
          <t>Open</t>
        </is>
      </c>
      <c r="G123" t="inlineStr">
        <is>
          <t>Capacity below configured minimum</t>
        </is>
      </c>
      <c r="H123" t="inlineStr">
        <is>
          <t>https://www.seci.co.in/tender-details/YmR1</t>
        </is>
      </c>
    </row>
    <row r="124">
      <c r="A124" t="inlineStr">
        <is>
          <t>SECI000264</t>
        </is>
      </c>
      <c r="B124" t="inlineStr">
        <is>
          <t>SECI</t>
        </is>
      </c>
      <c r="C124" t="inlineStr">
        <is>
          <t>SECI/C&amp;P/EOI/17/0002/26-27</t>
        </is>
      </c>
      <c r="D124" t="inlineStr">
        <is>
          <t>Other</t>
        </is>
      </c>
      <c r="F124" t="inlineStr">
        <is>
          <t>Open</t>
        </is>
      </c>
      <c r="G124" t="inlineStr">
        <is>
          <t>Capacity not confirmed</t>
        </is>
      </c>
      <c r="H124" t="inlineStr">
        <is>
          <t>https://www.seci.co.in/tender-details/YmRz</t>
        </is>
      </c>
    </row>
    <row r="125">
      <c r="B125" t="inlineStr">
        <is>
          <t>GRIDCO</t>
        </is>
      </c>
      <c r="C125" t="inlineStr">
        <is>
          <t>View Details Tender Document Addendum-I Pre-Bid Meeting Link Corrigendum-II Addendum-6 Odisha Floating Solar Data Room - Contents Addendum_09 Addendum</t>
        </is>
      </c>
      <c r="D125" t="inlineStr">
        <is>
          <t>Solar</t>
        </is>
      </c>
      <c r="F125" t="inlineStr">
        <is>
          <t>Corrigendum</t>
        </is>
      </c>
      <c r="G125" t="inlineStr">
        <is>
          <t>Capacity not confirmed</t>
        </is>
      </c>
      <c r="H125" t="inlineStr">
        <is>
          <t>https://www.gridco.co.in/writereaddata/Tenders/301225101225upload.pdf</t>
        </is>
      </c>
    </row>
    <row r="126">
      <c r="B126" t="inlineStr">
        <is>
          <t>GRIDCO</t>
        </is>
      </c>
      <c r="C126" t="inlineStr">
        <is>
          <t>Addendum-6 Odisha Floating Solar Data Room - Contents</t>
        </is>
      </c>
      <c r="D126" t="inlineStr">
        <is>
          <t>Solar</t>
        </is>
      </c>
      <c r="F126" t="inlineStr">
        <is>
          <t>Open</t>
        </is>
      </c>
      <c r="G126" t="inlineStr">
        <is>
          <t>Capacity not confirmed</t>
        </is>
      </c>
      <c r="H126" t="inlineStr">
        <is>
          <t>https://www.gridco.co.in/writereaddata/Tenders/301126051106Addendum-6_Odisha Floating Solar Data room - Contents.pdf</t>
        </is>
      </c>
    </row>
    <row r="127">
      <c r="A127" t="inlineStr">
        <is>
          <t>SECI000270</t>
        </is>
      </c>
      <c r="B127" t="inlineStr">
        <is>
          <t>SECI</t>
        </is>
      </c>
      <c r="C127" t="inlineStr">
        <is>
          <t>SECI/C&amp;P/OP/15/0005/26-27</t>
        </is>
      </c>
      <c r="D127" t="inlineStr">
        <is>
          <t>Solar</t>
        </is>
      </c>
      <c r="F127" t="inlineStr">
        <is>
          <t>Open</t>
        </is>
      </c>
      <c r="G127" t="inlineStr">
        <is>
          <t>Rooftop solar excluded</t>
        </is>
      </c>
      <c r="H127" t="inlineStr">
        <is>
          <t>https://www.seci.co.in/tender-details/YmV3</t>
        </is>
      </c>
    </row>
    <row r="128">
      <c r="A128" t="inlineStr">
        <is>
          <t>SECI000252</t>
        </is>
      </c>
      <c r="B128" t="inlineStr">
        <is>
          <t>SECI</t>
        </is>
      </c>
      <c r="C128" t="inlineStr">
        <is>
          <t>SECI/C&amp;P/OP/11/0001/26-27</t>
        </is>
      </c>
      <c r="D128" t="inlineStr">
        <is>
          <t>Solar</t>
        </is>
      </c>
      <c r="E128" t="n">
        <v>88</v>
      </c>
      <c r="F128" t="inlineStr">
        <is>
          <t>Open</t>
        </is>
      </c>
      <c r="G128" t="inlineStr">
        <is>
          <t>EPC / turnkey / BoS excluded</t>
        </is>
      </c>
      <c r="H128" t="inlineStr">
        <is>
          <t>https://www.seci.co.in/tender-details/Ymd1</t>
        </is>
      </c>
    </row>
    <row r="129">
      <c r="A129" t="inlineStr">
        <is>
          <t>SECI000267</t>
        </is>
      </c>
      <c r="B129" t="inlineStr">
        <is>
          <t>SECI</t>
        </is>
      </c>
      <c r="C129" t="inlineStr">
        <is>
          <t>SECI/C&amp;P/MI/00/0001/26-27</t>
        </is>
      </c>
      <c r="D129" t="inlineStr">
        <is>
          <t>Other</t>
        </is>
      </c>
      <c r="F129" t="inlineStr">
        <is>
          <t>Open</t>
        </is>
      </c>
      <c r="G129" t="inlineStr">
        <is>
          <t>Capacity not confirmed</t>
        </is>
      </c>
      <c r="H129" t="inlineStr">
        <is>
          <t>https://www.seci.co.in/tender-details/YmRw</t>
        </is>
      </c>
    </row>
    <row r="130">
      <c r="A130" t="inlineStr">
        <is>
          <t>SECI000263</t>
        </is>
      </c>
      <c r="B130" t="inlineStr">
        <is>
          <t>SECI</t>
        </is>
      </c>
      <c r="C130" t="inlineStr">
        <is>
          <t>SECI/C&amp;P/OP/11/0003/26-27</t>
        </is>
      </c>
      <c r="D130" t="inlineStr">
        <is>
          <t>Wind</t>
        </is>
      </c>
      <c r="E130" t="n">
        <v>45.6</v>
      </c>
      <c r="F130" t="inlineStr">
        <is>
          <t>Open</t>
        </is>
      </c>
      <c r="G130" t="inlineStr">
        <is>
          <t>Capacity below configured minimum</t>
        </is>
      </c>
      <c r="H130" t="inlineStr">
        <is>
          <t>https://www.seci.co.in/tender-details/YmR0</t>
        </is>
      </c>
    </row>
    <row r="131">
      <c r="A131" t="inlineStr">
        <is>
          <t>SECI000265</t>
        </is>
      </c>
      <c r="B131" t="inlineStr">
        <is>
          <t>SECI</t>
        </is>
      </c>
      <c r="C131" t="inlineStr">
        <is>
          <t>SECI/C&amp;P/IPP/11/0007/26-27</t>
        </is>
      </c>
      <c r="D131" t="inlineStr">
        <is>
          <t>Solar</t>
        </is>
      </c>
      <c r="F131" t="inlineStr">
        <is>
          <t>Open</t>
        </is>
      </c>
      <c r="G131" t="inlineStr">
        <is>
          <t>Rooftop solar excluded</t>
        </is>
      </c>
      <c r="H131" t="inlineStr">
        <is>
          <t>https://www.seci.co.in/tender-details/YmRy</t>
        </is>
      </c>
    </row>
    <row r="132">
      <c r="A132" t="inlineStr">
        <is>
          <t>SECI000269</t>
        </is>
      </c>
      <c r="B132" t="inlineStr">
        <is>
          <t>SECI</t>
        </is>
      </c>
      <c r="C132" t="inlineStr">
        <is>
          <t>SECI000269</t>
        </is>
      </c>
      <c r="D132" t="inlineStr">
        <is>
          <t>BESS</t>
        </is>
      </c>
      <c r="E132" t="n">
        <v>40</v>
      </c>
      <c r="F132" t="inlineStr">
        <is>
          <t>Open</t>
        </is>
      </c>
      <c r="G132" t="inlineStr">
        <is>
          <t>Capacity below configured minimum</t>
        </is>
      </c>
      <c r="H132" t="inlineStr">
        <is>
          <t>https://www.seci.co.in/tender-details/YmR-</t>
        </is>
      </c>
    </row>
    <row r="133">
      <c r="A133" t="inlineStr">
        <is>
          <t>SECI000262</t>
        </is>
      </c>
      <c r="B133" t="inlineStr">
        <is>
          <t>SECI</t>
        </is>
      </c>
      <c r="C133" t="inlineStr">
        <is>
          <t>SECI/C&amp;P/OP/11/0002/26-27</t>
        </is>
      </c>
      <c r="D133" t="inlineStr">
        <is>
          <t>Solar + BESS</t>
        </is>
      </c>
      <c r="E133" t="n">
        <v>25</v>
      </c>
      <c r="F133" t="inlineStr">
        <is>
          <t>Open</t>
        </is>
      </c>
      <c r="G133" t="inlineStr">
        <is>
          <t>Capacity below configured minimum</t>
        </is>
      </c>
      <c r="H133" t="inlineStr">
        <is>
          <t>https://www.seci.co.in/tender-details/YmR1</t>
        </is>
      </c>
    </row>
    <row r="134">
      <c r="A134" t="inlineStr">
        <is>
          <t>SECI000264</t>
        </is>
      </c>
      <c r="B134" t="inlineStr">
        <is>
          <t>SECI</t>
        </is>
      </c>
      <c r="C134" t="inlineStr">
        <is>
          <t>SECI/C&amp;P/EOI/17/0002/26-27</t>
        </is>
      </c>
      <c r="D134" t="inlineStr">
        <is>
          <t>Other</t>
        </is>
      </c>
      <c r="F134" t="inlineStr">
        <is>
          <t>Open</t>
        </is>
      </c>
      <c r="G134" t="inlineStr">
        <is>
          <t>Capacity not confirmed</t>
        </is>
      </c>
      <c r="H134" t="inlineStr">
        <is>
          <t>https://www.seci.co.in/tender-details/YmRz</t>
        </is>
      </c>
    </row>
    <row r="135">
      <c r="B135" t="inlineStr">
        <is>
          <t>GRIDCO</t>
        </is>
      </c>
      <c r="C135" t="inlineStr">
        <is>
          <t>View Details Tender Document Addendum-I Pre-Bid Meeting Link Corrigendum-II Addendum-6 Odisha Floating Solar Data Room - Contents Addendum_09 Addendum</t>
        </is>
      </c>
      <c r="D135" t="inlineStr">
        <is>
          <t>Solar</t>
        </is>
      </c>
      <c r="F135" t="inlineStr">
        <is>
          <t>Corrigendum</t>
        </is>
      </c>
      <c r="G135" t="inlineStr">
        <is>
          <t>Capacity not confirmed</t>
        </is>
      </c>
      <c r="H135" t="inlineStr">
        <is>
          <t>https://www.gridco.co.in/writereaddata/Tenders/301225101225upload.pdf</t>
        </is>
      </c>
    </row>
    <row r="136">
      <c r="B136" t="inlineStr">
        <is>
          <t>GRIDCO</t>
        </is>
      </c>
      <c r="C136" t="inlineStr">
        <is>
          <t>Addendum-6 Odisha Floating Solar Data Room - Contents</t>
        </is>
      </c>
      <c r="D136" t="inlineStr">
        <is>
          <t>Solar</t>
        </is>
      </c>
      <c r="F136" t="inlineStr">
        <is>
          <t>Open</t>
        </is>
      </c>
      <c r="G136" t="inlineStr">
        <is>
          <t>Capacity not confirmed</t>
        </is>
      </c>
      <c r="H136" t="inlineStr">
        <is>
          <t>https://www.gridco.co.in/writereaddata/Tenders/301126051106Addendum-6_Odisha Floating Solar Data room - Contents.pdf</t>
        </is>
      </c>
    </row>
    <row r="137">
      <c r="A137" t="inlineStr">
        <is>
          <t>SECI000270</t>
        </is>
      </c>
      <c r="B137" t="inlineStr">
        <is>
          <t>SECI</t>
        </is>
      </c>
      <c r="C137" t="inlineStr">
        <is>
          <t>SECI/C&amp;P/OP/15/0005/26-27</t>
        </is>
      </c>
      <c r="D137" t="inlineStr">
        <is>
          <t>Solar</t>
        </is>
      </c>
      <c r="F137" t="inlineStr">
        <is>
          <t>Open</t>
        </is>
      </c>
      <c r="G137" t="inlineStr">
        <is>
          <t>Rooftop solar excluded</t>
        </is>
      </c>
      <c r="H137" t="inlineStr">
        <is>
          <t>https://www.seci.co.in/tender-details/YmV3</t>
        </is>
      </c>
    </row>
    <row r="138">
      <c r="A138" t="inlineStr">
        <is>
          <t>SECI000252</t>
        </is>
      </c>
      <c r="B138" t="inlineStr">
        <is>
          <t>SECI</t>
        </is>
      </c>
      <c r="C138" t="inlineStr">
        <is>
          <t>SECI/C&amp;P/OP/11/0001/26-27</t>
        </is>
      </c>
      <c r="D138" t="inlineStr">
        <is>
          <t>Solar</t>
        </is>
      </c>
      <c r="E138" t="n">
        <v>88</v>
      </c>
      <c r="F138" t="inlineStr">
        <is>
          <t>Open</t>
        </is>
      </c>
      <c r="G138" t="inlineStr">
        <is>
          <t>EPC / turnkey / BoS excluded</t>
        </is>
      </c>
      <c r="H138" t="inlineStr">
        <is>
          <t>https://www.seci.co.in/tender-details/Ymd1</t>
        </is>
      </c>
    </row>
    <row r="139">
      <c r="A139" t="inlineStr">
        <is>
          <t>SECI000267</t>
        </is>
      </c>
      <c r="B139" t="inlineStr">
        <is>
          <t>SECI</t>
        </is>
      </c>
      <c r="C139" t="inlineStr">
        <is>
          <t>SECI/C&amp;P/MI/00/0001/26-27</t>
        </is>
      </c>
      <c r="D139" t="inlineStr">
        <is>
          <t>Other</t>
        </is>
      </c>
      <c r="F139" t="inlineStr">
        <is>
          <t>Open</t>
        </is>
      </c>
      <c r="G139" t="inlineStr">
        <is>
          <t>Capacity not confirmed</t>
        </is>
      </c>
      <c r="H139" t="inlineStr">
        <is>
          <t>https://www.seci.co.in/tender-details/YmRw</t>
        </is>
      </c>
    </row>
    <row r="140">
      <c r="A140" t="inlineStr">
        <is>
          <t>SECI000263</t>
        </is>
      </c>
      <c r="B140" t="inlineStr">
        <is>
          <t>SECI</t>
        </is>
      </c>
      <c r="C140" t="inlineStr">
        <is>
          <t>SECI/C&amp;P/OP/11/0003/26-27</t>
        </is>
      </c>
      <c r="D140" t="inlineStr">
        <is>
          <t>Wind</t>
        </is>
      </c>
      <c r="E140" t="n">
        <v>45.6</v>
      </c>
      <c r="F140" t="inlineStr">
        <is>
          <t>Open</t>
        </is>
      </c>
      <c r="G140" t="inlineStr">
        <is>
          <t>Capacity below configured minimum</t>
        </is>
      </c>
      <c r="H140" t="inlineStr">
        <is>
          <t>https://www.seci.co.in/tender-details/YmR0</t>
        </is>
      </c>
    </row>
    <row r="141">
      <c r="A141" t="inlineStr">
        <is>
          <t>SECI000265</t>
        </is>
      </c>
      <c r="B141" t="inlineStr">
        <is>
          <t>SECI</t>
        </is>
      </c>
      <c r="C141" t="inlineStr">
        <is>
          <t>SECI/C&amp;P/IPP/11/0007/26-27</t>
        </is>
      </c>
      <c r="D141" t="inlineStr">
        <is>
          <t>Solar</t>
        </is>
      </c>
      <c r="F141" t="inlineStr">
        <is>
          <t>Open</t>
        </is>
      </c>
      <c r="G141" t="inlineStr">
        <is>
          <t>Rooftop solar excluded</t>
        </is>
      </c>
      <c r="H141" t="inlineStr">
        <is>
          <t>https://www.seci.co.in/tender-details/YmRy</t>
        </is>
      </c>
    </row>
    <row r="142">
      <c r="A142" t="inlineStr">
        <is>
          <t>SECI000269</t>
        </is>
      </c>
      <c r="B142" t="inlineStr">
        <is>
          <t>SECI</t>
        </is>
      </c>
      <c r="C142" t="inlineStr">
        <is>
          <t>SECI000269</t>
        </is>
      </c>
      <c r="D142" t="inlineStr">
        <is>
          <t>BESS</t>
        </is>
      </c>
      <c r="E142" t="n">
        <v>40</v>
      </c>
      <c r="F142" t="inlineStr">
        <is>
          <t>Open</t>
        </is>
      </c>
      <c r="G142" t="inlineStr">
        <is>
          <t>Capacity below configured minimum</t>
        </is>
      </c>
      <c r="H142" t="inlineStr">
        <is>
          <t>https://www.seci.co.in/tender-details/YmR-</t>
        </is>
      </c>
    </row>
    <row r="143">
      <c r="A143" t="inlineStr">
        <is>
          <t>SECI000262</t>
        </is>
      </c>
      <c r="B143" t="inlineStr">
        <is>
          <t>SECI</t>
        </is>
      </c>
      <c r="C143" t="inlineStr">
        <is>
          <t>SECI/C&amp;P/OP/11/0002/26-27</t>
        </is>
      </c>
      <c r="D143" t="inlineStr">
        <is>
          <t>Solar + BESS</t>
        </is>
      </c>
      <c r="E143" t="n">
        <v>25</v>
      </c>
      <c r="F143" t="inlineStr">
        <is>
          <t>Open</t>
        </is>
      </c>
      <c r="G143" t="inlineStr">
        <is>
          <t>Capacity below configured minimum</t>
        </is>
      </c>
      <c r="H143" t="inlineStr">
        <is>
          <t>https://www.seci.co.in/tender-details/YmR1</t>
        </is>
      </c>
    </row>
    <row r="144">
      <c r="A144" t="inlineStr">
        <is>
          <t>SECI000264</t>
        </is>
      </c>
      <c r="B144" t="inlineStr">
        <is>
          <t>SECI</t>
        </is>
      </c>
      <c r="C144" t="inlineStr">
        <is>
          <t>SECI/C&amp;P/EOI/17/0002/26-27</t>
        </is>
      </c>
      <c r="D144" t="inlineStr">
        <is>
          <t>Other</t>
        </is>
      </c>
      <c r="F144" t="inlineStr">
        <is>
          <t>Open</t>
        </is>
      </c>
      <c r="G144" t="inlineStr">
        <is>
          <t>Capacity not confirmed</t>
        </is>
      </c>
      <c r="H144" t="inlineStr">
        <is>
          <t>https://www.seci.co.in/tender-details/YmRz</t>
        </is>
      </c>
    </row>
    <row r="145">
      <c r="B145" t="inlineStr">
        <is>
          <t>GRIDCO</t>
        </is>
      </c>
      <c r="C145" t="inlineStr">
        <is>
          <t>View Details Tender Document Addendum-I Pre-Bid Meeting Link Corrigendum-II Addendum-6 Odisha Floating Solar Data Room - Contents Addendum_09 Addendum</t>
        </is>
      </c>
      <c r="D145" t="inlineStr">
        <is>
          <t>Solar</t>
        </is>
      </c>
      <c r="F145" t="inlineStr">
        <is>
          <t>Corrigendum</t>
        </is>
      </c>
      <c r="G145" t="inlineStr">
        <is>
          <t>Capacity not confirmed</t>
        </is>
      </c>
      <c r="H145" t="inlineStr">
        <is>
          <t>https://www.gridco.co.in/writereaddata/Tenders/301225101225upload.pdf</t>
        </is>
      </c>
    </row>
    <row r="146">
      <c r="B146" t="inlineStr">
        <is>
          <t>GRIDCO</t>
        </is>
      </c>
      <c r="C146" t="inlineStr">
        <is>
          <t>Addendum-6 Odisha Floating Solar Data Room - Contents</t>
        </is>
      </c>
      <c r="D146" t="inlineStr">
        <is>
          <t>Solar</t>
        </is>
      </c>
      <c r="F146" t="inlineStr">
        <is>
          <t>Open</t>
        </is>
      </c>
      <c r="G146" t="inlineStr">
        <is>
          <t>Capacity not confirmed</t>
        </is>
      </c>
      <c r="H146" t="inlineStr">
        <is>
          <t>https://www.gridco.co.in/writereaddata/Tenders/301126051106Addendum-6_Odisha Floating Solar Data room - Contents.pdf</t>
        </is>
      </c>
    </row>
    <row r="147">
      <c r="A147" t="inlineStr">
        <is>
          <t>SECI000270</t>
        </is>
      </c>
      <c r="B147" t="inlineStr">
        <is>
          <t>SECI</t>
        </is>
      </c>
      <c r="C147" t="inlineStr">
        <is>
          <t>SECI/C&amp;P/OP/15/0005/26-27</t>
        </is>
      </c>
      <c r="D147" t="inlineStr">
        <is>
          <t>Solar</t>
        </is>
      </c>
      <c r="F147" t="inlineStr">
        <is>
          <t>Open</t>
        </is>
      </c>
      <c r="G147" t="inlineStr">
        <is>
          <t>Rooftop solar excluded</t>
        </is>
      </c>
      <c r="H147" t="inlineStr">
        <is>
          <t>https://www.seci.co.in/tender-details/YmV3</t>
        </is>
      </c>
    </row>
    <row r="148">
      <c r="A148" t="inlineStr">
        <is>
          <t>SECI000252</t>
        </is>
      </c>
      <c r="B148" t="inlineStr">
        <is>
          <t>SECI</t>
        </is>
      </c>
      <c r="C148" t="inlineStr">
        <is>
          <t>SECI/C&amp;P/OP/11/0001/26-27</t>
        </is>
      </c>
      <c r="D148" t="inlineStr">
        <is>
          <t>Solar</t>
        </is>
      </c>
      <c r="E148" t="n">
        <v>88</v>
      </c>
      <c r="F148" t="inlineStr">
        <is>
          <t>Open</t>
        </is>
      </c>
      <c r="G148" t="inlineStr">
        <is>
          <t>EPC / turnkey / BoS excluded</t>
        </is>
      </c>
      <c r="H148" t="inlineStr">
        <is>
          <t>https://www.seci.co.in/tender-details/Ymd1</t>
        </is>
      </c>
    </row>
    <row r="149">
      <c r="A149" t="inlineStr">
        <is>
          <t>SECI000267</t>
        </is>
      </c>
      <c r="B149" t="inlineStr">
        <is>
          <t>SECI</t>
        </is>
      </c>
      <c r="C149" t="inlineStr">
        <is>
          <t>SECI/C&amp;P/MI/00/0001/26-27</t>
        </is>
      </c>
      <c r="D149" t="inlineStr">
        <is>
          <t>Other</t>
        </is>
      </c>
      <c r="F149" t="inlineStr">
        <is>
          <t>Open</t>
        </is>
      </c>
      <c r="G149" t="inlineStr">
        <is>
          <t>Capacity not confirmed</t>
        </is>
      </c>
      <c r="H149" t="inlineStr">
        <is>
          <t>https://www.seci.co.in/tender-details/YmRw</t>
        </is>
      </c>
    </row>
    <row r="150">
      <c r="A150" t="inlineStr">
        <is>
          <t>SECI000263</t>
        </is>
      </c>
      <c r="B150" t="inlineStr">
        <is>
          <t>SECI</t>
        </is>
      </c>
      <c r="C150" t="inlineStr">
        <is>
          <t>SECI/C&amp;P/OP/11/0003/26-27</t>
        </is>
      </c>
      <c r="D150" t="inlineStr">
        <is>
          <t>Wind</t>
        </is>
      </c>
      <c r="E150" t="n">
        <v>45.6</v>
      </c>
      <c r="F150" t="inlineStr">
        <is>
          <t>Open</t>
        </is>
      </c>
      <c r="G150" t="inlineStr">
        <is>
          <t>Capacity below configured minimum</t>
        </is>
      </c>
      <c r="H150" t="inlineStr">
        <is>
          <t>https://www.seci.co.in/tender-details/YmR0</t>
        </is>
      </c>
    </row>
    <row r="151">
      <c r="A151" t="inlineStr">
        <is>
          <t>SECI000265</t>
        </is>
      </c>
      <c r="B151" t="inlineStr">
        <is>
          <t>SECI</t>
        </is>
      </c>
      <c r="C151" t="inlineStr">
        <is>
          <t>SECI/C&amp;P/IPP/11/0007/26-27</t>
        </is>
      </c>
      <c r="D151" t="inlineStr">
        <is>
          <t>Solar</t>
        </is>
      </c>
      <c r="F151" t="inlineStr">
        <is>
          <t>Open</t>
        </is>
      </c>
      <c r="G151" t="inlineStr">
        <is>
          <t>Rooftop solar excluded</t>
        </is>
      </c>
      <c r="H151" t="inlineStr">
        <is>
          <t>https://www.seci.co.in/tender-details/YmRy</t>
        </is>
      </c>
    </row>
    <row r="152">
      <c r="A152" t="inlineStr">
        <is>
          <t>SECI000269</t>
        </is>
      </c>
      <c r="B152" t="inlineStr">
        <is>
          <t>SECI</t>
        </is>
      </c>
      <c r="C152" t="inlineStr">
        <is>
          <t>SECI000269</t>
        </is>
      </c>
      <c r="D152" t="inlineStr">
        <is>
          <t>BESS</t>
        </is>
      </c>
      <c r="E152" t="n">
        <v>40</v>
      </c>
      <c r="F152" t="inlineStr">
        <is>
          <t>Open</t>
        </is>
      </c>
      <c r="G152" t="inlineStr">
        <is>
          <t>Capacity below configured minimum</t>
        </is>
      </c>
      <c r="H152" t="inlineStr">
        <is>
          <t>https://www.seci.co.in/tender-details/YmR-</t>
        </is>
      </c>
    </row>
    <row r="153">
      <c r="A153" t="inlineStr">
        <is>
          <t>SECI000262</t>
        </is>
      </c>
      <c r="B153" t="inlineStr">
        <is>
          <t>SECI</t>
        </is>
      </c>
      <c r="C153" t="inlineStr">
        <is>
          <t>SECI/C&amp;P/OP/11/0002/26-27</t>
        </is>
      </c>
      <c r="D153" t="inlineStr">
        <is>
          <t>Solar + BESS</t>
        </is>
      </c>
      <c r="E153" t="n">
        <v>25</v>
      </c>
      <c r="F153" t="inlineStr">
        <is>
          <t>Open</t>
        </is>
      </c>
      <c r="G153" t="inlineStr">
        <is>
          <t>Capacity below configured minimum</t>
        </is>
      </c>
      <c r="H153" t="inlineStr">
        <is>
          <t>https://www.seci.co.in/tender-details/YmR1</t>
        </is>
      </c>
    </row>
    <row r="154">
      <c r="A154" t="inlineStr">
        <is>
          <t>SECI000264</t>
        </is>
      </c>
      <c r="B154" t="inlineStr">
        <is>
          <t>SECI</t>
        </is>
      </c>
      <c r="C154" t="inlineStr">
        <is>
          <t>SECI/C&amp;P/EOI/17/0002/26-27</t>
        </is>
      </c>
      <c r="D154" t="inlineStr">
        <is>
          <t>Other</t>
        </is>
      </c>
      <c r="F154" t="inlineStr">
        <is>
          <t>Open</t>
        </is>
      </c>
      <c r="G154" t="inlineStr">
        <is>
          <t>Capacity not confirmed</t>
        </is>
      </c>
      <c r="H154" t="inlineStr">
        <is>
          <t>https://www.seci.co.in/tender-details/YmRz</t>
        </is>
      </c>
    </row>
    <row r="155">
      <c r="B155" t="inlineStr">
        <is>
          <t>SJVN</t>
        </is>
      </c>
      <c r="C155" t="inlineStr">
        <is>
          <t>Insurance Coverage (Fire &amp; Burglary) for 571.22 MWp Solar PV Modules stored at Village Mohija Paranda, Post Kurula, Tehsil Kandhar, District Nanded, M</t>
        </is>
      </c>
      <c r="D155" t="inlineStr">
        <is>
          <t>Solar</t>
        </is>
      </c>
      <c r="F155" t="inlineStr">
        <is>
          <t>Open</t>
        </is>
      </c>
      <c r="G155" t="inlineStr">
        <is>
          <t>Capacity not confirmed</t>
        </is>
      </c>
      <c r="H155" t="inlineStr">
        <is>
          <t>https://sjvn.nic.in/en/tender</t>
        </is>
      </c>
    </row>
    <row r="156">
      <c r="B156" t="inlineStr">
        <is>
          <t>GRIDCO</t>
        </is>
      </c>
      <c r="C156" t="inlineStr">
        <is>
          <t>View Details Tender Document Addendum-I Pre-Bid Meeting Link Corrigendum-II Addendum-6 Odisha Floating Solar Data Room - Contents Addendum_09 Addendum</t>
        </is>
      </c>
      <c r="D156" t="inlineStr">
        <is>
          <t>Solar</t>
        </is>
      </c>
      <c r="F156" t="inlineStr">
        <is>
          <t>Corrigendum</t>
        </is>
      </c>
      <c r="G156" t="inlineStr">
        <is>
          <t>Capacity not confirmed</t>
        </is>
      </c>
      <c r="H156" t="inlineStr">
        <is>
          <t>https://www.gridco.co.in/writereaddata/Tenders/301225101225upload.pdf</t>
        </is>
      </c>
    </row>
    <row r="157">
      <c r="B157" t="inlineStr">
        <is>
          <t>GRIDCO</t>
        </is>
      </c>
      <c r="C157" t="inlineStr">
        <is>
          <t>Addendum-6 Odisha Floating Solar Data Room - Contents</t>
        </is>
      </c>
      <c r="D157" t="inlineStr">
        <is>
          <t>Solar</t>
        </is>
      </c>
      <c r="F157" t="inlineStr">
        <is>
          <t>Open</t>
        </is>
      </c>
      <c r="G157" t="inlineStr">
        <is>
          <t>Capacity not confirmed</t>
        </is>
      </c>
      <c r="H157" t="inlineStr">
        <is>
          <t>https://www.gridco.co.in/writereaddata/Tenders/301126051106Addendum-6_Odisha Floating Solar Data room - Contents.pdf</t>
        </is>
      </c>
    </row>
    <row r="158">
      <c r="A158" t="inlineStr">
        <is>
          <t>SECI000270</t>
        </is>
      </c>
      <c r="B158" t="inlineStr">
        <is>
          <t>SECI</t>
        </is>
      </c>
      <c r="C158" t="inlineStr">
        <is>
          <t>SECI/C&amp;P/OP/15/0005/26-27</t>
        </is>
      </c>
      <c r="D158" t="inlineStr">
        <is>
          <t>Solar</t>
        </is>
      </c>
      <c r="F158" t="inlineStr">
        <is>
          <t>Open</t>
        </is>
      </c>
      <c r="G158" t="inlineStr">
        <is>
          <t>Rooftop solar excluded</t>
        </is>
      </c>
      <c r="H158" t="inlineStr">
        <is>
          <t>https://www.seci.co.in/tender-details/YmV3</t>
        </is>
      </c>
    </row>
    <row r="159">
      <c r="A159" t="inlineStr">
        <is>
          <t>SECI000252</t>
        </is>
      </c>
      <c r="B159" t="inlineStr">
        <is>
          <t>SECI</t>
        </is>
      </c>
      <c r="C159" t="inlineStr">
        <is>
          <t>SECI/C&amp;P/OP/11/0001/26-27</t>
        </is>
      </c>
      <c r="D159" t="inlineStr">
        <is>
          <t>Solar</t>
        </is>
      </c>
      <c r="E159" t="n">
        <v>88</v>
      </c>
      <c r="F159" t="inlineStr">
        <is>
          <t>Open</t>
        </is>
      </c>
      <c r="G159" t="inlineStr">
        <is>
          <t>EPC / turnkey / BoS excluded</t>
        </is>
      </c>
      <c r="H159" t="inlineStr">
        <is>
          <t>https://www.seci.co.in/tender-details/Ymd1</t>
        </is>
      </c>
    </row>
    <row r="160">
      <c r="A160" t="inlineStr">
        <is>
          <t>SECI000267</t>
        </is>
      </c>
      <c r="B160" t="inlineStr">
        <is>
          <t>SECI</t>
        </is>
      </c>
      <c r="C160" t="inlineStr">
        <is>
          <t>SECI/C&amp;P/MI/00/0001/26-27</t>
        </is>
      </c>
      <c r="D160" t="inlineStr">
        <is>
          <t>Other</t>
        </is>
      </c>
      <c r="F160" t="inlineStr">
        <is>
          <t>Open</t>
        </is>
      </c>
      <c r="G160" t="inlineStr">
        <is>
          <t>Capacity not confirmed</t>
        </is>
      </c>
      <c r="H160" t="inlineStr">
        <is>
          <t>https://www.seci.co.in/tender-details/YmRw</t>
        </is>
      </c>
    </row>
    <row r="161">
      <c r="A161" t="inlineStr">
        <is>
          <t>SECI000263</t>
        </is>
      </c>
      <c r="B161" t="inlineStr">
        <is>
          <t>SECI</t>
        </is>
      </c>
      <c r="C161" t="inlineStr">
        <is>
          <t>SECI/C&amp;P/OP/11/0003/26-27</t>
        </is>
      </c>
      <c r="D161" t="inlineStr">
        <is>
          <t>Wind</t>
        </is>
      </c>
      <c r="E161" t="n">
        <v>45.6</v>
      </c>
      <c r="F161" t="inlineStr">
        <is>
          <t>Open</t>
        </is>
      </c>
      <c r="G161" t="inlineStr">
        <is>
          <t>Capacity below configured minimum</t>
        </is>
      </c>
      <c r="H161" t="inlineStr">
        <is>
          <t>https://www.seci.co.in/tender-details/YmR0</t>
        </is>
      </c>
    </row>
    <row r="162">
      <c r="A162" t="inlineStr">
        <is>
          <t>SECI000265</t>
        </is>
      </c>
      <c r="B162" t="inlineStr">
        <is>
          <t>SECI</t>
        </is>
      </c>
      <c r="C162" t="inlineStr">
        <is>
          <t>SECI/C&amp;P/IPP/11/0007/26-27</t>
        </is>
      </c>
      <c r="D162" t="inlineStr">
        <is>
          <t>Solar</t>
        </is>
      </c>
      <c r="F162" t="inlineStr">
        <is>
          <t>Open</t>
        </is>
      </c>
      <c r="G162" t="inlineStr">
        <is>
          <t>Rooftop solar excluded</t>
        </is>
      </c>
      <c r="H162" t="inlineStr">
        <is>
          <t>https://www.seci.co.in/tender-details/YmRy</t>
        </is>
      </c>
    </row>
    <row r="163">
      <c r="A163" t="inlineStr">
        <is>
          <t>SECI000269</t>
        </is>
      </c>
      <c r="B163" t="inlineStr">
        <is>
          <t>SECI</t>
        </is>
      </c>
      <c r="C163" t="inlineStr">
        <is>
          <t>SECI000269</t>
        </is>
      </c>
      <c r="D163" t="inlineStr">
        <is>
          <t>BESS</t>
        </is>
      </c>
      <c r="E163" t="n">
        <v>40</v>
      </c>
      <c r="F163" t="inlineStr">
        <is>
          <t>Open</t>
        </is>
      </c>
      <c r="G163" t="inlineStr">
        <is>
          <t>Capacity below configured minimum</t>
        </is>
      </c>
      <c r="H163" t="inlineStr">
        <is>
          <t>https://www.seci.co.in/tender-details/YmR-</t>
        </is>
      </c>
    </row>
    <row r="164">
      <c r="A164" t="inlineStr">
        <is>
          <t>SECI000262</t>
        </is>
      </c>
      <c r="B164" t="inlineStr">
        <is>
          <t>SECI</t>
        </is>
      </c>
      <c r="C164" t="inlineStr">
        <is>
          <t>SECI/C&amp;P/OP/11/0002/26-27</t>
        </is>
      </c>
      <c r="D164" t="inlineStr">
        <is>
          <t>Solar + BESS</t>
        </is>
      </c>
      <c r="E164" t="n">
        <v>25</v>
      </c>
      <c r="F164" t="inlineStr">
        <is>
          <t>Open</t>
        </is>
      </c>
      <c r="G164" t="inlineStr">
        <is>
          <t>Capacity below configured minimum</t>
        </is>
      </c>
      <c r="H164" t="inlineStr">
        <is>
          <t>https://www.seci.co.in/tender-details/YmR1</t>
        </is>
      </c>
    </row>
    <row r="165">
      <c r="A165" t="inlineStr">
        <is>
          <t>SECI000264</t>
        </is>
      </c>
      <c r="B165" t="inlineStr">
        <is>
          <t>SECI</t>
        </is>
      </c>
      <c r="C165" t="inlineStr">
        <is>
          <t>SECI/C&amp;P/EOI/17/0002/26-27</t>
        </is>
      </c>
      <c r="D165" t="inlineStr">
        <is>
          <t>Other</t>
        </is>
      </c>
      <c r="F165" t="inlineStr">
        <is>
          <t>Open</t>
        </is>
      </c>
      <c r="G165" t="inlineStr">
        <is>
          <t>Capacity not confirmed</t>
        </is>
      </c>
      <c r="H165" t="inlineStr">
        <is>
          <t>https://www.seci.co.in/tender-details/YmRz</t>
        </is>
      </c>
    </row>
    <row r="166">
      <c r="B166" t="inlineStr">
        <is>
          <t>SJVN</t>
        </is>
      </c>
      <c r="C166" t="inlineStr">
        <is>
          <t>Insurance Coverage (Fire &amp; Burglary) for 571.22 MWp Solar PV Modules stored at Village Mohija Paranda, Post Kurula, Tehsil Kandhar, District Nanded, M</t>
        </is>
      </c>
      <c r="D166" t="inlineStr">
        <is>
          <t>Solar</t>
        </is>
      </c>
      <c r="F166" t="inlineStr">
        <is>
          <t>Open</t>
        </is>
      </c>
      <c r="G166" t="inlineStr">
        <is>
          <t>Capacity not confirmed</t>
        </is>
      </c>
      <c r="H166" t="inlineStr">
        <is>
          <t>https://sjvn.nic.in/en/tender</t>
        </is>
      </c>
    </row>
    <row r="167">
      <c r="B167" t="inlineStr">
        <is>
          <t>MPUVNL</t>
        </is>
      </c>
      <c r="C167" t="inlineStr">
        <is>
          <t>Tenders</t>
        </is>
      </c>
      <c r="D167" t="inlineStr">
        <is>
          <t>Other</t>
        </is>
      </c>
      <c r="F167" t="inlineStr">
        <is>
          <t>Open</t>
        </is>
      </c>
      <c r="G167" t="inlineStr">
        <is>
          <t>Capacity not confirmed</t>
        </is>
      </c>
      <c r="H167" t="inlineStr">
        <is>
          <t>https://mptenders.gov.in/nicgep/app?component=%24DirectLink&amp;page=Home&amp;service=direct&amp;session=T&amp;sp=SXQfAfEZ1orhTC5Yzc7r5bw%3D%3D</t>
        </is>
      </c>
    </row>
    <row r="168">
      <c r="B168" t="inlineStr">
        <is>
          <t>MPUVNL</t>
        </is>
      </c>
      <c r="C168" t="inlineStr">
        <is>
          <t>1. Construction of 3.50 meter wide RCC Nalla including covering with RCC Slab behind Bhojpur Club, E-1, Arera Colony, Bhopal 56/SAC dt. 07.08.2026 21-</t>
        </is>
      </c>
      <c r="D168" t="inlineStr">
        <is>
          <t>Other</t>
        </is>
      </c>
      <c r="F168" t="inlineStr">
        <is>
          <t>Open</t>
        </is>
      </c>
      <c r="G168" t="inlineStr">
        <is>
          <t>Capacity not confirmed</t>
        </is>
      </c>
      <c r="H168" t="inlineStr">
        <is>
          <t>https://mptenders.gov.in/nicgep/app?component=%24DirectLink&amp;page=Home&amp;service=direct&amp;session=T&amp;sp=SXQfAfEZ1orhTC5Yzc7r5bw%3D%3D</t>
        </is>
      </c>
    </row>
    <row r="169">
      <c r="B169" t="inlineStr">
        <is>
          <t>MPUVNL</t>
        </is>
      </c>
      <c r="C169" t="inlineStr">
        <is>
          <t>10. Maintenance and various reparing work, under ground water storage tank etc. work in VVIP Residential bungalow under HQ section of HQ 3 sub divisio</t>
        </is>
      </c>
      <c r="D169" t="inlineStr">
        <is>
          <t>Other</t>
        </is>
      </c>
      <c r="F169" t="inlineStr">
        <is>
          <t>Open</t>
        </is>
      </c>
      <c r="G169" t="inlineStr">
        <is>
          <t>Capacity not confirmed</t>
        </is>
      </c>
      <c r="H169" t="inlineStr">
        <is>
          <t>https://mptenders.gov.in/nicgep/app?component=%24DirectLink&amp;page=Home&amp;service=direct&amp;session=T&amp;sp=Std%2BXGPFig0FPEcyX5KFg9Q%3D%3D</t>
        </is>
      </c>
    </row>
    <row r="170">
      <c r="B170" t="inlineStr">
        <is>
          <t>GRIDCO</t>
        </is>
      </c>
      <c r="C170" t="inlineStr">
        <is>
          <t>View Details Tender Document Addendum-I Pre-Bid Meeting Link Corrigendum-II Addendum-6 Odisha Floating Solar Data Room - Contents Addendum_09 Addendum</t>
        </is>
      </c>
      <c r="D170" t="inlineStr">
        <is>
          <t>Solar</t>
        </is>
      </c>
      <c r="F170" t="inlineStr">
        <is>
          <t>Corrigendum</t>
        </is>
      </c>
      <c r="G170" t="inlineStr">
        <is>
          <t>Capacity not confirmed</t>
        </is>
      </c>
      <c r="H170" t="inlineStr">
        <is>
          <t>https://www.gridco.co.in/writereaddata/Tenders/301225101225upload.pdf</t>
        </is>
      </c>
    </row>
    <row r="171">
      <c r="B171" t="inlineStr">
        <is>
          <t>GRIDCO</t>
        </is>
      </c>
      <c r="C171" t="inlineStr">
        <is>
          <t>Addendum-6 Odisha Floating Solar Data Room - Contents</t>
        </is>
      </c>
      <c r="D171" t="inlineStr">
        <is>
          <t>Solar</t>
        </is>
      </c>
      <c r="F171" t="inlineStr">
        <is>
          <t>Open</t>
        </is>
      </c>
      <c r="G171" t="inlineStr">
        <is>
          <t>Capacity not confirmed</t>
        </is>
      </c>
      <c r="H171" t="inlineStr">
        <is>
          <t>https://www.gridco.co.in/writereaddata/Tenders/301126051106Addendum-6_Odisha Floating Solar Data room - Contents.pdf</t>
        </is>
      </c>
    </row>
    <row r="172">
      <c r="A172" t="inlineStr">
        <is>
          <t>SECI000270</t>
        </is>
      </c>
      <c r="B172" t="inlineStr">
        <is>
          <t>SECI</t>
        </is>
      </c>
      <c r="C172" t="inlineStr">
        <is>
          <t>SECI/C&amp;P/OP/15/0005/26-27</t>
        </is>
      </c>
      <c r="D172" t="inlineStr">
        <is>
          <t>Solar</t>
        </is>
      </c>
      <c r="F172" t="inlineStr">
        <is>
          <t>Open</t>
        </is>
      </c>
      <c r="G172" t="inlineStr">
        <is>
          <t>Rooftop solar excluded</t>
        </is>
      </c>
      <c r="H172" t="inlineStr">
        <is>
          <t>https://www.seci.co.in/tender-details/YmV3</t>
        </is>
      </c>
    </row>
    <row r="173">
      <c r="A173" t="inlineStr">
        <is>
          <t>SECI000252</t>
        </is>
      </c>
      <c r="B173" t="inlineStr">
        <is>
          <t>SECI</t>
        </is>
      </c>
      <c r="C173" t="inlineStr">
        <is>
          <t>SECI/C&amp;P/OP/11/0001/26-27</t>
        </is>
      </c>
      <c r="D173" t="inlineStr">
        <is>
          <t>Solar</t>
        </is>
      </c>
      <c r="E173" t="n">
        <v>88</v>
      </c>
      <c r="F173" t="inlineStr">
        <is>
          <t>Open</t>
        </is>
      </c>
      <c r="G173" t="inlineStr">
        <is>
          <t>EPC / turnkey / BoS excluded</t>
        </is>
      </c>
      <c r="H173" t="inlineStr">
        <is>
          <t>https://www.seci.co.in/tender-details/Ymd1</t>
        </is>
      </c>
    </row>
    <row r="174">
      <c r="A174" t="inlineStr">
        <is>
          <t>SECI000267</t>
        </is>
      </c>
      <c r="B174" t="inlineStr">
        <is>
          <t>SECI</t>
        </is>
      </c>
      <c r="C174" t="inlineStr">
        <is>
          <t>SECI/C&amp;P/MI/00/0001/26-27</t>
        </is>
      </c>
      <c r="D174" t="inlineStr">
        <is>
          <t>Other</t>
        </is>
      </c>
      <c r="F174" t="inlineStr">
        <is>
          <t>Open</t>
        </is>
      </c>
      <c r="G174" t="inlineStr">
        <is>
          <t>Capacity not confirmed</t>
        </is>
      </c>
      <c r="H174" t="inlineStr">
        <is>
          <t>https://www.seci.co.in/tender-details/YmRw</t>
        </is>
      </c>
    </row>
    <row r="175">
      <c r="A175" t="inlineStr">
        <is>
          <t>SECI000263</t>
        </is>
      </c>
      <c r="B175" t="inlineStr">
        <is>
          <t>SECI</t>
        </is>
      </c>
      <c r="C175" t="inlineStr">
        <is>
          <t>SECI/C&amp;P/OP/11/0003/26-27</t>
        </is>
      </c>
      <c r="D175" t="inlineStr">
        <is>
          <t>Wind</t>
        </is>
      </c>
      <c r="E175" t="n">
        <v>45.6</v>
      </c>
      <c r="F175" t="inlineStr">
        <is>
          <t>Open</t>
        </is>
      </c>
      <c r="G175" t="inlineStr">
        <is>
          <t>Capacity below configured minimum</t>
        </is>
      </c>
      <c r="H175" t="inlineStr">
        <is>
          <t>https://www.seci.co.in/tender-details/YmR0</t>
        </is>
      </c>
    </row>
    <row r="176">
      <c r="A176" t="inlineStr">
        <is>
          <t>SECI000265</t>
        </is>
      </c>
      <c r="B176" t="inlineStr">
        <is>
          <t>SECI</t>
        </is>
      </c>
      <c r="C176" t="inlineStr">
        <is>
          <t>SECI/C&amp;P/IPP/11/0007/26-27</t>
        </is>
      </c>
      <c r="D176" t="inlineStr">
        <is>
          <t>Solar</t>
        </is>
      </c>
      <c r="F176" t="inlineStr">
        <is>
          <t>Open</t>
        </is>
      </c>
      <c r="G176" t="inlineStr">
        <is>
          <t>Rooftop solar excluded</t>
        </is>
      </c>
      <c r="H176" t="inlineStr">
        <is>
          <t>https://www.seci.co.in/tender-details/YmRy</t>
        </is>
      </c>
    </row>
    <row r="177">
      <c r="A177" t="inlineStr">
        <is>
          <t>SECI000269</t>
        </is>
      </c>
      <c r="B177" t="inlineStr">
        <is>
          <t>SECI</t>
        </is>
      </c>
      <c r="C177" t="inlineStr">
        <is>
          <t>SECI000269</t>
        </is>
      </c>
      <c r="D177" t="inlineStr">
        <is>
          <t>BESS</t>
        </is>
      </c>
      <c r="E177" t="n">
        <v>40</v>
      </c>
      <c r="F177" t="inlineStr">
        <is>
          <t>Open</t>
        </is>
      </c>
      <c r="G177" t="inlineStr">
        <is>
          <t>Capacity below configured minimum</t>
        </is>
      </c>
      <c r="H177" t="inlineStr">
        <is>
          <t>https://www.seci.co.in/tender-details/YmR-</t>
        </is>
      </c>
    </row>
    <row r="178">
      <c r="A178" t="inlineStr">
        <is>
          <t>SECI000262</t>
        </is>
      </c>
      <c r="B178" t="inlineStr">
        <is>
          <t>SECI</t>
        </is>
      </c>
      <c r="C178" t="inlineStr">
        <is>
          <t>SECI/C&amp;P/OP/11/0002/26-27</t>
        </is>
      </c>
      <c r="D178" t="inlineStr">
        <is>
          <t>Solar + BESS</t>
        </is>
      </c>
      <c r="E178" t="n">
        <v>25</v>
      </c>
      <c r="F178" t="inlineStr">
        <is>
          <t>Open</t>
        </is>
      </c>
      <c r="G178" t="inlineStr">
        <is>
          <t>Capacity below configured minimum</t>
        </is>
      </c>
      <c r="H178" t="inlineStr">
        <is>
          <t>https://www.seci.co.in/tender-details/YmR1</t>
        </is>
      </c>
    </row>
    <row r="179">
      <c r="A179" t="inlineStr">
        <is>
          <t>SECI000264</t>
        </is>
      </c>
      <c r="B179" t="inlineStr">
        <is>
          <t>SECI</t>
        </is>
      </c>
      <c r="C179" t="inlineStr">
        <is>
          <t>SECI/C&amp;P/EOI/17/0002/26-27</t>
        </is>
      </c>
      <c r="D179" t="inlineStr">
        <is>
          <t>Other</t>
        </is>
      </c>
      <c r="F179" t="inlineStr">
        <is>
          <t>Open</t>
        </is>
      </c>
      <c r="G179" t="inlineStr">
        <is>
          <t>Capacity not confirmed</t>
        </is>
      </c>
      <c r="H179" t="inlineStr">
        <is>
          <t>https://www.seci.co.in/tender-details/YmRz</t>
        </is>
      </c>
    </row>
    <row r="180">
      <c r="B180" t="inlineStr">
        <is>
          <t>SJVN</t>
        </is>
      </c>
      <c r="C180" t="inlineStr">
        <is>
          <t>Insurance Coverage (Fire &amp; Burglary) for 571.22 MWp Solar PV Modules stored at Village Mohija Paranda, Post Kurula, Tehsil Kandhar, District Nanded, M</t>
        </is>
      </c>
      <c r="D180" t="inlineStr">
        <is>
          <t>Solar</t>
        </is>
      </c>
      <c r="F180" t="inlineStr">
        <is>
          <t>Open</t>
        </is>
      </c>
      <c r="G180" t="inlineStr">
        <is>
          <t>Capacity not confirmed</t>
        </is>
      </c>
      <c r="H180" t="inlineStr">
        <is>
          <t>https://sjvn.nic.in/en/tender</t>
        </is>
      </c>
    </row>
    <row r="181">
      <c r="B181" t="inlineStr">
        <is>
          <t>GRIDCO</t>
        </is>
      </c>
      <c r="C181" t="inlineStr">
        <is>
          <t>View Details Tender Document Addendum-I Pre-Bid Meeting Link Corrigendum-II Addendum-6 Odisha Floating Solar Data Room - Contents Addendum_09 Addendum</t>
        </is>
      </c>
      <c r="D181" t="inlineStr">
        <is>
          <t>Solar</t>
        </is>
      </c>
      <c r="F181" t="inlineStr">
        <is>
          <t>Corrigendum</t>
        </is>
      </c>
      <c r="G181" t="inlineStr">
        <is>
          <t>Capacity not confirmed</t>
        </is>
      </c>
      <c r="H181" t="inlineStr">
        <is>
          <t>https://www.gridco.co.in/writereaddata/Tenders/301225101225upload.pdf</t>
        </is>
      </c>
    </row>
    <row r="182">
      <c r="B182" t="inlineStr">
        <is>
          <t>GRIDCO</t>
        </is>
      </c>
      <c r="C182" t="inlineStr">
        <is>
          <t>Addendum-6 Odisha Floating Solar Data Room - Contents</t>
        </is>
      </c>
      <c r="D182" t="inlineStr">
        <is>
          <t>Solar</t>
        </is>
      </c>
      <c r="F182" t="inlineStr">
        <is>
          <t>Open</t>
        </is>
      </c>
      <c r="G182" t="inlineStr">
        <is>
          <t>Capacity not confirmed</t>
        </is>
      </c>
      <c r="H182" t="inlineStr">
        <is>
          <t>https://www.gridco.co.in/writereaddata/Tenders/301126051106Addendum-6_Odisha Floating Solar Data room - Contents.pdf</t>
        </is>
      </c>
    </row>
    <row r="183">
      <c r="A183" t="inlineStr">
        <is>
          <t>SECI000270</t>
        </is>
      </c>
      <c r="B183" t="inlineStr">
        <is>
          <t>SECI</t>
        </is>
      </c>
      <c r="C183" t="inlineStr">
        <is>
          <t>SECI/C&amp;P/OP/15/0005/26-27</t>
        </is>
      </c>
      <c r="D183" t="inlineStr">
        <is>
          <t>Solar</t>
        </is>
      </c>
      <c r="F183" t="inlineStr">
        <is>
          <t>Open</t>
        </is>
      </c>
      <c r="G183" t="inlineStr">
        <is>
          <t>Rooftop solar excluded</t>
        </is>
      </c>
      <c r="H183" t="inlineStr">
        <is>
          <t>https://www.seci.co.in/tender-details/YmV3</t>
        </is>
      </c>
    </row>
    <row r="184">
      <c r="A184" t="inlineStr">
        <is>
          <t>SECI000252</t>
        </is>
      </c>
      <c r="B184" t="inlineStr">
        <is>
          <t>SECI</t>
        </is>
      </c>
      <c r="C184" t="inlineStr">
        <is>
          <t>SECI/C&amp;P/OP/11/0001/26-27</t>
        </is>
      </c>
      <c r="D184" t="inlineStr">
        <is>
          <t>Solar</t>
        </is>
      </c>
      <c r="E184" t="n">
        <v>88</v>
      </c>
      <c r="F184" t="inlineStr">
        <is>
          <t>Open</t>
        </is>
      </c>
      <c r="G184" t="inlineStr">
        <is>
          <t>EPC / turnkey / BoS excluded</t>
        </is>
      </c>
      <c r="H184" t="inlineStr">
        <is>
          <t>https://www.seci.co.in/tender-details/Ymd1</t>
        </is>
      </c>
    </row>
    <row r="185">
      <c r="A185" t="inlineStr">
        <is>
          <t>SECI000267</t>
        </is>
      </c>
      <c r="B185" t="inlineStr">
        <is>
          <t>SECI</t>
        </is>
      </c>
      <c r="C185" t="inlineStr">
        <is>
          <t>SECI/C&amp;P/MI/00/0001/26-27</t>
        </is>
      </c>
      <c r="D185" t="inlineStr">
        <is>
          <t>Other</t>
        </is>
      </c>
      <c r="F185" t="inlineStr">
        <is>
          <t>Open</t>
        </is>
      </c>
      <c r="G185" t="inlineStr">
        <is>
          <t>Capacity not confirmed</t>
        </is>
      </c>
      <c r="H185" t="inlineStr">
        <is>
          <t>https://www.seci.co.in/tender-details/YmRw</t>
        </is>
      </c>
    </row>
    <row r="186">
      <c r="A186" t="inlineStr">
        <is>
          <t>SECI000263</t>
        </is>
      </c>
      <c r="B186" t="inlineStr">
        <is>
          <t>SECI</t>
        </is>
      </c>
      <c r="C186" t="inlineStr">
        <is>
          <t>SECI/C&amp;P/OP/11/0003/26-27</t>
        </is>
      </c>
      <c r="D186" t="inlineStr">
        <is>
          <t>Wind</t>
        </is>
      </c>
      <c r="E186" t="n">
        <v>45.6</v>
      </c>
      <c r="F186" t="inlineStr">
        <is>
          <t>Open</t>
        </is>
      </c>
      <c r="G186" t="inlineStr">
        <is>
          <t>Capacity below configured minimum</t>
        </is>
      </c>
      <c r="H186" t="inlineStr">
        <is>
          <t>https://www.seci.co.in/tender-details/YmR0</t>
        </is>
      </c>
    </row>
    <row r="187">
      <c r="A187" t="inlineStr">
        <is>
          <t>SECI000265</t>
        </is>
      </c>
      <c r="B187" t="inlineStr">
        <is>
          <t>SECI</t>
        </is>
      </c>
      <c r="C187" t="inlineStr">
        <is>
          <t>SECI/C&amp;P/IPP/11/0007/26-27</t>
        </is>
      </c>
      <c r="D187" t="inlineStr">
        <is>
          <t>Solar</t>
        </is>
      </c>
      <c r="F187" t="inlineStr">
        <is>
          <t>Open</t>
        </is>
      </c>
      <c r="G187" t="inlineStr">
        <is>
          <t>Rooftop solar excluded</t>
        </is>
      </c>
      <c r="H187" t="inlineStr">
        <is>
          <t>https://www.seci.co.in/tender-details/YmRy</t>
        </is>
      </c>
    </row>
    <row r="188">
      <c r="A188" t="inlineStr">
        <is>
          <t>SECI000269</t>
        </is>
      </c>
      <c r="B188" t="inlineStr">
        <is>
          <t>SECI</t>
        </is>
      </c>
      <c r="C188" t="inlineStr">
        <is>
          <t>SECI000269</t>
        </is>
      </c>
      <c r="D188" t="inlineStr">
        <is>
          <t>BESS</t>
        </is>
      </c>
      <c r="E188" t="n">
        <v>40</v>
      </c>
      <c r="F188" t="inlineStr">
        <is>
          <t>Open</t>
        </is>
      </c>
      <c r="G188" t="inlineStr">
        <is>
          <t>Capacity below configured minimum</t>
        </is>
      </c>
      <c r="H188" t="inlineStr">
        <is>
          <t>https://www.seci.co.in/tender-details/YmR-</t>
        </is>
      </c>
    </row>
    <row r="189">
      <c r="A189" t="inlineStr">
        <is>
          <t>SECI000262</t>
        </is>
      </c>
      <c r="B189" t="inlineStr">
        <is>
          <t>SECI</t>
        </is>
      </c>
      <c r="C189" t="inlineStr">
        <is>
          <t>SECI/C&amp;P/OP/11/0002/26-27</t>
        </is>
      </c>
      <c r="D189" t="inlineStr">
        <is>
          <t>Solar + BESS</t>
        </is>
      </c>
      <c r="E189" t="n">
        <v>25</v>
      </c>
      <c r="F189" t="inlineStr">
        <is>
          <t>Open</t>
        </is>
      </c>
      <c r="G189" t="inlineStr">
        <is>
          <t>Capacity below configured minimum</t>
        </is>
      </c>
      <c r="H189" t="inlineStr">
        <is>
          <t>https://www.seci.co.in/tender-details/YmR1</t>
        </is>
      </c>
    </row>
    <row r="190">
      <c r="A190" t="inlineStr">
        <is>
          <t>SECI000264</t>
        </is>
      </c>
      <c r="B190" t="inlineStr">
        <is>
          <t>SECI</t>
        </is>
      </c>
      <c r="C190" t="inlineStr">
        <is>
          <t>SECI/C&amp;P/EOI/17/0002/26-27</t>
        </is>
      </c>
      <c r="D190" t="inlineStr">
        <is>
          <t>Other</t>
        </is>
      </c>
      <c r="F190" t="inlineStr">
        <is>
          <t>Open</t>
        </is>
      </c>
      <c r="G190" t="inlineStr">
        <is>
          <t>Capacity not confirmed</t>
        </is>
      </c>
      <c r="H190" t="inlineStr">
        <is>
          <t>https://www.seci.co.in/tender-details/YmRz</t>
        </is>
      </c>
    </row>
    <row r="191">
      <c r="B191" t="inlineStr">
        <is>
          <t>SJVN</t>
        </is>
      </c>
      <c r="C191" t="inlineStr">
        <is>
          <t>Insurance Coverage (Fire &amp; Burglary) for 571.22 MWp Solar PV Modules stored at Village Mohija Paranda, Post Kurula, Tehsil Kandhar, District Nanded, M</t>
        </is>
      </c>
      <c r="D191" t="inlineStr">
        <is>
          <t>Solar</t>
        </is>
      </c>
      <c r="F191" t="inlineStr">
        <is>
          <t>Open</t>
        </is>
      </c>
      <c r="G191" t="inlineStr">
        <is>
          <t>Capacity not confirmed</t>
        </is>
      </c>
      <c r="H191" t="inlineStr">
        <is>
          <t>https://sjvn.nic.in/en/tender</t>
        </is>
      </c>
    </row>
    <row r="192">
      <c r="B192" t="inlineStr">
        <is>
          <t>GRIDCO</t>
        </is>
      </c>
      <c r="C192" t="inlineStr">
        <is>
          <t>View Details Tender Document Addendum-I Pre-Bid Meeting Link Corrigendum-II Addendum-6 Odisha Floating Solar Data Room - Contents Addendum_09 Addendum</t>
        </is>
      </c>
      <c r="D192" t="inlineStr">
        <is>
          <t>Solar</t>
        </is>
      </c>
      <c r="F192" t="inlineStr">
        <is>
          <t>Corrigendum</t>
        </is>
      </c>
      <c r="G192" t="inlineStr">
        <is>
          <t>Capacity not confirmed</t>
        </is>
      </c>
      <c r="H192" t="inlineStr">
        <is>
          <t>https://www.gridco.co.in/writereaddata/Tenders/301225101225upload.pdf</t>
        </is>
      </c>
    </row>
    <row r="193">
      <c r="B193" t="inlineStr">
        <is>
          <t>GRIDCO</t>
        </is>
      </c>
      <c r="C193" t="inlineStr">
        <is>
          <t>Addendum-6 Odisha Floating Solar Data Room - Contents</t>
        </is>
      </c>
      <c r="D193" t="inlineStr">
        <is>
          <t>Solar</t>
        </is>
      </c>
      <c r="F193" t="inlineStr">
        <is>
          <t>Open</t>
        </is>
      </c>
      <c r="G193" t="inlineStr">
        <is>
          <t>Capacity not confirmed</t>
        </is>
      </c>
      <c r="H193" t="inlineStr">
        <is>
          <t>https://www.gridco.co.in/writereaddata/Tenders/301126051106Addendum-6_Odisha Floating Solar Data room - Contents.pdf</t>
        </is>
      </c>
    </row>
    <row r="194">
      <c r="A194" t="inlineStr">
        <is>
          <t>SECI000270</t>
        </is>
      </c>
      <c r="B194" t="inlineStr">
        <is>
          <t>SECI</t>
        </is>
      </c>
      <c r="C194" t="inlineStr">
        <is>
          <t>SECI/C&amp;P/OP/15/0005/26-27</t>
        </is>
      </c>
      <c r="D194" t="inlineStr">
        <is>
          <t>Solar</t>
        </is>
      </c>
      <c r="F194" t="inlineStr">
        <is>
          <t>Open</t>
        </is>
      </c>
      <c r="G194" t="inlineStr">
        <is>
          <t>Rooftop solar excluded</t>
        </is>
      </c>
      <c r="H194" t="inlineStr">
        <is>
          <t>https://www.seci.co.in/tender-details/YmV3</t>
        </is>
      </c>
    </row>
    <row r="195">
      <c r="A195" t="inlineStr">
        <is>
          <t>SECI000252</t>
        </is>
      </c>
      <c r="B195" t="inlineStr">
        <is>
          <t>SECI</t>
        </is>
      </c>
      <c r="C195" t="inlineStr">
        <is>
          <t>SECI/C&amp;P/OP/11/0001/26-27</t>
        </is>
      </c>
      <c r="D195" t="inlineStr">
        <is>
          <t>Solar</t>
        </is>
      </c>
      <c r="E195" t="n">
        <v>88</v>
      </c>
      <c r="F195" t="inlineStr">
        <is>
          <t>Open</t>
        </is>
      </c>
      <c r="G195" t="inlineStr">
        <is>
          <t>EPC / turnkey / BoS excluded</t>
        </is>
      </c>
      <c r="H195" t="inlineStr">
        <is>
          <t>https://www.seci.co.in/tender-details/Ymd1</t>
        </is>
      </c>
    </row>
    <row r="196">
      <c r="A196" t="inlineStr">
        <is>
          <t>SECI000267</t>
        </is>
      </c>
      <c r="B196" t="inlineStr">
        <is>
          <t>SECI</t>
        </is>
      </c>
      <c r="C196" t="inlineStr">
        <is>
          <t>SECI/C&amp;P/MI/00/0001/26-27</t>
        </is>
      </c>
      <c r="D196" t="inlineStr">
        <is>
          <t>Other</t>
        </is>
      </c>
      <c r="F196" t="inlineStr">
        <is>
          <t>Open</t>
        </is>
      </c>
      <c r="G196" t="inlineStr">
        <is>
          <t>Capacity not confirmed</t>
        </is>
      </c>
      <c r="H196" t="inlineStr">
        <is>
          <t>https://www.seci.co.in/tender-details/YmRw</t>
        </is>
      </c>
    </row>
    <row r="197">
      <c r="A197" t="inlineStr">
        <is>
          <t>SECI000263</t>
        </is>
      </c>
      <c r="B197" t="inlineStr">
        <is>
          <t>SECI</t>
        </is>
      </c>
      <c r="C197" t="inlineStr">
        <is>
          <t>SECI/C&amp;P/OP/11/0003/26-27</t>
        </is>
      </c>
      <c r="D197" t="inlineStr">
        <is>
          <t>Wind</t>
        </is>
      </c>
      <c r="E197" t="n">
        <v>45.6</v>
      </c>
      <c r="F197" t="inlineStr">
        <is>
          <t>Open</t>
        </is>
      </c>
      <c r="G197" t="inlineStr">
        <is>
          <t>Capacity below configured minimum</t>
        </is>
      </c>
      <c r="H197" t="inlineStr">
        <is>
          <t>https://www.seci.co.in/tender-details/YmR0</t>
        </is>
      </c>
    </row>
    <row r="198">
      <c r="A198" t="inlineStr">
        <is>
          <t>SECI000265</t>
        </is>
      </c>
      <c r="B198" t="inlineStr">
        <is>
          <t>SECI</t>
        </is>
      </c>
      <c r="C198" t="inlineStr">
        <is>
          <t>SECI/C&amp;P/IPP/11/0007/26-27</t>
        </is>
      </c>
      <c r="D198" t="inlineStr">
        <is>
          <t>Solar</t>
        </is>
      </c>
      <c r="F198" t="inlineStr">
        <is>
          <t>Open</t>
        </is>
      </c>
      <c r="G198" t="inlineStr">
        <is>
          <t>Rooftop solar excluded</t>
        </is>
      </c>
      <c r="H198" t="inlineStr">
        <is>
          <t>https://www.seci.co.in/tender-details/YmRy</t>
        </is>
      </c>
    </row>
    <row r="199">
      <c r="A199" t="inlineStr">
        <is>
          <t>SECI000269</t>
        </is>
      </c>
      <c r="B199" t="inlineStr">
        <is>
          <t>SECI</t>
        </is>
      </c>
      <c r="C199" t="inlineStr">
        <is>
          <t>SECI000269</t>
        </is>
      </c>
      <c r="D199" t="inlineStr">
        <is>
          <t>BESS</t>
        </is>
      </c>
      <c r="E199" t="n">
        <v>40</v>
      </c>
      <c r="F199" t="inlineStr">
        <is>
          <t>Open</t>
        </is>
      </c>
      <c r="G199" t="inlineStr">
        <is>
          <t>Capacity below configured minimum</t>
        </is>
      </c>
      <c r="H199" t="inlineStr">
        <is>
          <t>https://www.seci.co.in/tender-details/YmR-</t>
        </is>
      </c>
    </row>
    <row r="200">
      <c r="A200" t="inlineStr">
        <is>
          <t>SECI000262</t>
        </is>
      </c>
      <c r="B200" t="inlineStr">
        <is>
          <t>SECI</t>
        </is>
      </c>
      <c r="C200" t="inlineStr">
        <is>
          <t>SECI/C&amp;P/OP/11/0002/26-27</t>
        </is>
      </c>
      <c r="D200" t="inlineStr">
        <is>
          <t>Solar + BESS</t>
        </is>
      </c>
      <c r="E200" t="n">
        <v>25</v>
      </c>
      <c r="F200" t="inlineStr">
        <is>
          <t>Open</t>
        </is>
      </c>
      <c r="G200" t="inlineStr">
        <is>
          <t>Capacity below configured minimum</t>
        </is>
      </c>
      <c r="H200" t="inlineStr">
        <is>
          <t>https://www.seci.co.in/tender-details/YmR1</t>
        </is>
      </c>
    </row>
    <row r="201">
      <c r="A201" t="inlineStr">
        <is>
          <t>SECI000264</t>
        </is>
      </c>
      <c r="B201" t="inlineStr">
        <is>
          <t>SECI</t>
        </is>
      </c>
      <c r="C201" t="inlineStr">
        <is>
          <t>SECI/C&amp;P/EOI/17/0002/26-27</t>
        </is>
      </c>
      <c r="D201" t="inlineStr">
        <is>
          <t>Other</t>
        </is>
      </c>
      <c r="F201" t="inlineStr">
        <is>
          <t>Open</t>
        </is>
      </c>
      <c r="G201" t="inlineStr">
        <is>
          <t>Capacity not confirmed</t>
        </is>
      </c>
      <c r="H201" t="inlineStr">
        <is>
          <t>https://www.seci.co.in/tender-details/YmRz</t>
        </is>
      </c>
    </row>
    <row r="202">
      <c r="B202" t="inlineStr">
        <is>
          <t>SJVN</t>
        </is>
      </c>
      <c r="C202" t="inlineStr">
        <is>
          <t>Insurance Coverage (Fire &amp; Burglary) for 571.22 MWp Solar PV Modules stored at Village Mohija Paranda, Post Kurula, Tehsil Kandhar, District Nanded, M</t>
        </is>
      </c>
      <c r="D202" t="inlineStr">
        <is>
          <t>Solar</t>
        </is>
      </c>
      <c r="F202" t="inlineStr">
        <is>
          <t>Open</t>
        </is>
      </c>
      <c r="G202" t="inlineStr">
        <is>
          <t>Capacity not confirmed</t>
        </is>
      </c>
      <c r="H202" t="inlineStr">
        <is>
          <t>https://sjvn.nic.in/en/tender</t>
        </is>
      </c>
    </row>
    <row r="203">
      <c r="B203" t="inlineStr">
        <is>
          <t>GRIDCO</t>
        </is>
      </c>
      <c r="C203" t="inlineStr">
        <is>
          <t>View Details Tender Document Addendum-I Pre-Bid Meeting Link Corrigendum-II Addendum-6 Odisha Floating Solar Data Room - Contents Addendum_09 Addendum</t>
        </is>
      </c>
      <c r="D203" t="inlineStr">
        <is>
          <t>Solar</t>
        </is>
      </c>
      <c r="F203" t="inlineStr">
        <is>
          <t>Corrigendum</t>
        </is>
      </c>
      <c r="G203" t="inlineStr">
        <is>
          <t>Capacity not confirmed</t>
        </is>
      </c>
      <c r="H203" t="inlineStr">
        <is>
          <t>https://www.gridco.co.in/writereaddata/Tenders/301225101225upload.pdf</t>
        </is>
      </c>
    </row>
    <row r="204">
      <c r="B204" t="inlineStr">
        <is>
          <t>GRIDCO</t>
        </is>
      </c>
      <c r="C204" t="inlineStr">
        <is>
          <t>Addendum-6 Odisha Floating Solar Data Room - Contents</t>
        </is>
      </c>
      <c r="D204" t="inlineStr">
        <is>
          <t>Solar</t>
        </is>
      </c>
      <c r="F204" t="inlineStr">
        <is>
          <t>Open</t>
        </is>
      </c>
      <c r="G204" t="inlineStr">
        <is>
          <t>Capacity not confirmed</t>
        </is>
      </c>
      <c r="H204" t="inlineStr">
        <is>
          <t>https://www.gridco.co.in/writereaddata/Tenders/301126051106Addendum-6_Odisha Floating Solar Data room - Contents.pdf</t>
        </is>
      </c>
    </row>
    <row r="205">
      <c r="A205" t="inlineStr">
        <is>
          <t>SECI000270</t>
        </is>
      </c>
      <c r="B205" t="inlineStr">
        <is>
          <t>SECI</t>
        </is>
      </c>
      <c r="C205" t="inlineStr">
        <is>
          <t>SECI/C&amp;P/OP/15/0005/26-27</t>
        </is>
      </c>
      <c r="D205" t="inlineStr">
        <is>
          <t>Solar</t>
        </is>
      </c>
      <c r="F205" t="inlineStr">
        <is>
          <t>Open</t>
        </is>
      </c>
      <c r="G205" t="inlineStr">
        <is>
          <t>Rooftop solar excluded</t>
        </is>
      </c>
      <c r="H205" t="inlineStr">
        <is>
          <t>https://www.seci.co.in/tender-details/YmV3</t>
        </is>
      </c>
    </row>
    <row r="206">
      <c r="A206" t="inlineStr">
        <is>
          <t>SECI000252</t>
        </is>
      </c>
      <c r="B206" t="inlineStr">
        <is>
          <t>SECI</t>
        </is>
      </c>
      <c r="C206" t="inlineStr">
        <is>
          <t>SECI/C&amp;P/OP/11/0001/26-27</t>
        </is>
      </c>
      <c r="D206" t="inlineStr">
        <is>
          <t>Solar</t>
        </is>
      </c>
      <c r="E206" t="n">
        <v>88</v>
      </c>
      <c r="F206" t="inlineStr">
        <is>
          <t>Open</t>
        </is>
      </c>
      <c r="G206" t="inlineStr">
        <is>
          <t>EPC / turnkey / BoS excluded</t>
        </is>
      </c>
      <c r="H206" t="inlineStr">
        <is>
          <t>https://www.seci.co.in/tender-details/Ymd1</t>
        </is>
      </c>
    </row>
    <row r="207">
      <c r="A207" t="inlineStr">
        <is>
          <t>SECI000267</t>
        </is>
      </c>
      <c r="B207" t="inlineStr">
        <is>
          <t>SECI</t>
        </is>
      </c>
      <c r="C207" t="inlineStr">
        <is>
          <t>SECI/C&amp;P/MI/00/0001/26-27</t>
        </is>
      </c>
      <c r="D207" t="inlineStr">
        <is>
          <t>Other</t>
        </is>
      </c>
      <c r="F207" t="inlineStr">
        <is>
          <t>Open</t>
        </is>
      </c>
      <c r="G207" t="inlineStr">
        <is>
          <t>Capacity not confirmed</t>
        </is>
      </c>
      <c r="H207" t="inlineStr">
        <is>
          <t>https://www.seci.co.in/tender-details/YmRw</t>
        </is>
      </c>
    </row>
    <row r="208">
      <c r="A208" t="inlineStr">
        <is>
          <t>SECI000263</t>
        </is>
      </c>
      <c r="B208" t="inlineStr">
        <is>
          <t>SECI</t>
        </is>
      </c>
      <c r="C208" t="inlineStr">
        <is>
          <t>SECI/C&amp;P/OP/11/0003/26-27</t>
        </is>
      </c>
      <c r="D208" t="inlineStr">
        <is>
          <t>Wind</t>
        </is>
      </c>
      <c r="E208" t="n">
        <v>45.6</v>
      </c>
      <c r="F208" t="inlineStr">
        <is>
          <t>Open</t>
        </is>
      </c>
      <c r="G208" t="inlineStr">
        <is>
          <t>Capacity below configured minimum</t>
        </is>
      </c>
      <c r="H208" t="inlineStr">
        <is>
          <t>https://www.seci.co.in/tender-details/YmR0</t>
        </is>
      </c>
    </row>
    <row r="209">
      <c r="A209" t="inlineStr">
        <is>
          <t>SECI000265</t>
        </is>
      </c>
      <c r="B209" t="inlineStr">
        <is>
          <t>SECI</t>
        </is>
      </c>
      <c r="C209" t="inlineStr">
        <is>
          <t>SECI/C&amp;P/IPP/11/0007/26-27</t>
        </is>
      </c>
      <c r="D209" t="inlineStr">
        <is>
          <t>Solar</t>
        </is>
      </c>
      <c r="F209" t="inlineStr">
        <is>
          <t>Open</t>
        </is>
      </c>
      <c r="G209" t="inlineStr">
        <is>
          <t>Rooftop solar excluded</t>
        </is>
      </c>
      <c r="H209" t="inlineStr">
        <is>
          <t>https://www.seci.co.in/tender-details/YmRy</t>
        </is>
      </c>
    </row>
    <row r="210">
      <c r="A210" t="inlineStr">
        <is>
          <t>SECI000269</t>
        </is>
      </c>
      <c r="B210" t="inlineStr">
        <is>
          <t>SECI</t>
        </is>
      </c>
      <c r="C210" t="inlineStr">
        <is>
          <t>SECI000269</t>
        </is>
      </c>
      <c r="D210" t="inlineStr">
        <is>
          <t>BESS</t>
        </is>
      </c>
      <c r="E210" t="n">
        <v>40</v>
      </c>
      <c r="F210" t="inlineStr">
        <is>
          <t>Open</t>
        </is>
      </c>
      <c r="G210" t="inlineStr">
        <is>
          <t>Capacity below configured minimum</t>
        </is>
      </c>
      <c r="H210" t="inlineStr">
        <is>
          <t>https://www.seci.co.in/tender-details/YmR-</t>
        </is>
      </c>
    </row>
    <row r="211">
      <c r="A211" t="inlineStr">
        <is>
          <t>SECI000262</t>
        </is>
      </c>
      <c r="B211" t="inlineStr">
        <is>
          <t>SECI</t>
        </is>
      </c>
      <c r="C211" t="inlineStr">
        <is>
          <t>SECI/C&amp;P/OP/11/0002/26-27</t>
        </is>
      </c>
      <c r="D211" t="inlineStr">
        <is>
          <t>Solar + BESS</t>
        </is>
      </c>
      <c r="E211" t="n">
        <v>25</v>
      </c>
      <c r="F211" t="inlineStr">
        <is>
          <t>Open</t>
        </is>
      </c>
      <c r="G211" t="inlineStr">
        <is>
          <t>Capacity below configured minimum</t>
        </is>
      </c>
      <c r="H211" t="inlineStr">
        <is>
          <t>https://www.seci.co.in/tender-details/YmR1</t>
        </is>
      </c>
    </row>
    <row r="212">
      <c r="A212" t="inlineStr">
        <is>
          <t>SECI000264</t>
        </is>
      </c>
      <c r="B212" t="inlineStr">
        <is>
          <t>SECI</t>
        </is>
      </c>
      <c r="C212" t="inlineStr">
        <is>
          <t>SECI/C&amp;P/EOI/17/0002/26-27</t>
        </is>
      </c>
      <c r="D212" t="inlineStr">
        <is>
          <t>Other</t>
        </is>
      </c>
      <c r="F212" t="inlineStr">
        <is>
          <t>Open</t>
        </is>
      </c>
      <c r="G212" t="inlineStr">
        <is>
          <t>Capacity not confirmed</t>
        </is>
      </c>
      <c r="H212" t="inlineStr">
        <is>
          <t>https://www.seci.co.in/tender-details/YmRz</t>
        </is>
      </c>
    </row>
    <row r="213">
      <c r="B213" t="inlineStr">
        <is>
          <t>NTPC REL</t>
        </is>
      </c>
      <c r="D213" t="inlineStr">
        <is>
          <t>Wind</t>
        </is>
      </c>
      <c r="E213" t="n">
        <v>600</v>
      </c>
      <c r="F213" t="inlineStr">
        <is>
          <t>Open</t>
        </is>
      </c>
      <c r="G213" t="inlineStr">
        <is>
          <t>Supply / installation excluded</t>
        </is>
      </c>
      <c r="H213" t="inlineStr">
        <is>
          <t>https://ntpctender.ntpc.co.in/NITDetails/NITs/30166</t>
        </is>
      </c>
    </row>
    <row r="214">
      <c r="B214" t="inlineStr">
        <is>
          <t>SJVN</t>
        </is>
      </c>
      <c r="C214" t="inlineStr">
        <is>
          <t>EPC Package with Land for Development of Grid-Connected Solar PV Projects of Aggregate Capacity up to 1000 MW in the States of Punjab and Rajasthan, i</t>
        </is>
      </c>
      <c r="D214" t="inlineStr">
        <is>
          <t>Solar</t>
        </is>
      </c>
      <c r="E214" t="n">
        <v>1000</v>
      </c>
      <c r="F214" t="inlineStr">
        <is>
          <t>Open</t>
        </is>
      </c>
      <c r="G214" t="inlineStr">
        <is>
          <t>EPC / turnkey / BoS excluded</t>
        </is>
      </c>
      <c r="H214" t="inlineStr">
        <is>
          <t>https://sjvn.nic.in/en/tender</t>
        </is>
      </c>
    </row>
    <row r="215">
      <c r="B215" t="inlineStr">
        <is>
          <t>SJVN</t>
        </is>
      </c>
      <c r="C215" t="inlineStr">
        <is>
          <t>Insurance Coverage (Fire &amp; Burglary) for 571.22 MWp Solar PV Modules stored at Village Mohija Paranda, Post Kurula, Tehsil Kandhar, District Nanded, M</t>
        </is>
      </c>
      <c r="D215" t="inlineStr">
        <is>
          <t>Solar</t>
        </is>
      </c>
      <c r="F215" t="inlineStr">
        <is>
          <t>Open</t>
        </is>
      </c>
      <c r="G215" t="inlineStr">
        <is>
          <t>Capacity not confirmed</t>
        </is>
      </c>
      <c r="H215" t="inlineStr">
        <is>
          <t>https://sjvn.nic.in/en/tender</t>
        </is>
      </c>
    </row>
    <row r="216">
      <c r="B216" t="inlineStr">
        <is>
          <t>GRIDCO</t>
        </is>
      </c>
      <c r="C216" t="inlineStr">
        <is>
          <t>View Details Tender Document Addendum-I Pre-Bid Meeting Link Corrigendum-II Addendum-6 Odisha Floating Solar Data Room - Contents Addendum_09 Addendum</t>
        </is>
      </c>
      <c r="D216" t="inlineStr">
        <is>
          <t>Solar</t>
        </is>
      </c>
      <c r="F216" t="inlineStr">
        <is>
          <t>Corrigendum</t>
        </is>
      </c>
      <c r="G216" t="inlineStr">
        <is>
          <t>Capacity not confirmed</t>
        </is>
      </c>
      <c r="H216" t="inlineStr">
        <is>
          <t>https://www.gridco.co.in/writereaddata/Tenders/301225101225upload.pdf</t>
        </is>
      </c>
    </row>
    <row r="217">
      <c r="B217" t="inlineStr">
        <is>
          <t>GRIDCO</t>
        </is>
      </c>
      <c r="C217" t="inlineStr">
        <is>
          <t>Addendum-6 Odisha Floating Solar Data Room - Contents</t>
        </is>
      </c>
      <c r="D217" t="inlineStr">
        <is>
          <t>Solar</t>
        </is>
      </c>
      <c r="F217" t="inlineStr">
        <is>
          <t>Open</t>
        </is>
      </c>
      <c r="G217" t="inlineStr">
        <is>
          <t>Capacity not confirmed</t>
        </is>
      </c>
      <c r="H217" t="inlineStr">
        <is>
          <t>https://www.gridco.co.in/writereaddata/Tenders/301126051106Addendum-6_Odisha Floating Solar Data room - Contents.pdf</t>
        </is>
      </c>
    </row>
    <row r="218">
      <c r="A218" t="inlineStr">
        <is>
          <t>SECI000270</t>
        </is>
      </c>
      <c r="B218" t="inlineStr">
        <is>
          <t>SECI</t>
        </is>
      </c>
      <c r="C218" t="inlineStr">
        <is>
          <t>SECI/C&amp;P/OP/15/0005/26-27</t>
        </is>
      </c>
      <c r="D218" t="inlineStr">
        <is>
          <t>Solar</t>
        </is>
      </c>
      <c r="F218" t="inlineStr">
        <is>
          <t>Open</t>
        </is>
      </c>
      <c r="G218" t="inlineStr">
        <is>
          <t>Rooftop solar excluded</t>
        </is>
      </c>
      <c r="H218" t="inlineStr">
        <is>
          <t>https://www.seci.co.in/tender-details/YmV3</t>
        </is>
      </c>
    </row>
    <row r="219">
      <c r="A219" t="inlineStr">
        <is>
          <t>SECI000252</t>
        </is>
      </c>
      <c r="B219" t="inlineStr">
        <is>
          <t>SECI</t>
        </is>
      </c>
      <c r="C219" t="inlineStr">
        <is>
          <t>SECI/C&amp;P/OP/11/0001/26-27</t>
        </is>
      </c>
      <c r="D219" t="inlineStr">
        <is>
          <t>Solar</t>
        </is>
      </c>
      <c r="E219" t="n">
        <v>88</v>
      </c>
      <c r="F219" t="inlineStr">
        <is>
          <t>Open</t>
        </is>
      </c>
      <c r="G219" t="inlineStr">
        <is>
          <t>EPC / turnkey / BoS excluded</t>
        </is>
      </c>
      <c r="H219" t="inlineStr">
        <is>
          <t>https://www.seci.co.in/tender-details/Ymd1</t>
        </is>
      </c>
    </row>
    <row r="220">
      <c r="A220" t="inlineStr">
        <is>
          <t>SECI000267</t>
        </is>
      </c>
      <c r="B220" t="inlineStr">
        <is>
          <t>SECI</t>
        </is>
      </c>
      <c r="C220" t="inlineStr">
        <is>
          <t>SECI/C&amp;P/MI/00/0001/26-27</t>
        </is>
      </c>
      <c r="D220" t="inlineStr">
        <is>
          <t>Other</t>
        </is>
      </c>
      <c r="F220" t="inlineStr">
        <is>
          <t>Open</t>
        </is>
      </c>
      <c r="G220" t="inlineStr">
        <is>
          <t>Capacity not confirmed</t>
        </is>
      </c>
      <c r="H220" t="inlineStr">
        <is>
          <t>https://www.seci.co.in/tender-details/YmRw</t>
        </is>
      </c>
    </row>
    <row r="221">
      <c r="A221" t="inlineStr">
        <is>
          <t>SECI000263</t>
        </is>
      </c>
      <c r="B221" t="inlineStr">
        <is>
          <t>SECI</t>
        </is>
      </c>
      <c r="C221" t="inlineStr">
        <is>
          <t>SECI/C&amp;P/OP/11/0003/26-27</t>
        </is>
      </c>
      <c r="D221" t="inlineStr">
        <is>
          <t>Wind</t>
        </is>
      </c>
      <c r="E221" t="n">
        <v>45.6</v>
      </c>
      <c r="F221" t="inlineStr">
        <is>
          <t>Open</t>
        </is>
      </c>
      <c r="G221" t="inlineStr">
        <is>
          <t>Capacity below configured minimum</t>
        </is>
      </c>
      <c r="H221" t="inlineStr">
        <is>
          <t>https://www.seci.co.in/tender-details/YmR0</t>
        </is>
      </c>
    </row>
    <row r="222">
      <c r="A222" t="inlineStr">
        <is>
          <t>SECI000264</t>
        </is>
      </c>
      <c r="B222" t="inlineStr">
        <is>
          <t>SECI</t>
        </is>
      </c>
      <c r="C222" t="inlineStr">
        <is>
          <t>SECI/C&amp;P/EOI/17/0002/26-27</t>
        </is>
      </c>
      <c r="D222" t="inlineStr">
        <is>
          <t>Other</t>
        </is>
      </c>
      <c r="F222" t="inlineStr">
        <is>
          <t>Open</t>
        </is>
      </c>
      <c r="G222" t="inlineStr">
        <is>
          <t>Capacity not confirmed</t>
        </is>
      </c>
      <c r="H222" t="inlineStr">
        <is>
          <t>https://www.seci.co.in/tender-details/YmRz</t>
        </is>
      </c>
    </row>
    <row r="223">
      <c r="A223" t="inlineStr">
        <is>
          <t>SECI000265</t>
        </is>
      </c>
      <c r="B223" t="inlineStr">
        <is>
          <t>SECI</t>
        </is>
      </c>
      <c r="C223" t="inlineStr">
        <is>
          <t>SECI/C&amp;P/IPP/11/0007/26-27</t>
        </is>
      </c>
      <c r="D223" t="inlineStr">
        <is>
          <t>Solar</t>
        </is>
      </c>
      <c r="F223" t="inlineStr">
        <is>
          <t>Open</t>
        </is>
      </c>
      <c r="G223" t="inlineStr">
        <is>
          <t>Rooftop solar excluded</t>
        </is>
      </c>
      <c r="H223" t="inlineStr">
        <is>
          <t>https://www.seci.co.in/tender-details/YmRy</t>
        </is>
      </c>
    </row>
    <row r="224">
      <c r="A224" t="inlineStr">
        <is>
          <t>SECI000269</t>
        </is>
      </c>
      <c r="B224" t="inlineStr">
        <is>
          <t>SECI</t>
        </is>
      </c>
      <c r="C224" t="inlineStr">
        <is>
          <t>SECI000269</t>
        </is>
      </c>
      <c r="D224" t="inlineStr">
        <is>
          <t>BESS</t>
        </is>
      </c>
      <c r="E224" t="n">
        <v>40</v>
      </c>
      <c r="F224" t="inlineStr">
        <is>
          <t>Open</t>
        </is>
      </c>
      <c r="G224" t="inlineStr">
        <is>
          <t>Capacity below configured minimum</t>
        </is>
      </c>
      <c r="H224" t="inlineStr">
        <is>
          <t>https://www.seci.co.in/tender-details/YmR-</t>
        </is>
      </c>
    </row>
    <row r="225">
      <c r="A225" t="inlineStr">
        <is>
          <t>SECI000262</t>
        </is>
      </c>
      <c r="B225" t="inlineStr">
        <is>
          <t>SECI</t>
        </is>
      </c>
      <c r="C225" t="inlineStr">
        <is>
          <t>SECI/C&amp;P/OP/11/0002/26-27</t>
        </is>
      </c>
      <c r="D225" t="inlineStr">
        <is>
          <t>Solar + BESS</t>
        </is>
      </c>
      <c r="E225" t="n">
        <v>25</v>
      </c>
      <c r="F225" t="inlineStr">
        <is>
          <t>Open</t>
        </is>
      </c>
      <c r="G225" t="inlineStr">
        <is>
          <t>Capacity below configured minimum</t>
        </is>
      </c>
      <c r="H225" t="inlineStr">
        <is>
          <t>https://www.seci.co.in/tender-details/YmR1</t>
        </is>
      </c>
    </row>
    <row r="226">
      <c r="B226" t="inlineStr">
        <is>
          <t>NTPC REL</t>
        </is>
      </c>
      <c r="D226" t="inlineStr">
        <is>
          <t>Wind</t>
        </is>
      </c>
      <c r="E226" t="n">
        <v>600</v>
      </c>
      <c r="F226" t="inlineStr">
        <is>
          <t>Open</t>
        </is>
      </c>
      <c r="G226" t="inlineStr">
        <is>
          <t>Supply / installation excluded</t>
        </is>
      </c>
      <c r="H226" t="inlineStr">
        <is>
          <t>https://ntpctender.ntpc.co.in/NITDetails/NITs/30166</t>
        </is>
      </c>
    </row>
    <row r="227">
      <c r="B227" t="inlineStr">
        <is>
          <t>SJVN</t>
        </is>
      </c>
      <c r="C227" t="inlineStr">
        <is>
          <t>EPC Package with Land for Development of Grid-Connected Solar PV Projects of Aggregate Capacity up to 1000 MW in the States of Punjab and Rajasthan, i</t>
        </is>
      </c>
      <c r="D227" t="inlineStr">
        <is>
          <t>Solar</t>
        </is>
      </c>
      <c r="E227" t="n">
        <v>1000</v>
      </c>
      <c r="F227" t="inlineStr">
        <is>
          <t>Open</t>
        </is>
      </c>
      <c r="G227" t="inlineStr">
        <is>
          <t>EPC / turnkey / BoS excluded</t>
        </is>
      </c>
      <c r="H227" t="inlineStr">
        <is>
          <t>https://sjvn.nic.in/en/tender</t>
        </is>
      </c>
    </row>
    <row r="228">
      <c r="B228" t="inlineStr">
        <is>
          <t>SJVN</t>
        </is>
      </c>
      <c r="C228" t="inlineStr">
        <is>
          <t>Insurance Coverage (Fire &amp; Burglary) for 571.22 MWp Solar PV Modules stored at Village Mohija Paranda, Post Kurula, Tehsil Kandhar, District Nanded, M</t>
        </is>
      </c>
      <c r="D228" t="inlineStr">
        <is>
          <t>Solar</t>
        </is>
      </c>
      <c r="F228" t="inlineStr">
        <is>
          <t>Open</t>
        </is>
      </c>
      <c r="G228" t="inlineStr">
        <is>
          <t>Capacity not confirmed</t>
        </is>
      </c>
      <c r="H228" t="inlineStr">
        <is>
          <t>https://sjvn.nic.in/en/tender</t>
        </is>
      </c>
    </row>
    <row r="229">
      <c r="B229" t="inlineStr">
        <is>
          <t>GRIDCO</t>
        </is>
      </c>
      <c r="C229" t="inlineStr">
        <is>
          <t>View Details Tender Document Addendum-I Pre-Bid Meeting Link Corrigendum-II Addendum-6 Odisha Floating Solar Data Room - Contents Addendum_09 Addendum</t>
        </is>
      </c>
      <c r="D229" t="inlineStr">
        <is>
          <t>Solar</t>
        </is>
      </c>
      <c r="F229" t="inlineStr">
        <is>
          <t>Corrigendum</t>
        </is>
      </c>
      <c r="G229" t="inlineStr">
        <is>
          <t>Capacity not confirmed</t>
        </is>
      </c>
      <c r="H229" t="inlineStr">
        <is>
          <t>https://www.gridco.co.in/writereaddata/Tenders/301225101225upload.pdf</t>
        </is>
      </c>
    </row>
    <row r="230">
      <c r="B230" t="inlineStr">
        <is>
          <t>GRIDCO</t>
        </is>
      </c>
      <c r="C230" t="inlineStr">
        <is>
          <t>Addendum-6 Odisha Floating Solar Data Room - Contents</t>
        </is>
      </c>
      <c r="D230" t="inlineStr">
        <is>
          <t>Solar</t>
        </is>
      </c>
      <c r="F230" t="inlineStr">
        <is>
          <t>Open</t>
        </is>
      </c>
      <c r="G230" t="inlineStr">
        <is>
          <t>Capacity not confirmed</t>
        </is>
      </c>
      <c r="H230" t="inlineStr">
        <is>
          <t>https://www.gridco.co.in/writereaddata/Tenders/301126051106Addendum-6_Odisha Floating Solar Data room - Contents.pdf</t>
        </is>
      </c>
    </row>
    <row r="231">
      <c r="A231" t="inlineStr">
        <is>
          <t>SECI000270</t>
        </is>
      </c>
      <c r="B231" t="inlineStr">
        <is>
          <t>SECI</t>
        </is>
      </c>
      <c r="C231" t="inlineStr">
        <is>
          <t>SECI/C&amp;P/OP/15/0005/26-27</t>
        </is>
      </c>
      <c r="D231" t="inlineStr">
        <is>
          <t>Solar</t>
        </is>
      </c>
      <c r="F231" t="inlineStr">
        <is>
          <t>Open</t>
        </is>
      </c>
      <c r="G231" t="inlineStr">
        <is>
          <t>Rooftop solar excluded</t>
        </is>
      </c>
      <c r="H231" t="inlineStr">
        <is>
          <t>https://www.seci.co.in/tender-details/YmV3</t>
        </is>
      </c>
    </row>
    <row r="232">
      <c r="A232" t="inlineStr">
        <is>
          <t>SECI000252</t>
        </is>
      </c>
      <c r="B232" t="inlineStr">
        <is>
          <t>SECI</t>
        </is>
      </c>
      <c r="C232" t="inlineStr">
        <is>
          <t>SECI/C&amp;P/OP/11/0001/26-27</t>
        </is>
      </c>
      <c r="D232" t="inlineStr">
        <is>
          <t>Solar</t>
        </is>
      </c>
      <c r="E232" t="n">
        <v>88</v>
      </c>
      <c r="F232" t="inlineStr">
        <is>
          <t>Open</t>
        </is>
      </c>
      <c r="G232" t="inlineStr">
        <is>
          <t>EPC / turnkey / BoS excluded</t>
        </is>
      </c>
      <c r="H232" t="inlineStr">
        <is>
          <t>https://www.seci.co.in/tender-details/Ymd1</t>
        </is>
      </c>
    </row>
    <row r="233">
      <c r="A233" t="inlineStr">
        <is>
          <t>SECI000267</t>
        </is>
      </c>
      <c r="B233" t="inlineStr">
        <is>
          <t>SECI</t>
        </is>
      </c>
      <c r="C233" t="inlineStr">
        <is>
          <t>SECI/C&amp;P/MI/00/0001/26-27</t>
        </is>
      </c>
      <c r="D233" t="inlineStr">
        <is>
          <t>Other</t>
        </is>
      </c>
      <c r="F233" t="inlineStr">
        <is>
          <t>Open</t>
        </is>
      </c>
      <c r="G233" t="inlineStr">
        <is>
          <t>Capacity not confirmed</t>
        </is>
      </c>
      <c r="H233" t="inlineStr">
        <is>
          <t>https://www.seci.co.in/tender-details/YmRw</t>
        </is>
      </c>
    </row>
    <row r="234">
      <c r="A234" t="inlineStr">
        <is>
          <t>SECI000263</t>
        </is>
      </c>
      <c r="B234" t="inlineStr">
        <is>
          <t>SECI</t>
        </is>
      </c>
      <c r="C234" t="inlineStr">
        <is>
          <t>SECI/C&amp;P/OP/11/0003/26-27</t>
        </is>
      </c>
      <c r="D234" t="inlineStr">
        <is>
          <t>Wind</t>
        </is>
      </c>
      <c r="E234" t="n">
        <v>45.6</v>
      </c>
      <c r="F234" t="inlineStr">
        <is>
          <t>Open</t>
        </is>
      </c>
      <c r="G234" t="inlineStr">
        <is>
          <t>Capacity below configured minimum</t>
        </is>
      </c>
      <c r="H234" t="inlineStr">
        <is>
          <t>https://www.seci.co.in/tender-details/YmR0</t>
        </is>
      </c>
    </row>
    <row r="235">
      <c r="A235" t="inlineStr">
        <is>
          <t>SECI000264</t>
        </is>
      </c>
      <c r="B235" t="inlineStr">
        <is>
          <t>SECI</t>
        </is>
      </c>
      <c r="C235" t="inlineStr">
        <is>
          <t>SECI/C&amp;P/EOI/17/0002/26-27</t>
        </is>
      </c>
      <c r="D235" t="inlineStr">
        <is>
          <t>Other</t>
        </is>
      </c>
      <c r="F235" t="inlineStr">
        <is>
          <t>Open</t>
        </is>
      </c>
      <c r="G235" t="inlineStr">
        <is>
          <t>Capacity not confirmed</t>
        </is>
      </c>
      <c r="H235" t="inlineStr">
        <is>
          <t>https://www.seci.co.in/tender-details/YmRz</t>
        </is>
      </c>
    </row>
    <row r="236">
      <c r="A236" t="inlineStr">
        <is>
          <t>SECI000265</t>
        </is>
      </c>
      <c r="B236" t="inlineStr">
        <is>
          <t>SECI</t>
        </is>
      </c>
      <c r="C236" t="inlineStr">
        <is>
          <t>SECI/C&amp;P/IPP/11/0007/26-27</t>
        </is>
      </c>
      <c r="D236" t="inlineStr">
        <is>
          <t>Solar</t>
        </is>
      </c>
      <c r="F236" t="inlineStr">
        <is>
          <t>Open</t>
        </is>
      </c>
      <c r="G236" t="inlineStr">
        <is>
          <t>Rooftop solar excluded</t>
        </is>
      </c>
      <c r="H236" t="inlineStr">
        <is>
          <t>https://www.seci.co.in/tender-details/YmRy</t>
        </is>
      </c>
    </row>
    <row r="237">
      <c r="A237" t="inlineStr">
        <is>
          <t>SECI000269</t>
        </is>
      </c>
      <c r="B237" t="inlineStr">
        <is>
          <t>SECI</t>
        </is>
      </c>
      <c r="C237" t="inlineStr">
        <is>
          <t>SECI000269</t>
        </is>
      </c>
      <c r="D237" t="inlineStr">
        <is>
          <t>BESS</t>
        </is>
      </c>
      <c r="E237" t="n">
        <v>40</v>
      </c>
      <c r="F237" t="inlineStr">
        <is>
          <t>Open</t>
        </is>
      </c>
      <c r="G237" t="inlineStr">
        <is>
          <t>Capacity below configured minimum</t>
        </is>
      </c>
      <c r="H237" t="inlineStr">
        <is>
          <t>https://www.seci.co.in/tender-details/YmR-</t>
        </is>
      </c>
    </row>
    <row r="238">
      <c r="A238" t="inlineStr">
        <is>
          <t>SECI000262</t>
        </is>
      </c>
      <c r="B238" t="inlineStr">
        <is>
          <t>SECI</t>
        </is>
      </c>
      <c r="C238" t="inlineStr">
        <is>
          <t>SECI/C&amp;P/OP/11/0002/26-27</t>
        </is>
      </c>
      <c r="D238" t="inlineStr">
        <is>
          <t>Solar + BESS</t>
        </is>
      </c>
      <c r="E238" t="n">
        <v>25</v>
      </c>
      <c r="F238" t="inlineStr">
        <is>
          <t>Open</t>
        </is>
      </c>
      <c r="G238" t="inlineStr">
        <is>
          <t>Capacity below configured minimum</t>
        </is>
      </c>
      <c r="H238" t="inlineStr">
        <is>
          <t>https://www.seci.co.in/tender-details/YmR1</t>
        </is>
      </c>
    </row>
    <row r="239">
      <c r="B239" t="inlineStr">
        <is>
          <t>NTPC REL</t>
        </is>
      </c>
      <c r="D239" t="inlineStr">
        <is>
          <t>Wind</t>
        </is>
      </c>
      <c r="E239" t="n">
        <v>600</v>
      </c>
      <c r="F239" t="inlineStr">
        <is>
          <t>Open</t>
        </is>
      </c>
      <c r="G239" t="inlineStr">
        <is>
          <t>Supply / installation excluded</t>
        </is>
      </c>
      <c r="H239" t="inlineStr">
        <is>
          <t>https://ntpctender.ntpc.co.in/NITDetails/NITs/30166</t>
        </is>
      </c>
    </row>
    <row r="240">
      <c r="B240" t="inlineStr">
        <is>
          <t>SJVN</t>
        </is>
      </c>
      <c r="C240" t="inlineStr">
        <is>
          <t>EPC Package with Land for Development of Grid-Connected Solar PV Projects of Aggregate Capacity up to 1000 MW in the States of Punjab and Rajasthan, i</t>
        </is>
      </c>
      <c r="D240" t="inlineStr">
        <is>
          <t>Solar</t>
        </is>
      </c>
      <c r="E240" t="n">
        <v>1000</v>
      </c>
      <c r="F240" t="inlineStr">
        <is>
          <t>Open</t>
        </is>
      </c>
      <c r="G240" t="inlineStr">
        <is>
          <t>EPC / turnkey / BoS excluded</t>
        </is>
      </c>
      <c r="H240" t="inlineStr">
        <is>
          <t>https://sjvn.nic.in/en/tender</t>
        </is>
      </c>
    </row>
    <row r="241">
      <c r="B241" t="inlineStr">
        <is>
          <t>GRIDCO</t>
        </is>
      </c>
      <c r="C241" t="inlineStr">
        <is>
          <t>View Details Tender Document Addendum-I Pre-Bid Meeting Link Corrigendum-II Addendum-6 Odisha Floating Solar Data Room - Contents Addendum_09 Addendum</t>
        </is>
      </c>
      <c r="D241" t="inlineStr">
        <is>
          <t>Solar</t>
        </is>
      </c>
      <c r="F241" t="inlineStr">
        <is>
          <t>Corrigendum</t>
        </is>
      </c>
      <c r="G241" t="inlineStr">
        <is>
          <t>Capacity not confirmed</t>
        </is>
      </c>
      <c r="H241" t="inlineStr">
        <is>
          <t>https://www.gridco.co.in/writereaddata/Tenders/301225101225upload.pdf</t>
        </is>
      </c>
    </row>
    <row r="242">
      <c r="B242" t="inlineStr">
        <is>
          <t>GRIDCO</t>
        </is>
      </c>
      <c r="C242" t="inlineStr">
        <is>
          <t>Addendum-6 Odisha Floating Solar Data Room - Contents</t>
        </is>
      </c>
      <c r="D242" t="inlineStr">
        <is>
          <t>Solar</t>
        </is>
      </c>
      <c r="F242" t="inlineStr">
        <is>
          <t>Open</t>
        </is>
      </c>
      <c r="G242" t="inlineStr">
        <is>
          <t>Capacity not confirmed</t>
        </is>
      </c>
      <c r="H242" t="inlineStr">
        <is>
          <t>https://www.gridco.co.in/writereaddata/Tenders/301126051106Addendum-6_Odisha Floating Solar Data room - Contents.pdf</t>
        </is>
      </c>
    </row>
    <row r="243">
      <c r="A243" t="inlineStr">
        <is>
          <t>SJVN-BESS2</t>
        </is>
      </c>
      <c r="B243" t="inlineStr">
        <is>
          <t>SJVN</t>
        </is>
      </c>
      <c r="C243" t="inlineStr">
        <is>
          <t>SJVN/CCDelhi/REIA/2026/BESS-2</t>
        </is>
      </c>
      <c r="D243" t="inlineStr">
        <is>
          <t>BESS</t>
        </is>
      </c>
      <c r="E243" t="n">
        <v>265</v>
      </c>
      <c r="F243" t="inlineStr">
        <is>
          <t>Open</t>
        </is>
      </c>
      <c r="G243" t="inlineStr">
        <is>
          <t>Deadline expired without verified extension</t>
        </is>
      </c>
      <c r="H243" t="inlineStr">
        <is>
          <t>https://sjvn.nic.in/en/tender</t>
        </is>
      </c>
    </row>
    <row r="244">
      <c r="A244" t="inlineStr">
        <is>
          <t>SECI000270</t>
        </is>
      </c>
      <c r="B244" t="inlineStr">
        <is>
          <t>SECI</t>
        </is>
      </c>
      <c r="C244" t="inlineStr">
        <is>
          <t>SECI/C&amp;P/OP/15/0005/26-27</t>
        </is>
      </c>
      <c r="D244" t="inlineStr">
        <is>
          <t>Solar</t>
        </is>
      </c>
      <c r="F244" t="inlineStr">
        <is>
          <t>Open</t>
        </is>
      </c>
      <c r="G244" t="inlineStr">
        <is>
          <t>Rooftop solar excluded</t>
        </is>
      </c>
      <c r="H244" t="inlineStr">
        <is>
          <t>https://www.seci.co.in/tender-details/YmV3</t>
        </is>
      </c>
    </row>
    <row r="245">
      <c r="A245" t="inlineStr">
        <is>
          <t>SECI000252</t>
        </is>
      </c>
      <c r="B245" t="inlineStr">
        <is>
          <t>SECI</t>
        </is>
      </c>
      <c r="C245" t="inlineStr">
        <is>
          <t>SECI/C&amp;P/OP/11/0001/26-27</t>
        </is>
      </c>
      <c r="D245" t="inlineStr">
        <is>
          <t>Solar</t>
        </is>
      </c>
      <c r="E245" t="n">
        <v>88</v>
      </c>
      <c r="F245" t="inlineStr">
        <is>
          <t>Open</t>
        </is>
      </c>
      <c r="G245" t="inlineStr">
        <is>
          <t>EPC / turnkey / BoS excluded</t>
        </is>
      </c>
      <c r="H245" t="inlineStr">
        <is>
          <t>https://www.seci.co.in/tender-details/Ymd1</t>
        </is>
      </c>
    </row>
    <row r="246">
      <c r="A246" t="inlineStr">
        <is>
          <t>SECI000267</t>
        </is>
      </c>
      <c r="B246" t="inlineStr">
        <is>
          <t>SECI</t>
        </is>
      </c>
      <c r="C246" t="inlineStr">
        <is>
          <t>SECI/C&amp;P/MI/00/0001/26-27</t>
        </is>
      </c>
      <c r="D246" t="inlineStr">
        <is>
          <t>Other</t>
        </is>
      </c>
      <c r="F246" t="inlineStr">
        <is>
          <t>Open</t>
        </is>
      </c>
      <c r="G246" t="inlineStr">
        <is>
          <t>Capacity not confirmed</t>
        </is>
      </c>
      <c r="H246" t="inlineStr">
        <is>
          <t>https://www.seci.co.in/tender-details/YmRw</t>
        </is>
      </c>
    </row>
    <row r="247">
      <c r="A247" t="inlineStr">
        <is>
          <t>SECI000263</t>
        </is>
      </c>
      <c r="B247" t="inlineStr">
        <is>
          <t>SECI</t>
        </is>
      </c>
      <c r="C247" t="inlineStr">
        <is>
          <t>SECI/C&amp;P/OP/11/0003/26-27</t>
        </is>
      </c>
      <c r="D247" t="inlineStr">
        <is>
          <t>Wind</t>
        </is>
      </c>
      <c r="E247" t="n">
        <v>45.6</v>
      </c>
      <c r="F247" t="inlineStr">
        <is>
          <t>Open</t>
        </is>
      </c>
      <c r="G247" t="inlineStr">
        <is>
          <t>Capacity below configured minimum</t>
        </is>
      </c>
      <c r="H247" t="inlineStr">
        <is>
          <t>https://www.seci.co.in/tender-details/YmR0</t>
        </is>
      </c>
    </row>
    <row r="248">
      <c r="A248" t="inlineStr">
        <is>
          <t>SECI000264</t>
        </is>
      </c>
      <c r="B248" t="inlineStr">
        <is>
          <t>SECI</t>
        </is>
      </c>
      <c r="C248" t="inlineStr">
        <is>
          <t>SECI/C&amp;P/EOI/17/0002/26-27</t>
        </is>
      </c>
      <c r="D248" t="inlineStr">
        <is>
          <t>Other</t>
        </is>
      </c>
      <c r="F248" t="inlineStr">
        <is>
          <t>Open</t>
        </is>
      </c>
      <c r="G248" t="inlineStr">
        <is>
          <t>Capacity not confirmed</t>
        </is>
      </c>
      <c r="H248" t="inlineStr">
        <is>
          <t>https://www.seci.co.in/tender-details/YmRz</t>
        </is>
      </c>
    </row>
    <row r="249">
      <c r="A249" t="inlineStr">
        <is>
          <t>SECI000265</t>
        </is>
      </c>
      <c r="B249" t="inlineStr">
        <is>
          <t>SECI</t>
        </is>
      </c>
      <c r="C249" t="inlineStr">
        <is>
          <t>SECI/C&amp;P/IPP/11/0007/26-27</t>
        </is>
      </c>
      <c r="D249" t="inlineStr">
        <is>
          <t>Solar</t>
        </is>
      </c>
      <c r="F249" t="inlineStr">
        <is>
          <t>Open</t>
        </is>
      </c>
      <c r="G249" t="inlineStr">
        <is>
          <t>Rooftop solar excluded</t>
        </is>
      </c>
      <c r="H249" t="inlineStr">
        <is>
          <t>https://www.seci.co.in/tender-details/YmRy</t>
        </is>
      </c>
    </row>
    <row r="250">
      <c r="A250" t="inlineStr">
        <is>
          <t>SECI000269</t>
        </is>
      </c>
      <c r="B250" t="inlineStr">
        <is>
          <t>SECI</t>
        </is>
      </c>
      <c r="C250" t="inlineStr">
        <is>
          <t>SECI000269</t>
        </is>
      </c>
      <c r="D250" t="inlineStr">
        <is>
          <t>BESS</t>
        </is>
      </c>
      <c r="E250" t="n">
        <v>40</v>
      </c>
      <c r="F250" t="inlineStr">
        <is>
          <t>Open</t>
        </is>
      </c>
      <c r="G250" t="inlineStr">
        <is>
          <t>Capacity below configured minimum</t>
        </is>
      </c>
      <c r="H250" t="inlineStr">
        <is>
          <t>https://www.seci.co.in/tender-details/YmR-</t>
        </is>
      </c>
    </row>
    <row r="251">
      <c r="A251" t="inlineStr">
        <is>
          <t>SECI000262</t>
        </is>
      </c>
      <c r="B251" t="inlineStr">
        <is>
          <t>SECI</t>
        </is>
      </c>
      <c r="C251" t="inlineStr">
        <is>
          <t>SECI/C&amp;P/OP/11/0002/26-27</t>
        </is>
      </c>
      <c r="D251" t="inlineStr">
        <is>
          <t>Solar + BESS</t>
        </is>
      </c>
      <c r="E251" t="n">
        <v>25</v>
      </c>
      <c r="F251" t="inlineStr">
        <is>
          <t>Open</t>
        </is>
      </c>
      <c r="G251" t="inlineStr">
        <is>
          <t>Capacity below configured minimum</t>
        </is>
      </c>
      <c r="H251" t="inlineStr">
        <is>
          <t>https://www.seci.co.in/tender-details/YmR1</t>
        </is>
      </c>
    </row>
    <row r="252">
      <c r="B252" t="inlineStr">
        <is>
          <t>NTPC REL</t>
        </is>
      </c>
      <c r="D252" t="inlineStr">
        <is>
          <t>Wind</t>
        </is>
      </c>
      <c r="E252" t="n">
        <v>600</v>
      </c>
      <c r="F252" t="inlineStr">
        <is>
          <t>Open</t>
        </is>
      </c>
      <c r="G252" t="inlineStr">
        <is>
          <t>Supply / installation excluded</t>
        </is>
      </c>
      <c r="H252" t="inlineStr">
        <is>
          <t>https://ntpctender.ntpc.co.in/NITDetails/NITs/30166</t>
        </is>
      </c>
    </row>
    <row r="253">
      <c r="B253" t="inlineStr">
        <is>
          <t>GRIDCO</t>
        </is>
      </c>
      <c r="C253" t="inlineStr">
        <is>
          <t>View Details Tender Document Addendum-I Pre-Bid Meeting Link Corrigendum-II Addendum-6 Odisha Floating Solar Data Room - Contents Addendum_09 Addendum</t>
        </is>
      </c>
      <c r="D253" t="inlineStr">
        <is>
          <t>Solar</t>
        </is>
      </c>
      <c r="F253" t="inlineStr">
        <is>
          <t>Corrigendum</t>
        </is>
      </c>
      <c r="G253" t="inlineStr">
        <is>
          <t>Capacity not confirmed</t>
        </is>
      </c>
      <c r="H253" t="inlineStr">
        <is>
          <t>https://www.gridco.co.in/writereaddata/Tenders/301225101225upload.pdf</t>
        </is>
      </c>
    </row>
    <row r="254">
      <c r="B254" t="inlineStr">
        <is>
          <t>GRIDCO</t>
        </is>
      </c>
      <c r="C254" t="inlineStr">
        <is>
          <t>Addendum-6 Odisha Floating Solar Data Room - Contents</t>
        </is>
      </c>
      <c r="D254" t="inlineStr">
        <is>
          <t>Solar</t>
        </is>
      </c>
      <c r="F254" t="inlineStr">
        <is>
          <t>Open</t>
        </is>
      </c>
      <c r="G254" t="inlineStr">
        <is>
          <t>Capacity not confirmed</t>
        </is>
      </c>
      <c r="H254" t="inlineStr">
        <is>
          <t>https://www.gridco.co.in/writereaddata/Tenders/301126051106Addendum-6_Odisha Floating Solar Data room - Contents.pdf</t>
        </is>
      </c>
    </row>
    <row r="255">
      <c r="A255" t="inlineStr">
        <is>
          <t>SECI000270</t>
        </is>
      </c>
      <c r="B255" t="inlineStr">
        <is>
          <t>SECI</t>
        </is>
      </c>
      <c r="C255" t="inlineStr">
        <is>
          <t>SECI/C&amp;P/OP/15/0005/26-27</t>
        </is>
      </c>
      <c r="D255" t="inlineStr">
        <is>
          <t>Solar</t>
        </is>
      </c>
      <c r="F255" t="inlineStr">
        <is>
          <t>Open</t>
        </is>
      </c>
      <c r="G255" t="inlineStr">
        <is>
          <t>Rooftop solar excluded</t>
        </is>
      </c>
      <c r="H255" t="inlineStr">
        <is>
          <t>https://www.seci.co.in/tender-details/YmV3</t>
        </is>
      </c>
    </row>
    <row r="256">
      <c r="A256" t="inlineStr">
        <is>
          <t>SECI000252</t>
        </is>
      </c>
      <c r="B256" t="inlineStr">
        <is>
          <t>SECI</t>
        </is>
      </c>
      <c r="C256" t="inlineStr">
        <is>
          <t>SECI/C&amp;P/OP/11/0001/26-27</t>
        </is>
      </c>
      <c r="D256" t="inlineStr">
        <is>
          <t>Solar</t>
        </is>
      </c>
      <c r="E256" t="n">
        <v>88</v>
      </c>
      <c r="F256" t="inlineStr">
        <is>
          <t>Open</t>
        </is>
      </c>
      <c r="G256" t="inlineStr">
        <is>
          <t>EPC / turnkey / BoS excluded</t>
        </is>
      </c>
      <c r="H256" t="inlineStr">
        <is>
          <t>https://www.seci.co.in/tender-details/Ymd1</t>
        </is>
      </c>
    </row>
    <row r="257">
      <c r="A257" t="inlineStr">
        <is>
          <t>SECI000267</t>
        </is>
      </c>
      <c r="B257" t="inlineStr">
        <is>
          <t>SECI</t>
        </is>
      </c>
      <c r="C257" t="inlineStr">
        <is>
          <t>SECI/C&amp;P/MI/00/0001/26-27</t>
        </is>
      </c>
      <c r="D257" t="inlineStr">
        <is>
          <t>Other</t>
        </is>
      </c>
      <c r="F257" t="inlineStr">
        <is>
          <t>Open</t>
        </is>
      </c>
      <c r="G257" t="inlineStr">
        <is>
          <t>Capacity not confirmed</t>
        </is>
      </c>
      <c r="H257" t="inlineStr">
        <is>
          <t>https://www.seci.co.in/tender-details/YmRw</t>
        </is>
      </c>
    </row>
    <row r="258">
      <c r="A258" t="inlineStr">
        <is>
          <t>SECI000263</t>
        </is>
      </c>
      <c r="B258" t="inlineStr">
        <is>
          <t>SECI</t>
        </is>
      </c>
      <c r="C258" t="inlineStr">
        <is>
          <t>SECI/C&amp;P/OP/11/0003/26-27</t>
        </is>
      </c>
      <c r="D258" t="inlineStr">
        <is>
          <t>Wind</t>
        </is>
      </c>
      <c r="E258" t="n">
        <v>45.6</v>
      </c>
      <c r="F258" t="inlineStr">
        <is>
          <t>Open</t>
        </is>
      </c>
      <c r="G258" t="inlineStr">
        <is>
          <t>Capacity below configured minimum</t>
        </is>
      </c>
      <c r="H258" t="inlineStr">
        <is>
          <t>https://www.seci.co.in/tender-details/YmR0</t>
        </is>
      </c>
    </row>
    <row r="259">
      <c r="A259" t="inlineStr">
        <is>
          <t>SECI000264</t>
        </is>
      </c>
      <c r="B259" t="inlineStr">
        <is>
          <t>SECI</t>
        </is>
      </c>
      <c r="C259" t="inlineStr">
        <is>
          <t>SECI/C&amp;P/EOI/17/0002/26-27</t>
        </is>
      </c>
      <c r="D259" t="inlineStr">
        <is>
          <t>Other</t>
        </is>
      </c>
      <c r="F259" t="inlineStr">
        <is>
          <t>Open</t>
        </is>
      </c>
      <c r="G259" t="inlineStr">
        <is>
          <t>Capacity not confirmed</t>
        </is>
      </c>
      <c r="H259" t="inlineStr">
        <is>
          <t>https://www.seci.co.in/tender-details/YmRz</t>
        </is>
      </c>
    </row>
    <row r="260">
      <c r="A260" t="inlineStr">
        <is>
          <t>SECI000265</t>
        </is>
      </c>
      <c r="B260" t="inlineStr">
        <is>
          <t>SECI</t>
        </is>
      </c>
      <c r="C260" t="inlineStr">
        <is>
          <t>SECI/C&amp;P/IPP/11/0007/26-27</t>
        </is>
      </c>
      <c r="D260" t="inlineStr">
        <is>
          <t>Solar</t>
        </is>
      </c>
      <c r="F260" t="inlineStr">
        <is>
          <t>Open</t>
        </is>
      </c>
      <c r="G260" t="inlineStr">
        <is>
          <t>Rooftop solar excluded</t>
        </is>
      </c>
      <c r="H260" t="inlineStr">
        <is>
          <t>https://www.seci.co.in/tender-details/YmRy</t>
        </is>
      </c>
    </row>
    <row r="261">
      <c r="A261" t="inlineStr">
        <is>
          <t>SECI000269</t>
        </is>
      </c>
      <c r="B261" t="inlineStr">
        <is>
          <t>SECI</t>
        </is>
      </c>
      <c r="C261" t="inlineStr">
        <is>
          <t>SECI000269</t>
        </is>
      </c>
      <c r="D261" t="inlineStr">
        <is>
          <t>BESS</t>
        </is>
      </c>
      <c r="E261" t="n">
        <v>40</v>
      </c>
      <c r="F261" t="inlineStr">
        <is>
          <t>Open</t>
        </is>
      </c>
      <c r="G261" t="inlineStr">
        <is>
          <t>Capacity below configured minimum</t>
        </is>
      </c>
      <c r="H261" t="inlineStr">
        <is>
          <t>https://www.seci.co.in/tender-details/YmR-</t>
        </is>
      </c>
    </row>
    <row r="262">
      <c r="A262" t="inlineStr">
        <is>
          <t>SECI000262</t>
        </is>
      </c>
      <c r="B262" t="inlineStr">
        <is>
          <t>SECI</t>
        </is>
      </c>
      <c r="C262" t="inlineStr">
        <is>
          <t>SECI/C&amp;P/OP/11/0002/26-27</t>
        </is>
      </c>
      <c r="D262" t="inlineStr">
        <is>
          <t>Solar + BESS</t>
        </is>
      </c>
      <c r="E262" t="n">
        <v>25</v>
      </c>
      <c r="F262" t="inlineStr">
        <is>
          <t>Open</t>
        </is>
      </c>
      <c r="G262" t="inlineStr">
        <is>
          <t>Capacity below configured minimum</t>
        </is>
      </c>
      <c r="H262" t="inlineStr">
        <is>
          <t>https://www.seci.co.in/tender-details/YmR1</t>
        </is>
      </c>
    </row>
    <row r="263">
      <c r="B263" t="inlineStr">
        <is>
          <t>NTPC REL</t>
        </is>
      </c>
      <c r="D263" t="inlineStr">
        <is>
          <t>Wind</t>
        </is>
      </c>
      <c r="E263" t="n">
        <v>600</v>
      </c>
      <c r="F263" t="inlineStr">
        <is>
          <t>Open</t>
        </is>
      </c>
      <c r="G263" t="inlineStr">
        <is>
          <t>Supply / installation excluded</t>
        </is>
      </c>
      <c r="H263" t="inlineStr">
        <is>
          <t>https://ntpctender.ntpc.co.in/NITDetails/NITs/30166</t>
        </is>
      </c>
    </row>
    <row r="264">
      <c r="B264" t="inlineStr">
        <is>
          <t>GRIDCO</t>
        </is>
      </c>
      <c r="C264" t="inlineStr">
        <is>
          <t>View Details Tender Document Addendum-I Pre-Bid Meeting Link Corrigendum-II Addendum-6 Odisha Floating Solar Data Room - Contents Addendum_09 Addendum</t>
        </is>
      </c>
      <c r="D264" t="inlineStr">
        <is>
          <t>Solar</t>
        </is>
      </c>
      <c r="F264" t="inlineStr">
        <is>
          <t>Corrigendum</t>
        </is>
      </c>
      <c r="G264" t="inlineStr">
        <is>
          <t>Capacity not confirmed</t>
        </is>
      </c>
      <c r="H264" t="inlineStr">
        <is>
          <t>https://www.gridco.co.in/writereaddata/Tenders/301225101225upload.pdf</t>
        </is>
      </c>
    </row>
    <row r="265">
      <c r="B265" t="inlineStr">
        <is>
          <t>GRIDCO</t>
        </is>
      </c>
      <c r="C265" t="inlineStr">
        <is>
          <t>Addendum-6 Odisha Floating Solar Data Room - Contents</t>
        </is>
      </c>
      <c r="D265" t="inlineStr">
        <is>
          <t>Solar</t>
        </is>
      </c>
      <c r="F265" t="inlineStr">
        <is>
          <t>Open</t>
        </is>
      </c>
      <c r="G265" t="inlineStr">
        <is>
          <t>Capacity not confirmed</t>
        </is>
      </c>
      <c r="H265" t="inlineStr">
        <is>
          <t>https://www.gridco.co.in/writereaddata/Tenders/301126051106Addendum-6_Odisha Floating Solar Data room - Contents.pdf</t>
        </is>
      </c>
    </row>
    <row r="266">
      <c r="A266" t="inlineStr">
        <is>
          <t>SECI000270</t>
        </is>
      </c>
      <c r="B266" t="inlineStr">
        <is>
          <t>SECI</t>
        </is>
      </c>
      <c r="C266" t="inlineStr">
        <is>
          <t>SECI/C&amp;P/OP/15/0005/26-27</t>
        </is>
      </c>
      <c r="D266" t="inlineStr">
        <is>
          <t>Solar</t>
        </is>
      </c>
      <c r="F266" t="inlineStr">
        <is>
          <t>Open</t>
        </is>
      </c>
      <c r="G266" t="inlineStr">
        <is>
          <t>Rooftop solar excluded</t>
        </is>
      </c>
      <c r="H266" t="inlineStr">
        <is>
          <t>https://www.seci.co.in/tender-details/YmV3</t>
        </is>
      </c>
    </row>
    <row r="267">
      <c r="A267" t="inlineStr">
        <is>
          <t>SECI000252</t>
        </is>
      </c>
      <c r="B267" t="inlineStr">
        <is>
          <t>SECI</t>
        </is>
      </c>
      <c r="C267" t="inlineStr">
        <is>
          <t>SECI/C&amp;P/OP/11/0001/26-27</t>
        </is>
      </c>
      <c r="D267" t="inlineStr">
        <is>
          <t>Solar</t>
        </is>
      </c>
      <c r="E267" t="n">
        <v>88</v>
      </c>
      <c r="F267" t="inlineStr">
        <is>
          <t>Open</t>
        </is>
      </c>
      <c r="G267" t="inlineStr">
        <is>
          <t>EPC / turnkey / BoS excluded</t>
        </is>
      </c>
      <c r="H267" t="inlineStr">
        <is>
          <t>https://www.seci.co.in/tender-details/Ymd1</t>
        </is>
      </c>
    </row>
    <row r="268">
      <c r="A268" t="inlineStr">
        <is>
          <t>SECI000262</t>
        </is>
      </c>
      <c r="B268" t="inlineStr">
        <is>
          <t>SECI</t>
        </is>
      </c>
      <c r="C268" t="inlineStr">
        <is>
          <t>SECI/C&amp;P/OP/11/0002/26-27</t>
        </is>
      </c>
      <c r="D268" t="inlineStr">
        <is>
          <t>Solar + BESS</t>
        </is>
      </c>
      <c r="E268" t="n">
        <v>25</v>
      </c>
      <c r="F268" t="inlineStr">
        <is>
          <t>Open</t>
        </is>
      </c>
      <c r="G268" t="inlineStr">
        <is>
          <t>Capacity below configured minimum</t>
        </is>
      </c>
      <c r="H268" t="inlineStr">
        <is>
          <t>https://www.seci.co.in/tender-details/YmR1</t>
        </is>
      </c>
    </row>
    <row r="269">
      <c r="A269" t="inlineStr">
        <is>
          <t>SECI000267</t>
        </is>
      </c>
      <c r="B269" t="inlineStr">
        <is>
          <t>SECI</t>
        </is>
      </c>
      <c r="C269" t="inlineStr">
        <is>
          <t>SECI/C&amp;P/MI/00/0001/26-27</t>
        </is>
      </c>
      <c r="D269" t="inlineStr">
        <is>
          <t>Other</t>
        </is>
      </c>
      <c r="F269" t="inlineStr">
        <is>
          <t>Open</t>
        </is>
      </c>
      <c r="G269" t="inlineStr">
        <is>
          <t>Capacity not confirmed</t>
        </is>
      </c>
      <c r="H269" t="inlineStr">
        <is>
          <t>https://www.seci.co.in/tender-details/YmRw</t>
        </is>
      </c>
    </row>
    <row r="270">
      <c r="A270" t="inlineStr">
        <is>
          <t>SECI000263</t>
        </is>
      </c>
      <c r="B270" t="inlineStr">
        <is>
          <t>SECI</t>
        </is>
      </c>
      <c r="C270" t="inlineStr">
        <is>
          <t>SECI/C&amp;P/OP/11/0003/26-27</t>
        </is>
      </c>
      <c r="D270" t="inlineStr">
        <is>
          <t>Wind</t>
        </is>
      </c>
      <c r="E270" t="n">
        <v>45.6</v>
      </c>
      <c r="F270" t="inlineStr">
        <is>
          <t>Open</t>
        </is>
      </c>
      <c r="G270" t="inlineStr">
        <is>
          <t>Capacity below configured minimum</t>
        </is>
      </c>
      <c r="H270" t="inlineStr">
        <is>
          <t>https://www.seci.co.in/tender-details/YmR0</t>
        </is>
      </c>
    </row>
    <row r="271">
      <c r="A271" t="inlineStr">
        <is>
          <t>SECI000264</t>
        </is>
      </c>
      <c r="B271" t="inlineStr">
        <is>
          <t>SECI</t>
        </is>
      </c>
      <c r="C271" t="inlineStr">
        <is>
          <t>SECI/C&amp;P/EOI/17/0002/26-27</t>
        </is>
      </c>
      <c r="D271" t="inlineStr">
        <is>
          <t>Other</t>
        </is>
      </c>
      <c r="F271" t="inlineStr">
        <is>
          <t>Open</t>
        </is>
      </c>
      <c r="G271" t="inlineStr">
        <is>
          <t>Capacity not confirmed</t>
        </is>
      </c>
      <c r="H271" t="inlineStr">
        <is>
          <t>https://www.seci.co.in/tender-details/YmRz</t>
        </is>
      </c>
    </row>
    <row r="272">
      <c r="A272" t="inlineStr">
        <is>
          <t>SECI000265</t>
        </is>
      </c>
      <c r="B272" t="inlineStr">
        <is>
          <t>SECI</t>
        </is>
      </c>
      <c r="C272" t="inlineStr">
        <is>
          <t>SECI/C&amp;P/IPP/11/0007/26-27</t>
        </is>
      </c>
      <c r="D272" t="inlineStr">
        <is>
          <t>Solar</t>
        </is>
      </c>
      <c r="F272" t="inlineStr">
        <is>
          <t>Open</t>
        </is>
      </c>
      <c r="G272" t="inlineStr">
        <is>
          <t>Rooftop solar excluded</t>
        </is>
      </c>
      <c r="H272" t="inlineStr">
        <is>
          <t>https://www.seci.co.in/tender-details/YmRy</t>
        </is>
      </c>
    </row>
    <row r="273">
      <c r="A273" t="inlineStr">
        <is>
          <t>SECI000269</t>
        </is>
      </c>
      <c r="B273" t="inlineStr">
        <is>
          <t>SECI</t>
        </is>
      </c>
      <c r="C273" t="inlineStr">
        <is>
          <t>SECI000269</t>
        </is>
      </c>
      <c r="D273" t="inlineStr">
        <is>
          <t>BESS</t>
        </is>
      </c>
      <c r="E273" t="n">
        <v>40</v>
      </c>
      <c r="F273" t="inlineStr">
        <is>
          <t>Open</t>
        </is>
      </c>
      <c r="G273" t="inlineStr">
        <is>
          <t>Capacity below configured minimum</t>
        </is>
      </c>
      <c r="H273" t="inlineStr">
        <is>
          <t>https://www.seci.co.in/tender-details/YmR-</t>
        </is>
      </c>
    </row>
    <row r="274">
      <c r="B274" t="inlineStr">
        <is>
          <t>NTPC REL</t>
        </is>
      </c>
      <c r="D274" t="inlineStr">
        <is>
          <t>Wind</t>
        </is>
      </c>
      <c r="E274" t="n">
        <v>600</v>
      </c>
      <c r="F274" t="inlineStr">
        <is>
          <t>Open</t>
        </is>
      </c>
      <c r="G274" t="inlineStr">
        <is>
          <t>Supply / installation excluded</t>
        </is>
      </c>
      <c r="H274" t="inlineStr">
        <is>
          <t>https://ntpctender.ntpc.co.in/NITDetails/NITs/30166</t>
        </is>
      </c>
    </row>
    <row r="275">
      <c r="B275" t="inlineStr">
        <is>
          <t>GRIDCO</t>
        </is>
      </c>
      <c r="C275" t="inlineStr">
        <is>
          <t>View Details Tender Document Addendum-I Pre-Bid Meeting Link Corrigendum-II Addendum-6 Odisha Floating Solar Data Room - Contents Addendum_09 Addendum</t>
        </is>
      </c>
      <c r="D275" t="inlineStr">
        <is>
          <t>Solar</t>
        </is>
      </c>
      <c r="F275" t="inlineStr">
        <is>
          <t>Corrigendum</t>
        </is>
      </c>
      <c r="G275" t="inlineStr">
        <is>
          <t>Capacity not confirmed</t>
        </is>
      </c>
      <c r="H275" t="inlineStr">
        <is>
          <t>https://www.gridco.co.in/writereaddata/Tenders/301225101225upload.pdf</t>
        </is>
      </c>
    </row>
    <row r="276">
      <c r="B276" t="inlineStr">
        <is>
          <t>GRIDCO</t>
        </is>
      </c>
      <c r="C276" t="inlineStr">
        <is>
          <t>Addendum-6 Odisha Floating Solar Data Room - Contents</t>
        </is>
      </c>
      <c r="D276" t="inlineStr">
        <is>
          <t>Solar</t>
        </is>
      </c>
      <c r="F276" t="inlineStr">
        <is>
          <t>Open</t>
        </is>
      </c>
      <c r="G276" t="inlineStr">
        <is>
          <t>Capacity not confirmed</t>
        </is>
      </c>
      <c r="H276" t="inlineStr">
        <is>
          <t>https://www.gridco.co.in/writereaddata/Tenders/301126051106Addendum-6_Odisha Floating Solar Data room - Contents.pdf</t>
        </is>
      </c>
    </row>
    <row r="277">
      <c r="A277" t="inlineStr">
        <is>
          <t>SECI000270</t>
        </is>
      </c>
      <c r="B277" t="inlineStr">
        <is>
          <t>SECI</t>
        </is>
      </c>
      <c r="C277" t="inlineStr">
        <is>
          <t>SECI/C&amp;P/OP/15/0005/26-27</t>
        </is>
      </c>
      <c r="D277" t="inlineStr">
        <is>
          <t>Solar</t>
        </is>
      </c>
      <c r="F277" t="inlineStr">
        <is>
          <t>Open</t>
        </is>
      </c>
      <c r="G277" t="inlineStr">
        <is>
          <t>Rooftop solar excluded</t>
        </is>
      </c>
      <c r="H277" t="inlineStr">
        <is>
          <t>https://www.seci.co.in/tender-details/YmV3</t>
        </is>
      </c>
    </row>
    <row r="278">
      <c r="A278" t="inlineStr">
        <is>
          <t>SECI000252</t>
        </is>
      </c>
      <c r="B278" t="inlineStr">
        <is>
          <t>SECI</t>
        </is>
      </c>
      <c r="C278" t="inlineStr">
        <is>
          <t>SECI/C&amp;P/OP/11/0001/26-27</t>
        </is>
      </c>
      <c r="D278" t="inlineStr">
        <is>
          <t>Solar</t>
        </is>
      </c>
      <c r="E278" t="n">
        <v>88</v>
      </c>
      <c r="F278" t="inlineStr">
        <is>
          <t>Open</t>
        </is>
      </c>
      <c r="G278" t="inlineStr">
        <is>
          <t>EPC / turnkey / BoS excluded</t>
        </is>
      </c>
      <c r="H278" t="inlineStr">
        <is>
          <t>https://www.seci.co.in/tender-details/Ymd1</t>
        </is>
      </c>
    </row>
    <row r="279">
      <c r="A279" t="inlineStr">
        <is>
          <t>SECI000262</t>
        </is>
      </c>
      <c r="B279" t="inlineStr">
        <is>
          <t>SECI</t>
        </is>
      </c>
      <c r="C279" t="inlineStr">
        <is>
          <t>SECI/C&amp;P/OP/11/0002/26-27</t>
        </is>
      </c>
      <c r="D279" t="inlineStr">
        <is>
          <t>Solar + BESS</t>
        </is>
      </c>
      <c r="E279" t="n">
        <v>25</v>
      </c>
      <c r="F279" t="inlineStr">
        <is>
          <t>Open</t>
        </is>
      </c>
      <c r="G279" t="inlineStr">
        <is>
          <t>Capacity below configured minimum</t>
        </is>
      </c>
      <c r="H279" t="inlineStr">
        <is>
          <t>https://www.seci.co.in/tender-details/YmR1</t>
        </is>
      </c>
    </row>
    <row r="280">
      <c r="A280" t="inlineStr">
        <is>
          <t>SECI000267</t>
        </is>
      </c>
      <c r="B280" t="inlineStr">
        <is>
          <t>SECI</t>
        </is>
      </c>
      <c r="C280" t="inlineStr">
        <is>
          <t>SECI/C&amp;P/MI/00/0001/26-27</t>
        </is>
      </c>
      <c r="D280" t="inlineStr">
        <is>
          <t>Other</t>
        </is>
      </c>
      <c r="F280" t="inlineStr">
        <is>
          <t>Open</t>
        </is>
      </c>
      <c r="G280" t="inlineStr">
        <is>
          <t>Capacity not confirmed</t>
        </is>
      </c>
      <c r="H280" t="inlineStr">
        <is>
          <t>https://www.seci.co.in/tender-details/YmRw</t>
        </is>
      </c>
    </row>
    <row r="281">
      <c r="A281" t="inlineStr">
        <is>
          <t>SECI000269</t>
        </is>
      </c>
      <c r="B281" t="inlineStr">
        <is>
          <t>SECI</t>
        </is>
      </c>
      <c r="C281" t="inlineStr">
        <is>
          <t>SECI000269</t>
        </is>
      </c>
      <c r="D281" t="inlineStr">
        <is>
          <t>BESS</t>
        </is>
      </c>
      <c r="E281" t="n">
        <v>40</v>
      </c>
      <c r="F281" t="inlineStr">
        <is>
          <t>Open</t>
        </is>
      </c>
      <c r="G281" t="inlineStr">
        <is>
          <t>Capacity below configured minimum</t>
        </is>
      </c>
      <c r="H281" t="inlineStr">
        <is>
          <t>https://www.seci.co.in/tender-details/YmR-</t>
        </is>
      </c>
    </row>
    <row r="282">
      <c r="A282" t="inlineStr">
        <is>
          <t>SECI000263</t>
        </is>
      </c>
      <c r="B282" t="inlineStr">
        <is>
          <t>SECI</t>
        </is>
      </c>
      <c r="C282" t="inlineStr">
        <is>
          <t>SECI/C&amp;P/OP/11/0003/26-27</t>
        </is>
      </c>
      <c r="D282" t="inlineStr">
        <is>
          <t>Wind</t>
        </is>
      </c>
      <c r="E282" t="n">
        <v>45.6</v>
      </c>
      <c r="F282" t="inlineStr">
        <is>
          <t>Open</t>
        </is>
      </c>
      <c r="G282" t="inlineStr">
        <is>
          <t>Capacity below configured minimum</t>
        </is>
      </c>
      <c r="H282" t="inlineStr">
        <is>
          <t>https://www.seci.co.in/tender-details/YmR0</t>
        </is>
      </c>
    </row>
    <row r="283">
      <c r="A283" t="inlineStr">
        <is>
          <t>SECI000264</t>
        </is>
      </c>
      <c r="B283" t="inlineStr">
        <is>
          <t>SECI</t>
        </is>
      </c>
      <c r="C283" t="inlineStr">
        <is>
          <t>SECI/C&amp;P/EOI/17/0002/26-27</t>
        </is>
      </c>
      <c r="D283" t="inlineStr">
        <is>
          <t>Other</t>
        </is>
      </c>
      <c r="F283" t="inlineStr">
        <is>
          <t>Open</t>
        </is>
      </c>
      <c r="G283" t="inlineStr">
        <is>
          <t>Capacity not confirmed</t>
        </is>
      </c>
      <c r="H283" t="inlineStr">
        <is>
          <t>https://www.seci.co.in/tender-details/YmRz</t>
        </is>
      </c>
    </row>
    <row r="284">
      <c r="A284" t="inlineStr">
        <is>
          <t>SECI000265</t>
        </is>
      </c>
      <c r="B284" t="inlineStr">
        <is>
          <t>SECI</t>
        </is>
      </c>
      <c r="C284" t="inlineStr">
        <is>
          <t>SECI/C&amp;P/IPP/11/0007/26-27</t>
        </is>
      </c>
      <c r="D284" t="inlineStr">
        <is>
          <t>Solar</t>
        </is>
      </c>
      <c r="F284" t="inlineStr">
        <is>
          <t>Open</t>
        </is>
      </c>
      <c r="G284" t="inlineStr">
        <is>
          <t>Rooftop solar excluded</t>
        </is>
      </c>
      <c r="H284" t="inlineStr">
        <is>
          <t>https://www.seci.co.in/tender-details/YmRy</t>
        </is>
      </c>
    </row>
    <row r="285">
      <c r="B285" t="inlineStr">
        <is>
          <t>NTPC REL</t>
        </is>
      </c>
      <c r="D285" t="inlineStr">
        <is>
          <t>Wind</t>
        </is>
      </c>
      <c r="E285" t="n">
        <v>600</v>
      </c>
      <c r="F285" t="inlineStr">
        <is>
          <t>Open</t>
        </is>
      </c>
      <c r="G285" t="inlineStr">
        <is>
          <t>Supply / installation excluded</t>
        </is>
      </c>
      <c r="H285" t="inlineStr">
        <is>
          <t>https://ntpctender.ntpc.co.in/NITDetails/NITs/30166</t>
        </is>
      </c>
    </row>
    <row r="286">
      <c r="B286" t="inlineStr">
        <is>
          <t>GRIDCO</t>
        </is>
      </c>
      <c r="C286" t="inlineStr">
        <is>
          <t>View Details Tender Document Addendum-I Pre-Bid Meeting Link Corrigendum-II Addendum-6 Odisha Floating Solar Data Room - Contents Addendum_09 Addendum</t>
        </is>
      </c>
      <c r="D286" t="inlineStr">
        <is>
          <t>Solar</t>
        </is>
      </c>
      <c r="F286" t="inlineStr">
        <is>
          <t>Corrigendum</t>
        </is>
      </c>
      <c r="G286" t="inlineStr">
        <is>
          <t>Capacity not confirmed</t>
        </is>
      </c>
      <c r="H286" t="inlineStr">
        <is>
          <t>https://www.gridco.co.in/writereaddata/Tenders/301225101225upload.pdf</t>
        </is>
      </c>
    </row>
    <row r="287">
      <c r="B287" t="inlineStr">
        <is>
          <t>GRIDCO</t>
        </is>
      </c>
      <c r="C287" t="inlineStr">
        <is>
          <t>Addendum-6 Odisha Floating Solar Data Room - Contents</t>
        </is>
      </c>
      <c r="D287" t="inlineStr">
        <is>
          <t>Solar</t>
        </is>
      </c>
      <c r="F287" t="inlineStr">
        <is>
          <t>Open</t>
        </is>
      </c>
      <c r="G287" t="inlineStr">
        <is>
          <t>Capacity not confirmed</t>
        </is>
      </c>
      <c r="H287" t="inlineStr">
        <is>
          <t>https://www.gridco.co.in/writereaddata/Tenders/301126051106Addendum-6_Odisha Floating Solar Data room - Contents.pdf</t>
        </is>
      </c>
    </row>
    <row r="288">
      <c r="A288" t="inlineStr">
        <is>
          <t>SECI000270</t>
        </is>
      </c>
      <c r="B288" t="inlineStr">
        <is>
          <t>SECI</t>
        </is>
      </c>
      <c r="C288" t="inlineStr">
        <is>
          <t>SECI/C&amp;P/OP/15/0005/26-27</t>
        </is>
      </c>
      <c r="D288" t="inlineStr">
        <is>
          <t>Solar</t>
        </is>
      </c>
      <c r="F288" t="inlineStr">
        <is>
          <t>Open</t>
        </is>
      </c>
      <c r="G288" t="inlineStr">
        <is>
          <t>Rooftop solar excluded</t>
        </is>
      </c>
      <c r="H288" t="inlineStr">
        <is>
          <t>https://www.seci.co.in/tender-details/YmV3</t>
        </is>
      </c>
    </row>
    <row r="289">
      <c r="A289" t="inlineStr">
        <is>
          <t>SECI000252</t>
        </is>
      </c>
      <c r="B289" t="inlineStr">
        <is>
          <t>SECI</t>
        </is>
      </c>
      <c r="C289" t="inlineStr">
        <is>
          <t>SECI/C&amp;P/OP/11/0001/26-27</t>
        </is>
      </c>
      <c r="D289" t="inlineStr">
        <is>
          <t>Solar</t>
        </is>
      </c>
      <c r="E289" t="n">
        <v>88</v>
      </c>
      <c r="F289" t="inlineStr">
        <is>
          <t>Open</t>
        </is>
      </c>
      <c r="G289" t="inlineStr">
        <is>
          <t>EPC / turnkey / BoS excluded</t>
        </is>
      </c>
      <c r="H289" t="inlineStr">
        <is>
          <t>https://www.seci.co.in/tender-details/Ymd1</t>
        </is>
      </c>
    </row>
    <row r="290">
      <c r="A290" t="inlineStr">
        <is>
          <t>SECI000262</t>
        </is>
      </c>
      <c r="B290" t="inlineStr">
        <is>
          <t>SECI</t>
        </is>
      </c>
      <c r="C290" t="inlineStr">
        <is>
          <t>SECI/C&amp;P/OP/11/0002/26-27</t>
        </is>
      </c>
      <c r="D290" t="inlineStr">
        <is>
          <t>Solar + BESS</t>
        </is>
      </c>
      <c r="E290" t="n">
        <v>25</v>
      </c>
      <c r="F290" t="inlineStr">
        <is>
          <t>Open</t>
        </is>
      </c>
      <c r="G290" t="inlineStr">
        <is>
          <t>Capacity below configured minimum</t>
        </is>
      </c>
      <c r="H290" t="inlineStr">
        <is>
          <t>https://www.seci.co.in/tender-details/YmR1</t>
        </is>
      </c>
    </row>
    <row r="291">
      <c r="A291" t="inlineStr">
        <is>
          <t>SECI000267</t>
        </is>
      </c>
      <c r="B291" t="inlineStr">
        <is>
          <t>SECI</t>
        </is>
      </c>
      <c r="C291" t="inlineStr">
        <is>
          <t>SECI/C&amp;P/MI/00/0001/26-27</t>
        </is>
      </c>
      <c r="D291" t="inlineStr">
        <is>
          <t>Other</t>
        </is>
      </c>
      <c r="F291" t="inlineStr">
        <is>
          <t>Open</t>
        </is>
      </c>
      <c r="G291" t="inlineStr">
        <is>
          <t>Capacity not confirmed</t>
        </is>
      </c>
      <c r="H291" t="inlineStr">
        <is>
          <t>https://www.seci.co.in/tender-details/YmRw</t>
        </is>
      </c>
    </row>
    <row r="292">
      <c r="A292" t="inlineStr">
        <is>
          <t>SECI000269</t>
        </is>
      </c>
      <c r="B292" t="inlineStr">
        <is>
          <t>SECI</t>
        </is>
      </c>
      <c r="C292" t="inlineStr">
        <is>
          <t>SECI000269</t>
        </is>
      </c>
      <c r="D292" t="inlineStr">
        <is>
          <t>BESS</t>
        </is>
      </c>
      <c r="E292" t="n">
        <v>40</v>
      </c>
      <c r="F292" t="inlineStr">
        <is>
          <t>Open</t>
        </is>
      </c>
      <c r="G292" t="inlineStr">
        <is>
          <t>Capacity below configured minimum</t>
        </is>
      </c>
      <c r="H292" t="inlineStr">
        <is>
          <t>https://www.seci.co.in/tender-details/YmR-</t>
        </is>
      </c>
    </row>
    <row r="293">
      <c r="A293" t="inlineStr">
        <is>
          <t>SECI000263</t>
        </is>
      </c>
      <c r="B293" t="inlineStr">
        <is>
          <t>SECI</t>
        </is>
      </c>
      <c r="C293" t="inlineStr">
        <is>
          <t>SECI/C&amp;P/OP/11/0003/26-27</t>
        </is>
      </c>
      <c r="D293" t="inlineStr">
        <is>
          <t>Wind</t>
        </is>
      </c>
      <c r="E293" t="n">
        <v>45.6</v>
      </c>
      <c r="F293" t="inlineStr">
        <is>
          <t>Open</t>
        </is>
      </c>
      <c r="G293" t="inlineStr">
        <is>
          <t>Capacity below configured minimum</t>
        </is>
      </c>
      <c r="H293" t="inlineStr">
        <is>
          <t>https://www.seci.co.in/tender-details/YmR0</t>
        </is>
      </c>
    </row>
    <row r="294">
      <c r="A294" t="inlineStr">
        <is>
          <t>SECI000264</t>
        </is>
      </c>
      <c r="B294" t="inlineStr">
        <is>
          <t>SECI</t>
        </is>
      </c>
      <c r="C294" t="inlineStr">
        <is>
          <t>SECI/C&amp;P/EOI/17/0002/26-27</t>
        </is>
      </c>
      <c r="D294" t="inlineStr">
        <is>
          <t>Other</t>
        </is>
      </c>
      <c r="F294" t="inlineStr">
        <is>
          <t>Open</t>
        </is>
      </c>
      <c r="G294" t="inlineStr">
        <is>
          <t>Capacity not confirmed</t>
        </is>
      </c>
      <c r="H294" t="inlineStr">
        <is>
          <t>https://www.seci.co.in/tender-details/YmRz</t>
        </is>
      </c>
    </row>
    <row r="295">
      <c r="A295" t="inlineStr">
        <is>
          <t>SECI000265</t>
        </is>
      </c>
      <c r="B295" t="inlineStr">
        <is>
          <t>SECI</t>
        </is>
      </c>
      <c r="C295" t="inlineStr">
        <is>
          <t>SECI/C&amp;P/IPP/11/0007/26-27</t>
        </is>
      </c>
      <c r="D295" t="inlineStr">
        <is>
          <t>Solar</t>
        </is>
      </c>
      <c r="F295" t="inlineStr">
        <is>
          <t>Open</t>
        </is>
      </c>
      <c r="G295" t="inlineStr">
        <is>
          <t>Rooftop solar excluded</t>
        </is>
      </c>
      <c r="H295" t="inlineStr">
        <is>
          <t>https://www.seci.co.in/tender-details/YmRy</t>
        </is>
      </c>
    </row>
    <row r="296">
      <c r="B296" t="inlineStr">
        <is>
          <t>NTPC REL</t>
        </is>
      </c>
      <c r="D296" t="inlineStr">
        <is>
          <t>Wind</t>
        </is>
      </c>
      <c r="E296" t="n">
        <v>600</v>
      </c>
      <c r="F296" t="inlineStr">
        <is>
          <t>Open</t>
        </is>
      </c>
      <c r="G296" t="inlineStr">
        <is>
          <t>Supply / installation excluded</t>
        </is>
      </c>
      <c r="H296" t="inlineStr">
        <is>
          <t>https://ntpctender.ntpc.co.in/NITDetails/NITs/30166</t>
        </is>
      </c>
    </row>
    <row r="297">
      <c r="B297" t="inlineStr">
        <is>
          <t>GRIDCO</t>
        </is>
      </c>
      <c r="C297" t="inlineStr">
        <is>
          <t>View Details Tender Document Addendum-I Pre-Bid Meeting Link Corrigendum-II Addendum-6 Odisha Floating Solar Data Room - Contents Addendum_09 Addendum</t>
        </is>
      </c>
      <c r="D297" t="inlineStr">
        <is>
          <t>Solar</t>
        </is>
      </c>
      <c r="F297" t="inlineStr">
        <is>
          <t>Corrigendum</t>
        </is>
      </c>
      <c r="G297" t="inlineStr">
        <is>
          <t>Capacity not confirmed</t>
        </is>
      </c>
      <c r="H297" t="inlineStr">
        <is>
          <t>https://www.gridco.co.in/writereaddata/Tenders/301225101225upload.pdf</t>
        </is>
      </c>
    </row>
    <row r="298">
      <c r="B298" t="inlineStr">
        <is>
          <t>GRIDCO</t>
        </is>
      </c>
      <c r="C298" t="inlineStr">
        <is>
          <t>Addendum-6 Odisha Floating Solar Data Room - Contents</t>
        </is>
      </c>
      <c r="D298" t="inlineStr">
        <is>
          <t>Solar</t>
        </is>
      </c>
      <c r="F298" t="inlineStr">
        <is>
          <t>Open</t>
        </is>
      </c>
      <c r="G298" t="inlineStr">
        <is>
          <t>Capacity not confirmed</t>
        </is>
      </c>
      <c r="H298" t="inlineStr">
        <is>
          <t>https://www.gridco.co.in/writereaddata/Tenders/301126051106Addendum-6_Odisha Floating Solar Data room - Contents.pdf</t>
        </is>
      </c>
    </row>
    <row r="299">
      <c r="A299" t="inlineStr">
        <is>
          <t>SECI000274</t>
        </is>
      </c>
      <c r="B299" t="inlineStr">
        <is>
          <t>SECI</t>
        </is>
      </c>
      <c r="C299" t="inlineStr">
        <is>
          <t>SECI/C&amp;P/IPP/15/0008/26-27</t>
        </is>
      </c>
      <c r="D299" t="inlineStr">
        <is>
          <t>Other</t>
        </is>
      </c>
      <c r="E299" t="n">
        <v>50</v>
      </c>
      <c r="F299" t="inlineStr">
        <is>
          <t>Open</t>
        </is>
      </c>
      <c r="G299" t="inlineStr">
        <is>
          <t>Capacity below configured minimum</t>
        </is>
      </c>
      <c r="H299" t="inlineStr">
        <is>
          <t>https://www.seci.co.in/tender-details/YmVz</t>
        </is>
      </c>
    </row>
    <row r="300">
      <c r="A300" t="inlineStr">
        <is>
          <t>SECI000276</t>
        </is>
      </c>
      <c r="B300" t="inlineStr">
        <is>
          <t>SECI</t>
        </is>
      </c>
      <c r="C300" t="inlineStr">
        <is>
          <t>SECI/C&amp;P/OP/15/0006/25-26</t>
        </is>
      </c>
      <c r="D300" t="inlineStr">
        <is>
          <t>Solar</t>
        </is>
      </c>
      <c r="F300" t="inlineStr">
        <is>
          <t>Open</t>
        </is>
      </c>
      <c r="G300" t="inlineStr">
        <is>
          <t>Rooftop solar excluded</t>
        </is>
      </c>
      <c r="H300" t="inlineStr">
        <is>
          <t>https://www.seci.co.in/tender-details/YmVx</t>
        </is>
      </c>
    </row>
    <row r="301">
      <c r="A301" t="inlineStr">
        <is>
          <t>SECI000263</t>
        </is>
      </c>
      <c r="B301" t="inlineStr">
        <is>
          <t>SECI</t>
        </is>
      </c>
      <c r="C301" t="inlineStr">
        <is>
          <t>SECI/C&amp;P/OP/11/0003/26-27</t>
        </is>
      </c>
      <c r="D301" t="inlineStr">
        <is>
          <t>Wind</t>
        </is>
      </c>
      <c r="E301" t="n">
        <v>45.6</v>
      </c>
      <c r="F301" t="inlineStr">
        <is>
          <t>Open</t>
        </is>
      </c>
      <c r="G301" t="inlineStr">
        <is>
          <t>Capacity below configured minimum</t>
        </is>
      </c>
      <c r="H301" t="inlineStr">
        <is>
          <t>https://www.seci.co.in/tender-details/YmR0</t>
        </is>
      </c>
    </row>
    <row r="302">
      <c r="A302" t="inlineStr">
        <is>
          <t>SECI000270</t>
        </is>
      </c>
      <c r="B302" t="inlineStr">
        <is>
          <t>SECI</t>
        </is>
      </c>
      <c r="C302" t="inlineStr">
        <is>
          <t>SECI/C&amp;P/OP/15/0005/26-27</t>
        </is>
      </c>
      <c r="D302" t="inlineStr">
        <is>
          <t>Solar</t>
        </is>
      </c>
      <c r="F302" t="inlineStr">
        <is>
          <t>Open</t>
        </is>
      </c>
      <c r="G302" t="inlineStr">
        <is>
          <t>Rooftop solar excluded</t>
        </is>
      </c>
      <c r="H302" t="inlineStr">
        <is>
          <t>https://www.seci.co.in/tender-details/YmV3</t>
        </is>
      </c>
    </row>
    <row r="303">
      <c r="A303" t="inlineStr">
        <is>
          <t>SECI000252</t>
        </is>
      </c>
      <c r="B303" t="inlineStr">
        <is>
          <t>SECI</t>
        </is>
      </c>
      <c r="C303" t="inlineStr">
        <is>
          <t>SECI/C&amp;P/OP/11/0001/26-27</t>
        </is>
      </c>
      <c r="D303" t="inlineStr">
        <is>
          <t>Solar</t>
        </is>
      </c>
      <c r="E303" t="n">
        <v>88</v>
      </c>
      <c r="F303" t="inlineStr">
        <is>
          <t>Open</t>
        </is>
      </c>
      <c r="G303" t="inlineStr">
        <is>
          <t>EPC / turnkey / BoS excluded</t>
        </is>
      </c>
      <c r="H303" t="inlineStr">
        <is>
          <t>https://www.seci.co.in/tender-details/Ymd1</t>
        </is>
      </c>
    </row>
    <row r="304">
      <c r="A304" t="inlineStr">
        <is>
          <t>SECI000262</t>
        </is>
      </c>
      <c r="B304" t="inlineStr">
        <is>
          <t>SECI</t>
        </is>
      </c>
      <c r="C304" t="inlineStr">
        <is>
          <t>SECI/C&amp;P/OP/11/0002/26-27</t>
        </is>
      </c>
      <c r="D304" t="inlineStr">
        <is>
          <t>Solar + BESS</t>
        </is>
      </c>
      <c r="E304" t="n">
        <v>25</v>
      </c>
      <c r="F304" t="inlineStr">
        <is>
          <t>Open</t>
        </is>
      </c>
      <c r="G304" t="inlineStr">
        <is>
          <t>Capacity below configured minimum</t>
        </is>
      </c>
      <c r="H304" t="inlineStr">
        <is>
          <t>https://www.seci.co.in/tender-details/YmR1</t>
        </is>
      </c>
    </row>
    <row r="305">
      <c r="A305" t="inlineStr">
        <is>
          <t>SECI000267</t>
        </is>
      </c>
      <c r="B305" t="inlineStr">
        <is>
          <t>SECI</t>
        </is>
      </c>
      <c r="C305" t="inlineStr">
        <is>
          <t>SECI/C&amp;P/MI/00/0001/26-27</t>
        </is>
      </c>
      <c r="D305" t="inlineStr">
        <is>
          <t>Other</t>
        </is>
      </c>
      <c r="F305" t="inlineStr">
        <is>
          <t>Open</t>
        </is>
      </c>
      <c r="G305" t="inlineStr">
        <is>
          <t>Capacity not confirmed</t>
        </is>
      </c>
      <c r="H305" t="inlineStr">
        <is>
          <t>https://www.seci.co.in/tender-details/YmRw</t>
        </is>
      </c>
    </row>
    <row r="306">
      <c r="A306" t="inlineStr">
        <is>
          <t>SECI000269</t>
        </is>
      </c>
      <c r="B306" t="inlineStr">
        <is>
          <t>SECI</t>
        </is>
      </c>
      <c r="C306" t="inlineStr">
        <is>
          <t>SECI000269</t>
        </is>
      </c>
      <c r="D306" t="inlineStr">
        <is>
          <t>BESS</t>
        </is>
      </c>
      <c r="E306" t="n">
        <v>40</v>
      </c>
      <c r="F306" t="inlineStr">
        <is>
          <t>Open</t>
        </is>
      </c>
      <c r="G306" t="inlineStr">
        <is>
          <t>Capacity below configured minimum</t>
        </is>
      </c>
      <c r="H306" t="inlineStr">
        <is>
          <t>https://www.seci.co.in/tender-details/YmR-</t>
        </is>
      </c>
    </row>
    <row r="307">
      <c r="A307" t="inlineStr">
        <is>
          <t>SECI000264</t>
        </is>
      </c>
      <c r="B307" t="inlineStr">
        <is>
          <t>SECI</t>
        </is>
      </c>
      <c r="C307" t="inlineStr">
        <is>
          <t>SECI/C&amp;P/EOI/17/0002/26-27</t>
        </is>
      </c>
      <c r="D307" t="inlineStr">
        <is>
          <t>Other</t>
        </is>
      </c>
      <c r="F307" t="inlineStr">
        <is>
          <t>Open</t>
        </is>
      </c>
      <c r="G307" t="inlineStr">
        <is>
          <t>Capacity not confirmed</t>
        </is>
      </c>
      <c r="H307" t="inlineStr">
        <is>
          <t>https://www.seci.co.in/tender-details/YmRz</t>
        </is>
      </c>
    </row>
    <row r="308">
      <c r="A308" t="inlineStr">
        <is>
          <t>SECI000265</t>
        </is>
      </c>
      <c r="B308" t="inlineStr">
        <is>
          <t>SECI</t>
        </is>
      </c>
      <c r="C308" t="inlineStr">
        <is>
          <t>SECI/C&amp;P/IPP/11/0007/26-27</t>
        </is>
      </c>
      <c r="D308" t="inlineStr">
        <is>
          <t>Solar</t>
        </is>
      </c>
      <c r="F308" t="inlineStr">
        <is>
          <t>Open</t>
        </is>
      </c>
      <c r="G308" t="inlineStr">
        <is>
          <t>Rooftop solar excluded</t>
        </is>
      </c>
      <c r="H308" t="inlineStr">
        <is>
          <t>https://www.seci.co.in/tender-details/YmRy</t>
        </is>
      </c>
    </row>
    <row r="309">
      <c r="B309" t="inlineStr">
        <is>
          <t>NTPC REL</t>
        </is>
      </c>
      <c r="D309" t="inlineStr">
        <is>
          <t>Wind</t>
        </is>
      </c>
      <c r="E309" t="n">
        <v>600</v>
      </c>
      <c r="F309" t="inlineStr">
        <is>
          <t>Open</t>
        </is>
      </c>
      <c r="G309" t="inlineStr">
        <is>
          <t>Supply / installation excluded</t>
        </is>
      </c>
      <c r="H309" t="inlineStr">
        <is>
          <t>https://ntpctender.ntpc.co.in/NITDetails/NITs/30166</t>
        </is>
      </c>
    </row>
    <row r="310">
      <c r="B310" t="inlineStr">
        <is>
          <t>GRIDCO</t>
        </is>
      </c>
      <c r="C310" t="inlineStr">
        <is>
          <t>View Details Tender Document Addendum-I Pre-Bid Meeting Link Corrigendum-II Addendum-6 Odisha Floating Solar Data Room - Contents Addendum_09 Addendum</t>
        </is>
      </c>
      <c r="D310" t="inlineStr">
        <is>
          <t>Solar</t>
        </is>
      </c>
      <c r="F310" t="inlineStr">
        <is>
          <t>Corrigendum</t>
        </is>
      </c>
      <c r="G310" t="inlineStr">
        <is>
          <t>Capacity not confirmed</t>
        </is>
      </c>
      <c r="H310" t="inlineStr">
        <is>
          <t>https://www.gridco.co.in/writereaddata/Tenders/301225101225upload.pdf</t>
        </is>
      </c>
    </row>
    <row r="311">
      <c r="B311" t="inlineStr">
        <is>
          <t>GRIDCO</t>
        </is>
      </c>
      <c r="C311" t="inlineStr">
        <is>
          <t>Addendum-6 Odisha Floating Solar Data Room - Contents</t>
        </is>
      </c>
      <c r="D311" t="inlineStr">
        <is>
          <t>Solar</t>
        </is>
      </c>
      <c r="F311" t="inlineStr">
        <is>
          <t>Open</t>
        </is>
      </c>
      <c r="G311" t="inlineStr">
        <is>
          <t>Capacity not confirmed</t>
        </is>
      </c>
      <c r="H311" t="inlineStr">
        <is>
          <t>https://www.gridco.co.in/writereaddata/Tenders/301126051106Addendum-6_Odisha Floating Solar Data room - Contents.pdf</t>
        </is>
      </c>
    </row>
    <row r="312">
      <c r="A312" t="inlineStr">
        <is>
          <t>SECI000274</t>
        </is>
      </c>
      <c r="B312" t="inlineStr">
        <is>
          <t>SECI</t>
        </is>
      </c>
      <c r="C312" t="inlineStr">
        <is>
          <t>SECI/C&amp;P/IPP/15/0008/26-27</t>
        </is>
      </c>
      <c r="D312" t="inlineStr">
        <is>
          <t>Other</t>
        </is>
      </c>
      <c r="E312" t="n">
        <v>50</v>
      </c>
      <c r="F312" t="inlineStr">
        <is>
          <t>Open</t>
        </is>
      </c>
      <c r="G312" t="inlineStr">
        <is>
          <t>Capacity below configured minimum</t>
        </is>
      </c>
      <c r="H312" t="inlineStr">
        <is>
          <t>https://www.seci.co.in/tender-details/YmVz</t>
        </is>
      </c>
    </row>
    <row r="313">
      <c r="A313" t="inlineStr">
        <is>
          <t>SECI000276</t>
        </is>
      </c>
      <c r="B313" t="inlineStr">
        <is>
          <t>SECI</t>
        </is>
      </c>
      <c r="C313" t="inlineStr">
        <is>
          <t>SECI/C&amp;P/OP/15/0006/25-26</t>
        </is>
      </c>
      <c r="D313" t="inlineStr">
        <is>
          <t>Solar</t>
        </is>
      </c>
      <c r="F313" t="inlineStr">
        <is>
          <t>Open</t>
        </is>
      </c>
      <c r="G313" t="inlineStr">
        <is>
          <t>Rooftop solar excluded</t>
        </is>
      </c>
      <c r="H313" t="inlineStr">
        <is>
          <t>https://www.seci.co.in/tender-details/YmVx</t>
        </is>
      </c>
    </row>
    <row r="314">
      <c r="A314" t="inlineStr">
        <is>
          <t>SECI000263</t>
        </is>
      </c>
      <c r="B314" t="inlineStr">
        <is>
          <t>SECI</t>
        </is>
      </c>
      <c r="C314" t="inlineStr">
        <is>
          <t>SECI/C&amp;P/OP/11/0003/26-27</t>
        </is>
      </c>
      <c r="D314" t="inlineStr">
        <is>
          <t>Wind</t>
        </is>
      </c>
      <c r="E314" t="n">
        <v>45.6</v>
      </c>
      <c r="F314" t="inlineStr">
        <is>
          <t>Open</t>
        </is>
      </c>
      <c r="G314" t="inlineStr">
        <is>
          <t>Capacity below configured minimum</t>
        </is>
      </c>
      <c r="H314" t="inlineStr">
        <is>
          <t>https://www.seci.co.in/tender-details/YmR0</t>
        </is>
      </c>
    </row>
    <row r="315">
      <c r="A315" t="inlineStr">
        <is>
          <t>SECI000270</t>
        </is>
      </c>
      <c r="B315" t="inlineStr">
        <is>
          <t>SECI</t>
        </is>
      </c>
      <c r="C315" t="inlineStr">
        <is>
          <t>SECI/C&amp;P/OP/15/0005/26-27</t>
        </is>
      </c>
      <c r="D315" t="inlineStr">
        <is>
          <t>Solar</t>
        </is>
      </c>
      <c r="F315" t="inlineStr">
        <is>
          <t>Open</t>
        </is>
      </c>
      <c r="G315" t="inlineStr">
        <is>
          <t>Rooftop solar excluded</t>
        </is>
      </c>
      <c r="H315" t="inlineStr">
        <is>
          <t>https://www.seci.co.in/tender-details/YmV3</t>
        </is>
      </c>
    </row>
    <row r="316">
      <c r="A316" t="inlineStr">
        <is>
          <t>SECI000252</t>
        </is>
      </c>
      <c r="B316" t="inlineStr">
        <is>
          <t>SECI</t>
        </is>
      </c>
      <c r="C316" t="inlineStr">
        <is>
          <t>SECI/C&amp;P/OP/11/0001/26-27</t>
        </is>
      </c>
      <c r="D316" t="inlineStr">
        <is>
          <t>Solar</t>
        </is>
      </c>
      <c r="E316" t="n">
        <v>88</v>
      </c>
      <c r="F316" t="inlineStr">
        <is>
          <t>Open</t>
        </is>
      </c>
      <c r="G316" t="inlineStr">
        <is>
          <t>EPC / turnkey / BoS excluded</t>
        </is>
      </c>
      <c r="H316" t="inlineStr">
        <is>
          <t>https://www.seci.co.in/tender-details/Ymd1</t>
        </is>
      </c>
    </row>
    <row r="317">
      <c r="A317" t="inlineStr">
        <is>
          <t>SECI000262</t>
        </is>
      </c>
      <c r="B317" t="inlineStr">
        <is>
          <t>SECI</t>
        </is>
      </c>
      <c r="C317" t="inlineStr">
        <is>
          <t>SECI/C&amp;P/OP/11/0002/26-27</t>
        </is>
      </c>
      <c r="D317" t="inlineStr">
        <is>
          <t>Solar + BESS</t>
        </is>
      </c>
      <c r="E317" t="n">
        <v>25</v>
      </c>
      <c r="F317" t="inlineStr">
        <is>
          <t>Open</t>
        </is>
      </c>
      <c r="G317" t="inlineStr">
        <is>
          <t>Capacity below configured minimum</t>
        </is>
      </c>
      <c r="H317" t="inlineStr">
        <is>
          <t>https://www.seci.co.in/tender-details/YmR1</t>
        </is>
      </c>
    </row>
    <row r="318">
      <c r="A318" t="inlineStr">
        <is>
          <t>SECI000267</t>
        </is>
      </c>
      <c r="B318" t="inlineStr">
        <is>
          <t>SECI</t>
        </is>
      </c>
      <c r="C318" t="inlineStr">
        <is>
          <t>SECI/C&amp;P/MI/00/0001/26-27</t>
        </is>
      </c>
      <c r="D318" t="inlineStr">
        <is>
          <t>Other</t>
        </is>
      </c>
      <c r="F318" t="inlineStr">
        <is>
          <t>Open</t>
        </is>
      </c>
      <c r="G318" t="inlineStr">
        <is>
          <t>Capacity not confirmed</t>
        </is>
      </c>
      <c r="H318" t="inlineStr">
        <is>
          <t>https://www.seci.co.in/tender-details/YmRw</t>
        </is>
      </c>
    </row>
    <row r="319">
      <c r="A319" t="inlineStr">
        <is>
          <t>SECI000269</t>
        </is>
      </c>
      <c r="B319" t="inlineStr">
        <is>
          <t>SECI</t>
        </is>
      </c>
      <c r="C319" t="inlineStr">
        <is>
          <t>SECI000269</t>
        </is>
      </c>
      <c r="D319" t="inlineStr">
        <is>
          <t>BESS</t>
        </is>
      </c>
      <c r="E319" t="n">
        <v>40</v>
      </c>
      <c r="F319" t="inlineStr">
        <is>
          <t>Open</t>
        </is>
      </c>
      <c r="G319" t="inlineStr">
        <is>
          <t>Capacity below configured minimum</t>
        </is>
      </c>
      <c r="H319" t="inlineStr">
        <is>
          <t>https://www.seci.co.in/tender-details/YmR-</t>
        </is>
      </c>
    </row>
    <row r="320">
      <c r="A320" t="inlineStr">
        <is>
          <t>SECI000264</t>
        </is>
      </c>
      <c r="B320" t="inlineStr">
        <is>
          <t>SECI</t>
        </is>
      </c>
      <c r="C320" t="inlineStr">
        <is>
          <t>SECI/C&amp;P/EOI/17/0002/26-27</t>
        </is>
      </c>
      <c r="D320" t="inlineStr">
        <is>
          <t>Other</t>
        </is>
      </c>
      <c r="F320" t="inlineStr">
        <is>
          <t>Open</t>
        </is>
      </c>
      <c r="G320" t="inlineStr">
        <is>
          <t>Capacity not confirmed</t>
        </is>
      </c>
      <c r="H320" t="inlineStr">
        <is>
          <t>https://www.seci.co.in/tender-details/YmRz</t>
        </is>
      </c>
    </row>
    <row r="321">
      <c r="A321" t="inlineStr">
        <is>
          <t>SECI000265</t>
        </is>
      </c>
      <c r="B321" t="inlineStr">
        <is>
          <t>SECI</t>
        </is>
      </c>
      <c r="C321" t="inlineStr">
        <is>
          <t>SECI/C&amp;P/IPP/11/0007/26-27</t>
        </is>
      </c>
      <c r="D321" t="inlineStr">
        <is>
          <t>Solar</t>
        </is>
      </c>
      <c r="F321" t="inlineStr">
        <is>
          <t>Open</t>
        </is>
      </c>
      <c r="G321" t="inlineStr">
        <is>
          <t>Rooftop solar excluded</t>
        </is>
      </c>
      <c r="H321" t="inlineStr">
        <is>
          <t>https://www.seci.co.in/tender-details/YmRy</t>
        </is>
      </c>
    </row>
    <row r="322">
      <c r="B322" t="inlineStr">
        <is>
          <t>NTPC REL</t>
        </is>
      </c>
      <c r="D322" t="inlineStr">
        <is>
          <t>Wind</t>
        </is>
      </c>
      <c r="E322" t="n">
        <v>600</v>
      </c>
      <c r="F322" t="inlineStr">
        <is>
          <t>Open</t>
        </is>
      </c>
      <c r="G322" t="inlineStr">
        <is>
          <t>Supply / installation excluded</t>
        </is>
      </c>
      <c r="H322" t="inlineStr">
        <is>
          <t>https://ntpctender.ntpc.co.in/NITDetails/NITs/30166</t>
        </is>
      </c>
    </row>
    <row r="323">
      <c r="B323" t="inlineStr">
        <is>
          <t>GRIDCO</t>
        </is>
      </c>
      <c r="C323" t="inlineStr">
        <is>
          <t>View Details Tender Document Addendum-I Pre-Bid Meeting Link Corrigendum-II Addendum-6 Odisha Floating Solar Data Room - Contents Addendum_09 Addendum</t>
        </is>
      </c>
      <c r="D323" t="inlineStr">
        <is>
          <t>Solar</t>
        </is>
      </c>
      <c r="F323" t="inlineStr">
        <is>
          <t>Corrigendum</t>
        </is>
      </c>
      <c r="G323" t="inlineStr">
        <is>
          <t>Capacity not confirmed</t>
        </is>
      </c>
      <c r="H323" t="inlineStr">
        <is>
          <t>https://www.gridco.co.in/writereaddata/Tenders/301225101225upload.pdf</t>
        </is>
      </c>
    </row>
    <row r="324">
      <c r="B324" t="inlineStr">
        <is>
          <t>GRIDCO</t>
        </is>
      </c>
      <c r="C324" t="inlineStr">
        <is>
          <t>Addendum-6 Odisha Floating Solar Data Room - Contents</t>
        </is>
      </c>
      <c r="D324" t="inlineStr">
        <is>
          <t>Solar</t>
        </is>
      </c>
      <c r="F324" t="inlineStr">
        <is>
          <t>Open</t>
        </is>
      </c>
      <c r="G324" t="inlineStr">
        <is>
          <t>Capacity not confirmed</t>
        </is>
      </c>
      <c r="H324" t="inlineStr">
        <is>
          <t>https://www.gridco.co.in/writereaddata/Tenders/301126051106Addendum-6_Odisha Floating Solar Data room - Contents.pdf</t>
        </is>
      </c>
    </row>
    <row r="325">
      <c r="A325" t="inlineStr">
        <is>
          <t>SECI000274</t>
        </is>
      </c>
      <c r="B325" t="inlineStr">
        <is>
          <t>SECI</t>
        </is>
      </c>
      <c r="C325" t="inlineStr">
        <is>
          <t>SECI/C&amp;P/IPP/15/0008/26-27</t>
        </is>
      </c>
      <c r="D325" t="inlineStr">
        <is>
          <t>Other</t>
        </is>
      </c>
      <c r="E325" t="n">
        <v>50</v>
      </c>
      <c r="F325" t="inlineStr">
        <is>
          <t>Open</t>
        </is>
      </c>
      <c r="G325" t="inlineStr">
        <is>
          <t>Capacity below configured minimum</t>
        </is>
      </c>
      <c r="H325" t="inlineStr">
        <is>
          <t>https://www.seci.co.in/tender-details/YmVz</t>
        </is>
      </c>
    </row>
    <row r="326">
      <c r="A326" t="inlineStr">
        <is>
          <t>SECI000276</t>
        </is>
      </c>
      <c r="B326" t="inlineStr">
        <is>
          <t>SECI</t>
        </is>
      </c>
      <c r="C326" t="inlineStr">
        <is>
          <t>SECI/C&amp;P/OP/15/0006/25-26</t>
        </is>
      </c>
      <c r="D326" t="inlineStr">
        <is>
          <t>Solar</t>
        </is>
      </c>
      <c r="F326" t="inlineStr">
        <is>
          <t>Open</t>
        </is>
      </c>
      <c r="G326" t="inlineStr">
        <is>
          <t>Rooftop solar excluded</t>
        </is>
      </c>
      <c r="H326" t="inlineStr">
        <is>
          <t>https://www.seci.co.in/tender-details/YmVx</t>
        </is>
      </c>
    </row>
    <row r="327">
      <c r="A327" t="inlineStr">
        <is>
          <t>SECI000263</t>
        </is>
      </c>
      <c r="B327" t="inlineStr">
        <is>
          <t>SECI</t>
        </is>
      </c>
      <c r="C327" t="inlineStr">
        <is>
          <t>SECI/C&amp;P/OP/11/0003/26-27</t>
        </is>
      </c>
      <c r="D327" t="inlineStr">
        <is>
          <t>Wind</t>
        </is>
      </c>
      <c r="E327" t="n">
        <v>45.6</v>
      </c>
      <c r="F327" t="inlineStr">
        <is>
          <t>Open</t>
        </is>
      </c>
      <c r="G327" t="inlineStr">
        <is>
          <t>Capacity below configured minimum</t>
        </is>
      </c>
      <c r="H327" t="inlineStr">
        <is>
          <t>https://www.seci.co.in/tender-details/YmR0</t>
        </is>
      </c>
    </row>
    <row r="328">
      <c r="A328" t="inlineStr">
        <is>
          <t>SECI000270</t>
        </is>
      </c>
      <c r="B328" t="inlineStr">
        <is>
          <t>SECI</t>
        </is>
      </c>
      <c r="C328" t="inlineStr">
        <is>
          <t>SECI/C&amp;P/OP/15/0005/26-27</t>
        </is>
      </c>
      <c r="D328" t="inlineStr">
        <is>
          <t>Solar</t>
        </is>
      </c>
      <c r="F328" t="inlineStr">
        <is>
          <t>Open</t>
        </is>
      </c>
      <c r="G328" t="inlineStr">
        <is>
          <t>Rooftop solar excluded</t>
        </is>
      </c>
      <c r="H328" t="inlineStr">
        <is>
          <t>https://www.seci.co.in/tender-details/YmV3</t>
        </is>
      </c>
    </row>
    <row r="329">
      <c r="A329" t="inlineStr">
        <is>
          <t>SECI000252</t>
        </is>
      </c>
      <c r="B329" t="inlineStr">
        <is>
          <t>SECI</t>
        </is>
      </c>
      <c r="C329" t="inlineStr">
        <is>
          <t>SECI/C&amp;P/OP/11/0001/26-27</t>
        </is>
      </c>
      <c r="D329" t="inlineStr">
        <is>
          <t>Solar</t>
        </is>
      </c>
      <c r="E329" t="n">
        <v>88</v>
      </c>
      <c r="F329" t="inlineStr">
        <is>
          <t>Open</t>
        </is>
      </c>
      <c r="G329" t="inlineStr">
        <is>
          <t>EPC / turnkey / BoS excluded</t>
        </is>
      </c>
      <c r="H329" t="inlineStr">
        <is>
          <t>https://www.seci.co.in/tender-details/Ymd1</t>
        </is>
      </c>
    </row>
    <row r="330">
      <c r="A330" t="inlineStr">
        <is>
          <t>SECI000262</t>
        </is>
      </c>
      <c r="B330" t="inlineStr">
        <is>
          <t>SECI</t>
        </is>
      </c>
      <c r="C330" t="inlineStr">
        <is>
          <t>SECI/C&amp;P/OP/11/0002/26-27</t>
        </is>
      </c>
      <c r="D330" t="inlineStr">
        <is>
          <t>Solar + BESS</t>
        </is>
      </c>
      <c r="E330" t="n">
        <v>25</v>
      </c>
      <c r="F330" t="inlineStr">
        <is>
          <t>Open</t>
        </is>
      </c>
      <c r="G330" t="inlineStr">
        <is>
          <t>Capacity below configured minimum</t>
        </is>
      </c>
      <c r="H330" t="inlineStr">
        <is>
          <t>https://www.seci.co.in/tender-details/YmR1</t>
        </is>
      </c>
    </row>
    <row r="331">
      <c r="A331" t="inlineStr">
        <is>
          <t>SECI000267</t>
        </is>
      </c>
      <c r="B331" t="inlineStr">
        <is>
          <t>SECI</t>
        </is>
      </c>
      <c r="C331" t="inlineStr">
        <is>
          <t>SECI/C&amp;P/MI/00/0001/26-27</t>
        </is>
      </c>
      <c r="D331" t="inlineStr">
        <is>
          <t>Other</t>
        </is>
      </c>
      <c r="F331" t="inlineStr">
        <is>
          <t>Open</t>
        </is>
      </c>
      <c r="G331" t="inlineStr">
        <is>
          <t>Capacity not confirmed</t>
        </is>
      </c>
      <c r="H331" t="inlineStr">
        <is>
          <t>https://www.seci.co.in/tender-details/YmRw</t>
        </is>
      </c>
    </row>
    <row r="332">
      <c r="A332" t="inlineStr">
        <is>
          <t>SECI000269</t>
        </is>
      </c>
      <c r="B332" t="inlineStr">
        <is>
          <t>SECI</t>
        </is>
      </c>
      <c r="C332" t="inlineStr">
        <is>
          <t>SECI000269</t>
        </is>
      </c>
      <c r="D332" t="inlineStr">
        <is>
          <t>BESS</t>
        </is>
      </c>
      <c r="E332" t="n">
        <v>40</v>
      </c>
      <c r="F332" t="inlineStr">
        <is>
          <t>Open</t>
        </is>
      </c>
      <c r="G332" t="inlineStr">
        <is>
          <t>Capacity below configured minimum</t>
        </is>
      </c>
      <c r="H332" t="inlineStr">
        <is>
          <t>https://www.seci.co.in/tender-details/YmR-</t>
        </is>
      </c>
    </row>
    <row r="333">
      <c r="A333" t="inlineStr">
        <is>
          <t>SECI000264</t>
        </is>
      </c>
      <c r="B333" t="inlineStr">
        <is>
          <t>SECI</t>
        </is>
      </c>
      <c r="C333" t="inlineStr">
        <is>
          <t>SECI/C&amp;P/EOI/17/0002/26-27</t>
        </is>
      </c>
      <c r="D333" t="inlineStr">
        <is>
          <t>Other</t>
        </is>
      </c>
      <c r="F333" t="inlineStr">
        <is>
          <t>Open</t>
        </is>
      </c>
      <c r="G333" t="inlineStr">
        <is>
          <t>Capacity not confirmed</t>
        </is>
      </c>
      <c r="H333" t="inlineStr">
        <is>
          <t>https://www.seci.co.in/tender-details/YmRz</t>
        </is>
      </c>
    </row>
    <row r="334">
      <c r="A334" t="inlineStr">
        <is>
          <t>SECI000265</t>
        </is>
      </c>
      <c r="B334" t="inlineStr">
        <is>
          <t>SECI</t>
        </is>
      </c>
      <c r="C334" t="inlineStr">
        <is>
          <t>SECI/C&amp;P/IPP/11/0007/26-27</t>
        </is>
      </c>
      <c r="D334" t="inlineStr">
        <is>
          <t>Solar</t>
        </is>
      </c>
      <c r="F334" t="inlineStr">
        <is>
          <t>Open</t>
        </is>
      </c>
      <c r="G334" t="inlineStr">
        <is>
          <t>Rooftop solar excluded</t>
        </is>
      </c>
      <c r="H334" t="inlineStr">
        <is>
          <t>https://www.seci.co.in/tender-details/YmRy</t>
        </is>
      </c>
    </row>
    <row r="335">
      <c r="B335" t="inlineStr">
        <is>
          <t>GRIDCO</t>
        </is>
      </c>
      <c r="C335" t="inlineStr">
        <is>
          <t>View Details Tender Document Addendum-I Pre-Bid Meeting Link Corrigendum-II Addendum-6 Odisha Floating Solar Data Room - Contents Addendum_09 Addendum</t>
        </is>
      </c>
      <c r="D335" t="inlineStr">
        <is>
          <t>Solar</t>
        </is>
      </c>
      <c r="F335" t="inlineStr">
        <is>
          <t>Corrigendum</t>
        </is>
      </c>
      <c r="G335" t="inlineStr">
        <is>
          <t>Capacity not confirmed</t>
        </is>
      </c>
      <c r="H335" t="inlineStr">
        <is>
          <t>https://www.gridco.co.in/writereaddata/Tenders/301225101225upload.pdf</t>
        </is>
      </c>
    </row>
    <row r="336">
      <c r="B336" t="inlineStr">
        <is>
          <t>GRIDCO</t>
        </is>
      </c>
      <c r="C336" t="inlineStr">
        <is>
          <t>Addendum-6 Odisha Floating Solar Data Room - Contents</t>
        </is>
      </c>
      <c r="D336" t="inlineStr">
        <is>
          <t>Solar</t>
        </is>
      </c>
      <c r="F336" t="inlineStr">
        <is>
          <t>Open</t>
        </is>
      </c>
      <c r="G336" t="inlineStr">
        <is>
          <t>Capacity not confirmed</t>
        </is>
      </c>
      <c r="H336" t="inlineStr">
        <is>
          <t>https://www.gridco.co.in/writereaddata/Tenders/301126051106Addendum-6_Odisha Floating Solar Data room - Contents.pdf</t>
        </is>
      </c>
    </row>
    <row r="337">
      <c r="A337" t="inlineStr">
        <is>
          <t>SECI000274</t>
        </is>
      </c>
      <c r="B337" t="inlineStr">
        <is>
          <t>SECI</t>
        </is>
      </c>
      <c r="C337" t="inlineStr">
        <is>
          <t>SECI/C&amp;P/IPP/15/0008/26-27</t>
        </is>
      </c>
      <c r="D337" t="inlineStr">
        <is>
          <t>Other</t>
        </is>
      </c>
      <c r="E337" t="n">
        <v>50</v>
      </c>
      <c r="F337" t="inlineStr">
        <is>
          <t>Open</t>
        </is>
      </c>
      <c r="G337" t="inlineStr">
        <is>
          <t>Capacity below configured minimum</t>
        </is>
      </c>
      <c r="H337" t="inlineStr">
        <is>
          <t>https://www.seci.co.in/tender-details/YmVz</t>
        </is>
      </c>
    </row>
    <row r="338">
      <c r="A338" t="inlineStr">
        <is>
          <t>SECI000276</t>
        </is>
      </c>
      <c r="B338" t="inlineStr">
        <is>
          <t>SECI</t>
        </is>
      </c>
      <c r="C338" t="inlineStr">
        <is>
          <t>SECI/C&amp;P/OP/15/0006/25-26</t>
        </is>
      </c>
      <c r="D338" t="inlineStr">
        <is>
          <t>Solar</t>
        </is>
      </c>
      <c r="F338" t="inlineStr">
        <is>
          <t>Open</t>
        </is>
      </c>
      <c r="G338" t="inlineStr">
        <is>
          <t>Rooftop solar excluded</t>
        </is>
      </c>
      <c r="H338" t="inlineStr">
        <is>
          <t>https://www.seci.co.in/tender-details/YmVx</t>
        </is>
      </c>
    </row>
    <row r="339">
      <c r="A339" t="inlineStr">
        <is>
          <t>SECI000263</t>
        </is>
      </c>
      <c r="B339" t="inlineStr">
        <is>
          <t>SECI</t>
        </is>
      </c>
      <c r="C339" t="inlineStr">
        <is>
          <t>SECI/C&amp;P/OP/11/0003/26-27</t>
        </is>
      </c>
      <c r="D339" t="inlineStr">
        <is>
          <t>Wind</t>
        </is>
      </c>
      <c r="E339" t="n">
        <v>45.6</v>
      </c>
      <c r="F339" t="inlineStr">
        <is>
          <t>Open</t>
        </is>
      </c>
      <c r="G339" t="inlineStr">
        <is>
          <t>Capacity below configured minimum</t>
        </is>
      </c>
      <c r="H339" t="inlineStr">
        <is>
          <t>https://www.seci.co.in/tender-details/YmR0</t>
        </is>
      </c>
    </row>
    <row r="340">
      <c r="A340" t="inlineStr">
        <is>
          <t>SECI000270</t>
        </is>
      </c>
      <c r="B340" t="inlineStr">
        <is>
          <t>SECI</t>
        </is>
      </c>
      <c r="C340" t="inlineStr">
        <is>
          <t>SECI/C&amp;P/OP/15/0005/26-27</t>
        </is>
      </c>
      <c r="D340" t="inlineStr">
        <is>
          <t>Solar</t>
        </is>
      </c>
      <c r="F340" t="inlineStr">
        <is>
          <t>Open</t>
        </is>
      </c>
      <c r="G340" t="inlineStr">
        <is>
          <t>Rooftop solar excluded</t>
        </is>
      </c>
      <c r="H340" t="inlineStr">
        <is>
          <t>https://www.seci.co.in/tender-details/YmV3</t>
        </is>
      </c>
    </row>
    <row r="341">
      <c r="A341" t="inlineStr">
        <is>
          <t>SECI000252</t>
        </is>
      </c>
      <c r="B341" t="inlineStr">
        <is>
          <t>SECI</t>
        </is>
      </c>
      <c r="C341" t="inlineStr">
        <is>
          <t>SECI/C&amp;P/OP/11/0001/26-27</t>
        </is>
      </c>
      <c r="D341" t="inlineStr">
        <is>
          <t>Solar</t>
        </is>
      </c>
      <c r="E341" t="n">
        <v>88</v>
      </c>
      <c r="F341" t="inlineStr">
        <is>
          <t>Open</t>
        </is>
      </c>
      <c r="G341" t="inlineStr">
        <is>
          <t>EPC / turnkey / BoS excluded</t>
        </is>
      </c>
      <c r="H341" t="inlineStr">
        <is>
          <t>https://www.seci.co.in/tender-details/Ymd1</t>
        </is>
      </c>
    </row>
    <row r="342">
      <c r="A342" t="inlineStr">
        <is>
          <t>SECI000262</t>
        </is>
      </c>
      <c r="B342" t="inlineStr">
        <is>
          <t>SECI</t>
        </is>
      </c>
      <c r="C342" t="inlineStr">
        <is>
          <t>SECI/C&amp;P/OP/11/0002/26-27</t>
        </is>
      </c>
      <c r="D342" t="inlineStr">
        <is>
          <t>Solar + BESS</t>
        </is>
      </c>
      <c r="E342" t="n">
        <v>25</v>
      </c>
      <c r="F342" t="inlineStr">
        <is>
          <t>Open</t>
        </is>
      </c>
      <c r="G342" t="inlineStr">
        <is>
          <t>Capacity below configured minimum</t>
        </is>
      </c>
      <c r="H342" t="inlineStr">
        <is>
          <t>https://www.seci.co.in/tender-details/YmR1</t>
        </is>
      </c>
    </row>
    <row r="343">
      <c r="A343" t="inlineStr">
        <is>
          <t>SECI000267</t>
        </is>
      </c>
      <c r="B343" t="inlineStr">
        <is>
          <t>SECI</t>
        </is>
      </c>
      <c r="C343" t="inlineStr">
        <is>
          <t>SECI/C&amp;P/MI/00/0001/26-27</t>
        </is>
      </c>
      <c r="D343" t="inlineStr">
        <is>
          <t>Other</t>
        </is>
      </c>
      <c r="F343" t="inlineStr">
        <is>
          <t>Open</t>
        </is>
      </c>
      <c r="G343" t="inlineStr">
        <is>
          <t>Capacity not confirmed</t>
        </is>
      </c>
      <c r="H343" t="inlineStr">
        <is>
          <t>https://www.seci.co.in/tender-details/YmRw</t>
        </is>
      </c>
    </row>
    <row r="344">
      <c r="A344" t="inlineStr">
        <is>
          <t>SECI000269</t>
        </is>
      </c>
      <c r="B344" t="inlineStr">
        <is>
          <t>SECI</t>
        </is>
      </c>
      <c r="C344" t="inlineStr">
        <is>
          <t>SECI000269</t>
        </is>
      </c>
      <c r="D344" t="inlineStr">
        <is>
          <t>BESS</t>
        </is>
      </c>
      <c r="E344" t="n">
        <v>40</v>
      </c>
      <c r="F344" t="inlineStr">
        <is>
          <t>Open</t>
        </is>
      </c>
      <c r="G344" t="inlineStr">
        <is>
          <t>Capacity below configured minimum</t>
        </is>
      </c>
      <c r="H344" t="inlineStr">
        <is>
          <t>https://www.seci.co.in/tender-details/YmR-</t>
        </is>
      </c>
    </row>
    <row r="345">
      <c r="A345" t="inlineStr">
        <is>
          <t>SECI000264</t>
        </is>
      </c>
      <c r="B345" t="inlineStr">
        <is>
          <t>SECI</t>
        </is>
      </c>
      <c r="C345" t="inlineStr">
        <is>
          <t>SECI/C&amp;P/EOI/17/0002/26-27</t>
        </is>
      </c>
      <c r="D345" t="inlineStr">
        <is>
          <t>Other</t>
        </is>
      </c>
      <c r="F345" t="inlineStr">
        <is>
          <t>Open</t>
        </is>
      </c>
      <c r="G345" t="inlineStr">
        <is>
          <t>Capacity not confirmed</t>
        </is>
      </c>
      <c r="H345" t="inlineStr">
        <is>
          <t>https://www.seci.co.in/tender-details/YmRz</t>
        </is>
      </c>
    </row>
    <row r="346">
      <c r="A346" t="inlineStr">
        <is>
          <t>SECI000265</t>
        </is>
      </c>
      <c r="B346" t="inlineStr">
        <is>
          <t>SECI</t>
        </is>
      </c>
      <c r="C346" t="inlineStr">
        <is>
          <t>SECI/C&amp;P/IPP/11/0007/26-27</t>
        </is>
      </c>
      <c r="D346" t="inlineStr">
        <is>
          <t>Solar</t>
        </is>
      </c>
      <c r="F346" t="inlineStr">
        <is>
          <t>Open</t>
        </is>
      </c>
      <c r="G346" t="inlineStr">
        <is>
          <t>Rooftop solar excluded</t>
        </is>
      </c>
      <c r="H346" t="inlineStr">
        <is>
          <t>https://www.seci.co.in/tender-details/YmRy</t>
        </is>
      </c>
    </row>
    <row r="347">
      <c r="B347" t="inlineStr">
        <is>
          <t>GRIDCO</t>
        </is>
      </c>
      <c r="C347" t="inlineStr">
        <is>
          <t>View Details Tender Document Addendum-I Pre-Bid Meeting Link Corrigendum-II Addendum-6 Odisha Floating Solar Data Room - Contents Addendum_09 Addendum</t>
        </is>
      </c>
      <c r="D347" t="inlineStr">
        <is>
          <t>Solar</t>
        </is>
      </c>
      <c r="F347" t="inlineStr">
        <is>
          <t>Corrigendum</t>
        </is>
      </c>
      <c r="G347" t="inlineStr">
        <is>
          <t>Capacity not confirmed</t>
        </is>
      </c>
      <c r="H347" t="inlineStr">
        <is>
          <t>https://www.gridco.co.in/writereaddata/Tenders/301225101225upload.pdf</t>
        </is>
      </c>
    </row>
    <row r="348">
      <c r="B348" t="inlineStr">
        <is>
          <t>GRIDCO</t>
        </is>
      </c>
      <c r="C348" t="inlineStr">
        <is>
          <t>Addendum-6 Odisha Floating Solar Data Room - Contents</t>
        </is>
      </c>
      <c r="D348" t="inlineStr">
        <is>
          <t>Solar</t>
        </is>
      </c>
      <c r="F348" t="inlineStr">
        <is>
          <t>Open</t>
        </is>
      </c>
      <c r="G348" t="inlineStr">
        <is>
          <t>Capacity not confirmed</t>
        </is>
      </c>
      <c r="H348" t="inlineStr">
        <is>
          <t>https://www.gridco.co.in/writereaddata/Tenders/301126051106Addendum-6_Odisha Floating Solar Data room - Contents.pdf</t>
        </is>
      </c>
    </row>
    <row r="349">
      <c r="A349" t="inlineStr">
        <is>
          <t>SECI000274</t>
        </is>
      </c>
      <c r="B349" t="inlineStr">
        <is>
          <t>SECI</t>
        </is>
      </c>
      <c r="C349" t="inlineStr">
        <is>
          <t>SECI/C&amp;P/IPP/15/0008/26-27</t>
        </is>
      </c>
      <c r="D349" t="inlineStr">
        <is>
          <t>Other</t>
        </is>
      </c>
      <c r="E349" t="n">
        <v>50</v>
      </c>
      <c r="F349" t="inlineStr">
        <is>
          <t>Open</t>
        </is>
      </c>
      <c r="G349" t="inlineStr">
        <is>
          <t>Capacity below configured minimum</t>
        </is>
      </c>
      <c r="H349" t="inlineStr">
        <is>
          <t>https://www.seci.co.in/tender-details/YmVz</t>
        </is>
      </c>
    </row>
    <row r="350">
      <c r="A350" t="inlineStr">
        <is>
          <t>SECI000276</t>
        </is>
      </c>
      <c r="B350" t="inlineStr">
        <is>
          <t>SECI</t>
        </is>
      </c>
      <c r="C350" t="inlineStr">
        <is>
          <t>SECI/C&amp;P/OP/15/0006/25-26</t>
        </is>
      </c>
      <c r="D350" t="inlineStr">
        <is>
          <t>Solar</t>
        </is>
      </c>
      <c r="F350" t="inlineStr">
        <is>
          <t>Open</t>
        </is>
      </c>
      <c r="G350" t="inlineStr">
        <is>
          <t>Rooftop solar excluded</t>
        </is>
      </c>
      <c r="H350" t="inlineStr">
        <is>
          <t>https://www.seci.co.in/tender-details/YmVx</t>
        </is>
      </c>
    </row>
    <row r="351">
      <c r="A351" t="inlineStr">
        <is>
          <t>SECI000263</t>
        </is>
      </c>
      <c r="B351" t="inlineStr">
        <is>
          <t>SECI</t>
        </is>
      </c>
      <c r="C351" t="inlineStr">
        <is>
          <t>SECI/C&amp;P/OP/11/0003/26-27</t>
        </is>
      </c>
      <c r="D351" t="inlineStr">
        <is>
          <t>Wind</t>
        </is>
      </c>
      <c r="E351" t="n">
        <v>45.6</v>
      </c>
      <c r="F351" t="inlineStr">
        <is>
          <t>Open</t>
        </is>
      </c>
      <c r="G351" t="inlineStr">
        <is>
          <t>Capacity below configured minimum</t>
        </is>
      </c>
      <c r="H351" t="inlineStr">
        <is>
          <t>https://www.seci.co.in/tender-details/YmR0</t>
        </is>
      </c>
    </row>
    <row r="352">
      <c r="A352" t="inlineStr">
        <is>
          <t>SECI000270</t>
        </is>
      </c>
      <c r="B352" t="inlineStr">
        <is>
          <t>SECI</t>
        </is>
      </c>
      <c r="C352" t="inlineStr">
        <is>
          <t>SECI/C&amp;P/OP/15/0005/26-27</t>
        </is>
      </c>
      <c r="D352" t="inlineStr">
        <is>
          <t>Solar</t>
        </is>
      </c>
      <c r="F352" t="inlineStr">
        <is>
          <t>Open</t>
        </is>
      </c>
      <c r="G352" t="inlineStr">
        <is>
          <t>Rooftop solar excluded</t>
        </is>
      </c>
      <c r="H352" t="inlineStr">
        <is>
          <t>https://www.seci.co.in/tender-details/YmV3</t>
        </is>
      </c>
    </row>
    <row r="353">
      <c r="A353" t="inlineStr">
        <is>
          <t>SECI000252</t>
        </is>
      </c>
      <c r="B353" t="inlineStr">
        <is>
          <t>SECI</t>
        </is>
      </c>
      <c r="C353" t="inlineStr">
        <is>
          <t>SECI/C&amp;P/OP/11/0001/26-27</t>
        </is>
      </c>
      <c r="D353" t="inlineStr">
        <is>
          <t>Solar</t>
        </is>
      </c>
      <c r="E353" t="n">
        <v>88</v>
      </c>
      <c r="F353" t="inlineStr">
        <is>
          <t>Open</t>
        </is>
      </c>
      <c r="G353" t="inlineStr">
        <is>
          <t>EPC / turnkey / BoS excluded</t>
        </is>
      </c>
      <c r="H353" t="inlineStr">
        <is>
          <t>https://www.seci.co.in/tender-details/Ymd1</t>
        </is>
      </c>
    </row>
    <row r="354">
      <c r="A354" t="inlineStr">
        <is>
          <t>SECI000262</t>
        </is>
      </c>
      <c r="B354" t="inlineStr">
        <is>
          <t>SECI</t>
        </is>
      </c>
      <c r="C354" t="inlineStr">
        <is>
          <t>SECI/C&amp;P/OP/11/0002/26-27</t>
        </is>
      </c>
      <c r="D354" t="inlineStr">
        <is>
          <t>Solar + BESS</t>
        </is>
      </c>
      <c r="E354" t="n">
        <v>25</v>
      </c>
      <c r="F354" t="inlineStr">
        <is>
          <t>Open</t>
        </is>
      </c>
      <c r="G354" t="inlineStr">
        <is>
          <t>Capacity below configured minimum</t>
        </is>
      </c>
      <c r="H354" t="inlineStr">
        <is>
          <t>https://www.seci.co.in/tender-details/YmR1</t>
        </is>
      </c>
    </row>
    <row r="355">
      <c r="A355" t="inlineStr">
        <is>
          <t>SECI000267</t>
        </is>
      </c>
      <c r="B355" t="inlineStr">
        <is>
          <t>SECI</t>
        </is>
      </c>
      <c r="C355" t="inlineStr">
        <is>
          <t>SECI/C&amp;P/MI/00/0001/26-27</t>
        </is>
      </c>
      <c r="D355" t="inlineStr">
        <is>
          <t>Other</t>
        </is>
      </c>
      <c r="F355" t="inlineStr">
        <is>
          <t>Open</t>
        </is>
      </c>
      <c r="G355" t="inlineStr">
        <is>
          <t>Capacity not confirmed</t>
        </is>
      </c>
      <c r="H355" t="inlineStr">
        <is>
          <t>https://www.seci.co.in/tender-details/YmRw</t>
        </is>
      </c>
    </row>
    <row r="356">
      <c r="A356" t="inlineStr">
        <is>
          <t>SECI000269</t>
        </is>
      </c>
      <c r="B356" t="inlineStr">
        <is>
          <t>SECI</t>
        </is>
      </c>
      <c r="C356" t="inlineStr">
        <is>
          <t>SECI000269</t>
        </is>
      </c>
      <c r="D356" t="inlineStr">
        <is>
          <t>BESS</t>
        </is>
      </c>
      <c r="E356" t="n">
        <v>40</v>
      </c>
      <c r="F356" t="inlineStr">
        <is>
          <t>Open</t>
        </is>
      </c>
      <c r="G356" t="inlineStr">
        <is>
          <t>Capacity below configured minimum</t>
        </is>
      </c>
      <c r="H356" t="inlineStr">
        <is>
          <t>https://www.seci.co.in/tender-details/YmR-</t>
        </is>
      </c>
    </row>
    <row r="357">
      <c r="A357" t="inlineStr">
        <is>
          <t>SECI000264</t>
        </is>
      </c>
      <c r="B357" t="inlineStr">
        <is>
          <t>SECI</t>
        </is>
      </c>
      <c r="C357" t="inlineStr">
        <is>
          <t>SECI/C&amp;P/EOI/17/0002/26-27</t>
        </is>
      </c>
      <c r="D357" t="inlineStr">
        <is>
          <t>Other</t>
        </is>
      </c>
      <c r="F357" t="inlineStr">
        <is>
          <t>Open</t>
        </is>
      </c>
      <c r="G357" t="inlineStr">
        <is>
          <t>Capacity not confirmed</t>
        </is>
      </c>
      <c r="H357" t="inlineStr">
        <is>
          <t>https://www.seci.co.in/tender-details/YmRz</t>
        </is>
      </c>
    </row>
    <row r="358">
      <c r="A358" t="inlineStr">
        <is>
          <t>SECI000265</t>
        </is>
      </c>
      <c r="B358" t="inlineStr">
        <is>
          <t>SECI</t>
        </is>
      </c>
      <c r="C358" t="inlineStr">
        <is>
          <t>SECI/C&amp;P/IPP/11/0007/26-27</t>
        </is>
      </c>
      <c r="D358" t="inlineStr">
        <is>
          <t>Solar</t>
        </is>
      </c>
      <c r="F358" t="inlineStr">
        <is>
          <t>Open</t>
        </is>
      </c>
      <c r="G358" t="inlineStr">
        <is>
          <t>Rooftop solar excluded</t>
        </is>
      </c>
      <c r="H358" t="inlineStr">
        <is>
          <t>https://www.seci.co.in/tender-details/YmRy</t>
        </is>
      </c>
    </row>
    <row r="359">
      <c r="B359" t="inlineStr">
        <is>
          <t>GRIDCO</t>
        </is>
      </c>
      <c r="C359" t="inlineStr">
        <is>
          <t>View Details Tender Document Addendum-I Pre-Bid Meeting Link Corrigendum-II Addendum-6 Odisha Floating Solar Data Room - Contents Addendum_09 Addendum</t>
        </is>
      </c>
      <c r="D359" t="inlineStr">
        <is>
          <t>Solar</t>
        </is>
      </c>
      <c r="F359" t="inlineStr">
        <is>
          <t>Corrigendum</t>
        </is>
      </c>
      <c r="G359" t="inlineStr">
        <is>
          <t>Capacity not confirmed</t>
        </is>
      </c>
      <c r="H359" t="inlineStr">
        <is>
          <t>https://www.gridco.co.in/writereaddata/Tenders/301225101225upload.pdf</t>
        </is>
      </c>
    </row>
    <row r="360">
      <c r="B360" t="inlineStr">
        <is>
          <t>GRIDCO</t>
        </is>
      </c>
      <c r="C360" t="inlineStr">
        <is>
          <t>Addendum-6 Odisha Floating Solar Data Room - Contents</t>
        </is>
      </c>
      <c r="D360" t="inlineStr">
        <is>
          <t>Solar</t>
        </is>
      </c>
      <c r="F360" t="inlineStr">
        <is>
          <t>Open</t>
        </is>
      </c>
      <c r="G360" t="inlineStr">
        <is>
          <t>Capacity not confirmed</t>
        </is>
      </c>
      <c r="H360" t="inlineStr">
        <is>
          <t>https://www.gridco.co.in/writereaddata/Tenders/301126051106Addendum-6_Odisha Floating Solar Data room - Contents.pdf</t>
        </is>
      </c>
    </row>
    <row r="361">
      <c r="A361" t="inlineStr">
        <is>
          <t>SECI000274</t>
        </is>
      </c>
      <c r="B361" t="inlineStr">
        <is>
          <t>SECI</t>
        </is>
      </c>
      <c r="C361" t="inlineStr">
        <is>
          <t>SECI/C&amp;P/IPP/15/0008/26-27</t>
        </is>
      </c>
      <c r="D361" t="inlineStr">
        <is>
          <t>Other</t>
        </is>
      </c>
      <c r="E361" t="n">
        <v>50</v>
      </c>
      <c r="F361" t="inlineStr">
        <is>
          <t>Open</t>
        </is>
      </c>
      <c r="G361" t="inlineStr">
        <is>
          <t>Capacity below configured minimum</t>
        </is>
      </c>
      <c r="H361" t="inlineStr">
        <is>
          <t>https://www.seci.co.in/tender-details/YmVz</t>
        </is>
      </c>
    </row>
    <row r="362">
      <c r="A362" t="inlineStr">
        <is>
          <t>SECI000276</t>
        </is>
      </c>
      <c r="B362" t="inlineStr">
        <is>
          <t>SECI</t>
        </is>
      </c>
      <c r="C362" t="inlineStr">
        <is>
          <t>SECI/C&amp;P/OP/15/0006/25-26</t>
        </is>
      </c>
      <c r="D362" t="inlineStr">
        <is>
          <t>Solar</t>
        </is>
      </c>
      <c r="F362" t="inlineStr">
        <is>
          <t>Open</t>
        </is>
      </c>
      <c r="G362" t="inlineStr">
        <is>
          <t>Rooftop solar excluded</t>
        </is>
      </c>
      <c r="H362" t="inlineStr">
        <is>
          <t>https://www.seci.co.in/tender-details/YmVx</t>
        </is>
      </c>
    </row>
    <row r="363">
      <c r="A363" t="inlineStr">
        <is>
          <t>SECI000263</t>
        </is>
      </c>
      <c r="B363" t="inlineStr">
        <is>
          <t>SECI</t>
        </is>
      </c>
      <c r="C363" t="inlineStr">
        <is>
          <t>SECI/C&amp;P/OP/11/0003/26-27</t>
        </is>
      </c>
      <c r="D363" t="inlineStr">
        <is>
          <t>Wind</t>
        </is>
      </c>
      <c r="E363" t="n">
        <v>45.6</v>
      </c>
      <c r="F363" t="inlineStr">
        <is>
          <t>Open</t>
        </is>
      </c>
      <c r="G363" t="inlineStr">
        <is>
          <t>Capacity below configured minimum</t>
        </is>
      </c>
      <c r="H363" t="inlineStr">
        <is>
          <t>https://www.seci.co.in/tender-details/YmR0</t>
        </is>
      </c>
    </row>
    <row r="364">
      <c r="A364" t="inlineStr">
        <is>
          <t>SECI000264</t>
        </is>
      </c>
      <c r="B364" t="inlineStr">
        <is>
          <t>SECI</t>
        </is>
      </c>
      <c r="C364" t="inlineStr">
        <is>
          <t>SECI/C&amp;P/EOI/17/0002/26-27</t>
        </is>
      </c>
      <c r="D364" t="inlineStr">
        <is>
          <t>Other</t>
        </is>
      </c>
      <c r="F364" t="inlineStr">
        <is>
          <t>Open</t>
        </is>
      </c>
      <c r="G364" t="inlineStr">
        <is>
          <t>Capacity not confirmed</t>
        </is>
      </c>
      <c r="H364" t="inlineStr">
        <is>
          <t>https://www.seci.co.in/tender-details/YmRz</t>
        </is>
      </c>
    </row>
    <row r="365">
      <c r="A365" t="inlineStr">
        <is>
          <t>SECI000270</t>
        </is>
      </c>
      <c r="B365" t="inlineStr">
        <is>
          <t>SECI</t>
        </is>
      </c>
      <c r="C365" t="inlineStr">
        <is>
          <t>SECI/C&amp;P/OP/15/0005/26-27</t>
        </is>
      </c>
      <c r="D365" t="inlineStr">
        <is>
          <t>Solar</t>
        </is>
      </c>
      <c r="F365" t="inlineStr">
        <is>
          <t>Open</t>
        </is>
      </c>
      <c r="G365" t="inlineStr">
        <is>
          <t>Rooftop solar excluded</t>
        </is>
      </c>
      <c r="H365" t="inlineStr">
        <is>
          <t>https://www.seci.co.in/tender-details/YmV3</t>
        </is>
      </c>
    </row>
    <row r="366">
      <c r="A366" t="inlineStr">
        <is>
          <t>SECI000252</t>
        </is>
      </c>
      <c r="B366" t="inlineStr">
        <is>
          <t>SECI</t>
        </is>
      </c>
      <c r="C366" t="inlineStr">
        <is>
          <t>SECI/C&amp;P/OP/11/0001/26-27</t>
        </is>
      </c>
      <c r="D366" t="inlineStr">
        <is>
          <t>Solar</t>
        </is>
      </c>
      <c r="E366" t="n">
        <v>88</v>
      </c>
      <c r="F366" t="inlineStr">
        <is>
          <t>Open</t>
        </is>
      </c>
      <c r="G366" t="inlineStr">
        <is>
          <t>EPC / turnkey / BoS excluded</t>
        </is>
      </c>
      <c r="H366" t="inlineStr">
        <is>
          <t>https://www.seci.co.in/tender-details/Ymd1</t>
        </is>
      </c>
    </row>
    <row r="367">
      <c r="A367" t="inlineStr">
        <is>
          <t>SECI000262</t>
        </is>
      </c>
      <c r="B367" t="inlineStr">
        <is>
          <t>SECI</t>
        </is>
      </c>
      <c r="C367" t="inlineStr">
        <is>
          <t>SECI/C&amp;P/OP/11/0002/26-27</t>
        </is>
      </c>
      <c r="D367" t="inlineStr">
        <is>
          <t>Solar + BESS</t>
        </is>
      </c>
      <c r="E367" t="n">
        <v>25</v>
      </c>
      <c r="F367" t="inlineStr">
        <is>
          <t>Open</t>
        </is>
      </c>
      <c r="G367" t="inlineStr">
        <is>
          <t>Capacity below configured minimum</t>
        </is>
      </c>
      <c r="H367" t="inlineStr">
        <is>
          <t>https://www.seci.co.in/tender-details/YmR1</t>
        </is>
      </c>
    </row>
    <row r="368">
      <c r="A368" t="inlineStr">
        <is>
          <t>SECI000267</t>
        </is>
      </c>
      <c r="B368" t="inlineStr">
        <is>
          <t>SECI</t>
        </is>
      </c>
      <c r="C368" t="inlineStr">
        <is>
          <t>SECI/C&amp;P/MI/00/0001/26-27</t>
        </is>
      </c>
      <c r="D368" t="inlineStr">
        <is>
          <t>Other</t>
        </is>
      </c>
      <c r="F368" t="inlineStr">
        <is>
          <t>Open</t>
        </is>
      </c>
      <c r="G368" t="inlineStr">
        <is>
          <t>Capacity not confirmed</t>
        </is>
      </c>
      <c r="H368" t="inlineStr">
        <is>
          <t>https://www.seci.co.in/tender-details/YmRw</t>
        </is>
      </c>
    </row>
    <row r="369">
      <c r="A369" t="inlineStr">
        <is>
          <t>SECI000269</t>
        </is>
      </c>
      <c r="B369" t="inlineStr">
        <is>
          <t>SECI</t>
        </is>
      </c>
      <c r="C369" t="inlineStr">
        <is>
          <t>SECI000269</t>
        </is>
      </c>
      <c r="D369" t="inlineStr">
        <is>
          <t>BESS</t>
        </is>
      </c>
      <c r="E369" t="n">
        <v>40</v>
      </c>
      <c r="F369" t="inlineStr">
        <is>
          <t>Open</t>
        </is>
      </c>
      <c r="G369" t="inlineStr">
        <is>
          <t>Capacity below configured minimum</t>
        </is>
      </c>
      <c r="H369" t="inlineStr">
        <is>
          <t>https://www.seci.co.in/tender-details/YmR-</t>
        </is>
      </c>
    </row>
    <row r="370">
      <c r="A370" t="inlineStr">
        <is>
          <t>SECI000265</t>
        </is>
      </c>
      <c r="B370" t="inlineStr">
        <is>
          <t>SECI</t>
        </is>
      </c>
      <c r="C370" t="inlineStr">
        <is>
          <t>SECI/C&amp;P/IPP/11/0007/26-27</t>
        </is>
      </c>
      <c r="D370" t="inlineStr">
        <is>
          <t>Solar</t>
        </is>
      </c>
      <c r="F370" t="inlineStr">
        <is>
          <t>Open</t>
        </is>
      </c>
      <c r="G370" t="inlineStr">
        <is>
          <t>Rooftop solar excluded</t>
        </is>
      </c>
      <c r="H370" t="inlineStr">
        <is>
          <t>https://www.seci.co.in/tender-details/YmRy</t>
        </is>
      </c>
    </row>
    <row r="371">
      <c r="B371" t="inlineStr">
        <is>
          <t>GRIDCO</t>
        </is>
      </c>
      <c r="C371" t="inlineStr">
        <is>
          <t>View Details Tender Document Addendum-I Pre-Bid Meeting Link Corrigendum-II Addendum-6 Odisha Floating Solar Data Room - Contents Addendum_09 Addendum</t>
        </is>
      </c>
      <c r="D371" t="inlineStr">
        <is>
          <t>Solar</t>
        </is>
      </c>
      <c r="F371" t="inlineStr">
        <is>
          <t>Corrigendum</t>
        </is>
      </c>
      <c r="G371" t="inlineStr">
        <is>
          <t>Capacity not confirmed</t>
        </is>
      </c>
      <c r="H371" t="inlineStr">
        <is>
          <t>https://www.gridco.co.in/writereaddata/Tenders/301225101225upload.pdf</t>
        </is>
      </c>
    </row>
    <row r="372">
      <c r="B372" t="inlineStr">
        <is>
          <t>GRIDCO</t>
        </is>
      </c>
      <c r="C372" t="inlineStr">
        <is>
          <t>Addendum-6 Odisha Floating Solar Data Room - Contents</t>
        </is>
      </c>
      <c r="D372" t="inlineStr">
        <is>
          <t>Solar</t>
        </is>
      </c>
      <c r="F372" t="inlineStr">
        <is>
          <t>Open</t>
        </is>
      </c>
      <c r="G372" t="inlineStr">
        <is>
          <t>Capacity not confirmed</t>
        </is>
      </c>
      <c r="H372" t="inlineStr">
        <is>
          <t>https://www.gridco.co.in/writereaddata/Tenders/301126051106Addendum-6_Odisha Floating Solar Data room - Contents.pdf</t>
        </is>
      </c>
    </row>
    <row r="373">
      <c r="A373" t="inlineStr">
        <is>
          <t>SECI000274</t>
        </is>
      </c>
      <c r="B373" t="inlineStr">
        <is>
          <t>SECI</t>
        </is>
      </c>
      <c r="C373" t="inlineStr">
        <is>
          <t>SECI/C&amp;P/IPP/15/0008/26-27</t>
        </is>
      </c>
      <c r="D373" t="inlineStr">
        <is>
          <t>Other</t>
        </is>
      </c>
      <c r="E373" t="n">
        <v>50</v>
      </c>
      <c r="F373" t="inlineStr">
        <is>
          <t>Open</t>
        </is>
      </c>
      <c r="G373" t="inlineStr">
        <is>
          <t>Capacity below configured minimum</t>
        </is>
      </c>
      <c r="H373" t="inlineStr">
        <is>
          <t>https://www.seci.co.in/tender-details/YmVz</t>
        </is>
      </c>
    </row>
    <row r="374">
      <c r="A374" t="inlineStr">
        <is>
          <t>SECI000276</t>
        </is>
      </c>
      <c r="B374" t="inlineStr">
        <is>
          <t>SECI</t>
        </is>
      </c>
      <c r="C374" t="inlineStr">
        <is>
          <t>SECI/C&amp;P/OP/15/0006/25-26</t>
        </is>
      </c>
      <c r="D374" t="inlineStr">
        <is>
          <t>Solar</t>
        </is>
      </c>
      <c r="F374" t="inlineStr">
        <is>
          <t>Open</t>
        </is>
      </c>
      <c r="G374" t="inlineStr">
        <is>
          <t>Rooftop solar excluded</t>
        </is>
      </c>
      <c r="H374" t="inlineStr">
        <is>
          <t>https://www.seci.co.in/tender-details/YmVx</t>
        </is>
      </c>
    </row>
    <row r="375">
      <c r="A375" t="inlineStr">
        <is>
          <t>SECI000263</t>
        </is>
      </c>
      <c r="B375" t="inlineStr">
        <is>
          <t>SECI</t>
        </is>
      </c>
      <c r="C375" t="inlineStr">
        <is>
          <t>SECI/C&amp;P/OP/11/0003/26-27</t>
        </is>
      </c>
      <c r="D375" t="inlineStr">
        <is>
          <t>Wind</t>
        </is>
      </c>
      <c r="E375" t="n">
        <v>45.6</v>
      </c>
      <c r="F375" t="inlineStr">
        <is>
          <t>Open</t>
        </is>
      </c>
      <c r="G375" t="inlineStr">
        <is>
          <t>Capacity below configured minimum</t>
        </is>
      </c>
      <c r="H375" t="inlineStr">
        <is>
          <t>https://www.seci.co.in/tender-details/YmR0</t>
        </is>
      </c>
    </row>
    <row r="376">
      <c r="A376" t="inlineStr">
        <is>
          <t>SECI000264</t>
        </is>
      </c>
      <c r="B376" t="inlineStr">
        <is>
          <t>SECI</t>
        </is>
      </c>
      <c r="C376" t="inlineStr">
        <is>
          <t>SECI/C&amp;P/EOI/17/0002/26-27</t>
        </is>
      </c>
      <c r="D376" t="inlineStr">
        <is>
          <t>Other</t>
        </is>
      </c>
      <c r="F376" t="inlineStr">
        <is>
          <t>Open</t>
        </is>
      </c>
      <c r="G376" t="inlineStr">
        <is>
          <t>Capacity not confirmed</t>
        </is>
      </c>
      <c r="H376" t="inlineStr">
        <is>
          <t>https://www.seci.co.in/tender-details/YmRz</t>
        </is>
      </c>
    </row>
    <row r="377">
      <c r="A377" t="inlineStr">
        <is>
          <t>SECI000270</t>
        </is>
      </c>
      <c r="B377" t="inlineStr">
        <is>
          <t>SECI</t>
        </is>
      </c>
      <c r="C377" t="inlineStr">
        <is>
          <t>SECI/C&amp;P/OP/15/0005/26-27</t>
        </is>
      </c>
      <c r="D377" t="inlineStr">
        <is>
          <t>Solar</t>
        </is>
      </c>
      <c r="F377" t="inlineStr">
        <is>
          <t>Open</t>
        </is>
      </c>
      <c r="G377" t="inlineStr">
        <is>
          <t>Rooftop solar excluded</t>
        </is>
      </c>
      <c r="H377" t="inlineStr">
        <is>
          <t>https://www.seci.co.in/tender-details/YmV3</t>
        </is>
      </c>
    </row>
    <row r="378">
      <c r="A378" t="inlineStr">
        <is>
          <t>SECI000252</t>
        </is>
      </c>
      <c r="B378" t="inlineStr">
        <is>
          <t>SECI</t>
        </is>
      </c>
      <c r="C378" t="inlineStr">
        <is>
          <t>SECI/C&amp;P/OP/11/0001/26-27</t>
        </is>
      </c>
      <c r="D378" t="inlineStr">
        <is>
          <t>Solar</t>
        </is>
      </c>
      <c r="E378" t="n">
        <v>88</v>
      </c>
      <c r="F378" t="inlineStr">
        <is>
          <t>Open</t>
        </is>
      </c>
      <c r="G378" t="inlineStr">
        <is>
          <t>EPC / turnkey / BoS excluded</t>
        </is>
      </c>
      <c r="H378" t="inlineStr">
        <is>
          <t>https://www.seci.co.in/tender-details/Ymd1</t>
        </is>
      </c>
    </row>
    <row r="379">
      <c r="A379" t="inlineStr">
        <is>
          <t>SECI000262</t>
        </is>
      </c>
      <c r="B379" t="inlineStr">
        <is>
          <t>SECI</t>
        </is>
      </c>
      <c r="C379" t="inlineStr">
        <is>
          <t>SECI/C&amp;P/OP/11/0002/26-27</t>
        </is>
      </c>
      <c r="D379" t="inlineStr">
        <is>
          <t>Solar + BESS</t>
        </is>
      </c>
      <c r="E379" t="n">
        <v>25</v>
      </c>
      <c r="F379" t="inlineStr">
        <is>
          <t>Open</t>
        </is>
      </c>
      <c r="G379" t="inlineStr">
        <is>
          <t>Capacity below configured minimum</t>
        </is>
      </c>
      <c r="H379" t="inlineStr">
        <is>
          <t>https://www.seci.co.in/tender-details/YmR1</t>
        </is>
      </c>
    </row>
    <row r="380">
      <c r="A380" t="inlineStr">
        <is>
          <t>SECI000267</t>
        </is>
      </c>
      <c r="B380" t="inlineStr">
        <is>
          <t>SECI</t>
        </is>
      </c>
      <c r="C380" t="inlineStr">
        <is>
          <t>SECI/C&amp;P/MI/00/0001/26-27</t>
        </is>
      </c>
      <c r="D380" t="inlineStr">
        <is>
          <t>Other</t>
        </is>
      </c>
      <c r="F380" t="inlineStr">
        <is>
          <t>Open</t>
        </is>
      </c>
      <c r="G380" t="inlineStr">
        <is>
          <t>Capacity not confirmed</t>
        </is>
      </c>
      <c r="H380" t="inlineStr">
        <is>
          <t>https://www.seci.co.in/tender-details/YmRw</t>
        </is>
      </c>
    </row>
    <row r="381">
      <c r="A381" t="inlineStr">
        <is>
          <t>SECI000269</t>
        </is>
      </c>
      <c r="B381" t="inlineStr">
        <is>
          <t>SECI</t>
        </is>
      </c>
      <c r="C381" t="inlineStr">
        <is>
          <t>SECI000269</t>
        </is>
      </c>
      <c r="D381" t="inlineStr">
        <is>
          <t>BESS</t>
        </is>
      </c>
      <c r="E381" t="n">
        <v>40</v>
      </c>
      <c r="F381" t="inlineStr">
        <is>
          <t>Open</t>
        </is>
      </c>
      <c r="G381" t="inlineStr">
        <is>
          <t>Capacity below configured minimum</t>
        </is>
      </c>
      <c r="H381" t="inlineStr">
        <is>
          <t>https://www.seci.co.in/tender-details/YmR-</t>
        </is>
      </c>
    </row>
    <row r="382">
      <c r="A382" t="inlineStr">
        <is>
          <t>SECI000265</t>
        </is>
      </c>
      <c r="B382" t="inlineStr">
        <is>
          <t>SECI</t>
        </is>
      </c>
      <c r="C382" t="inlineStr">
        <is>
          <t>SECI/C&amp;P/IPP/11/0007/26-27</t>
        </is>
      </c>
      <c r="D382" t="inlineStr">
        <is>
          <t>Solar</t>
        </is>
      </c>
      <c r="F382" t="inlineStr">
        <is>
          <t>Open</t>
        </is>
      </c>
      <c r="G382" t="inlineStr">
        <is>
          <t>Rooftop solar excluded</t>
        </is>
      </c>
      <c r="H382" t="inlineStr">
        <is>
          <t>https://www.seci.co.in/tender-details/YmRy</t>
        </is>
      </c>
    </row>
    <row r="383">
      <c r="A383" t="inlineStr">
        <is>
          <t>SECI000274</t>
        </is>
      </c>
      <c r="B383" t="inlineStr">
        <is>
          <t>SECI</t>
        </is>
      </c>
      <c r="C383" t="inlineStr">
        <is>
          <t>SECI/C&amp;P/IPP/15/0008/26-27</t>
        </is>
      </c>
      <c r="D383" t="inlineStr">
        <is>
          <t>Other</t>
        </is>
      </c>
      <c r="E383" t="n">
        <v>50</v>
      </c>
      <c r="F383" t="inlineStr">
        <is>
          <t>Open</t>
        </is>
      </c>
      <c r="G383" t="inlineStr">
        <is>
          <t>Capacity below configured minimum</t>
        </is>
      </c>
      <c r="H383" t="inlineStr">
        <is>
          <t>https://www.seci.co.in/tender-details/YmVz</t>
        </is>
      </c>
    </row>
    <row r="384">
      <c r="A384" t="inlineStr">
        <is>
          <t>SECI000276</t>
        </is>
      </c>
      <c r="B384" t="inlineStr">
        <is>
          <t>SECI</t>
        </is>
      </c>
      <c r="C384" t="inlineStr">
        <is>
          <t>SECI/C&amp;P/OP/15/0006/25-26</t>
        </is>
      </c>
      <c r="D384" t="inlineStr">
        <is>
          <t>Solar</t>
        </is>
      </c>
      <c r="F384" t="inlineStr">
        <is>
          <t>Open</t>
        </is>
      </c>
      <c r="G384" t="inlineStr">
        <is>
          <t>Rooftop solar excluded</t>
        </is>
      </c>
      <c r="H384" t="inlineStr">
        <is>
          <t>https://www.seci.co.in/tender-details/YmVx</t>
        </is>
      </c>
    </row>
    <row r="385">
      <c r="A385" t="inlineStr">
        <is>
          <t>SECI000262</t>
        </is>
      </c>
      <c r="B385" t="inlineStr">
        <is>
          <t>SECI</t>
        </is>
      </c>
      <c r="C385" t="inlineStr">
        <is>
          <t>SECI/C&amp;P/OP/11/0002/26-27</t>
        </is>
      </c>
      <c r="D385" t="inlineStr">
        <is>
          <t>Solar + BESS</t>
        </is>
      </c>
      <c r="E385" t="n">
        <v>25</v>
      </c>
      <c r="F385" t="inlineStr">
        <is>
          <t>Open</t>
        </is>
      </c>
      <c r="G385" t="inlineStr">
        <is>
          <t>Capacity below configured minimum</t>
        </is>
      </c>
      <c r="H385" t="inlineStr">
        <is>
          <t>https://www.seci.co.in/tender-details/YmR1</t>
        </is>
      </c>
    </row>
    <row r="386">
      <c r="A386" t="inlineStr">
        <is>
          <t>SECI000263</t>
        </is>
      </c>
      <c r="B386" t="inlineStr">
        <is>
          <t>SECI</t>
        </is>
      </c>
      <c r="C386" t="inlineStr">
        <is>
          <t>SECI/C&amp;P/OP/11/0003/26-27</t>
        </is>
      </c>
      <c r="D386" t="inlineStr">
        <is>
          <t>Wind</t>
        </is>
      </c>
      <c r="E386" t="n">
        <v>45.6</v>
      </c>
      <c r="F386" t="inlineStr">
        <is>
          <t>Open</t>
        </is>
      </c>
      <c r="G386" t="inlineStr">
        <is>
          <t>Capacity below configured minimum</t>
        </is>
      </c>
      <c r="H386" t="inlineStr">
        <is>
          <t>https://www.seci.co.in/tender-details/YmR0</t>
        </is>
      </c>
    </row>
    <row r="387">
      <c r="A387" t="inlineStr">
        <is>
          <t>SECI000264</t>
        </is>
      </c>
      <c r="B387" t="inlineStr">
        <is>
          <t>SECI</t>
        </is>
      </c>
      <c r="C387" t="inlineStr">
        <is>
          <t>SECI/C&amp;P/EOI/17/0002/26-27</t>
        </is>
      </c>
      <c r="D387" t="inlineStr">
        <is>
          <t>Other</t>
        </is>
      </c>
      <c r="F387" t="inlineStr">
        <is>
          <t>Open</t>
        </is>
      </c>
      <c r="G387" t="inlineStr">
        <is>
          <t>Capacity not confirmed</t>
        </is>
      </c>
      <c r="H387" t="inlineStr">
        <is>
          <t>https://www.seci.co.in/tender-details/YmRz</t>
        </is>
      </c>
    </row>
    <row r="388">
      <c r="A388" t="inlineStr">
        <is>
          <t>SECI000270</t>
        </is>
      </c>
      <c r="B388" t="inlineStr">
        <is>
          <t>SECI</t>
        </is>
      </c>
      <c r="C388" t="inlineStr">
        <is>
          <t>SECI/C&amp;P/OP/15/0005/26-27</t>
        </is>
      </c>
      <c r="D388" t="inlineStr">
        <is>
          <t>Solar</t>
        </is>
      </c>
      <c r="F388" t="inlineStr">
        <is>
          <t>Open</t>
        </is>
      </c>
      <c r="G388" t="inlineStr">
        <is>
          <t>Rooftop solar excluded</t>
        </is>
      </c>
      <c r="H388" t="inlineStr">
        <is>
          <t>https://www.seci.co.in/tender-details/YmV3</t>
        </is>
      </c>
    </row>
    <row r="389">
      <c r="A389" t="inlineStr">
        <is>
          <t>SECI000252</t>
        </is>
      </c>
      <c r="B389" t="inlineStr">
        <is>
          <t>SECI</t>
        </is>
      </c>
      <c r="C389" t="inlineStr">
        <is>
          <t>SECI/C&amp;P/OP/11/0001/26-27</t>
        </is>
      </c>
      <c r="D389" t="inlineStr">
        <is>
          <t>Solar</t>
        </is>
      </c>
      <c r="E389" t="n">
        <v>88</v>
      </c>
      <c r="F389" t="inlineStr">
        <is>
          <t>Open</t>
        </is>
      </c>
      <c r="G389" t="inlineStr">
        <is>
          <t>EPC / turnkey / BoS excluded</t>
        </is>
      </c>
      <c r="H389" t="inlineStr">
        <is>
          <t>https://www.seci.co.in/tender-details/Ymd1</t>
        </is>
      </c>
    </row>
    <row r="390">
      <c r="A390" t="inlineStr">
        <is>
          <t>SECI000267</t>
        </is>
      </c>
      <c r="B390" t="inlineStr">
        <is>
          <t>SECI</t>
        </is>
      </c>
      <c r="C390" t="inlineStr">
        <is>
          <t>SECI/C&amp;P/MI/00/0001/26-27</t>
        </is>
      </c>
      <c r="D390" t="inlineStr">
        <is>
          <t>Other</t>
        </is>
      </c>
      <c r="F390" t="inlineStr">
        <is>
          <t>Open</t>
        </is>
      </c>
      <c r="G390" t="inlineStr">
        <is>
          <t>Capacity not confirmed</t>
        </is>
      </c>
      <c r="H390" t="inlineStr">
        <is>
          <t>https://www.seci.co.in/tender-details/YmRw</t>
        </is>
      </c>
    </row>
    <row r="391">
      <c r="A391" t="inlineStr">
        <is>
          <t>SECI000269</t>
        </is>
      </c>
      <c r="B391" t="inlineStr">
        <is>
          <t>SECI</t>
        </is>
      </c>
      <c r="C391" t="inlineStr">
        <is>
          <t>SECI000269</t>
        </is>
      </c>
      <c r="D391" t="inlineStr">
        <is>
          <t>BESS</t>
        </is>
      </c>
      <c r="E391" t="n">
        <v>40</v>
      </c>
      <c r="F391" t="inlineStr">
        <is>
          <t>Open</t>
        </is>
      </c>
      <c r="G391" t="inlineStr">
        <is>
          <t>Capacity below configured minimum</t>
        </is>
      </c>
      <c r="H391" t="inlineStr">
        <is>
          <t>https://www.seci.co.in/tender-details/YmR-</t>
        </is>
      </c>
    </row>
    <row r="392">
      <c r="A392" t="inlineStr">
        <is>
          <t>SECI000265</t>
        </is>
      </c>
      <c r="B392" t="inlineStr">
        <is>
          <t>SECI</t>
        </is>
      </c>
      <c r="C392" t="inlineStr">
        <is>
          <t>SECI/C&amp;P/IPP/11/0007/26-27</t>
        </is>
      </c>
      <c r="D392" t="inlineStr">
        <is>
          <t>Solar</t>
        </is>
      </c>
      <c r="F392" t="inlineStr">
        <is>
          <t>Open</t>
        </is>
      </c>
      <c r="G392" t="inlineStr">
        <is>
          <t>Rooftop solar excluded</t>
        </is>
      </c>
      <c r="H392" t="inlineStr">
        <is>
          <t>https://www.seci.co.in/tender-details/YmRy</t>
        </is>
      </c>
    </row>
    <row r="393">
      <c r="B393" t="inlineStr">
        <is>
          <t>NTPC REL</t>
        </is>
      </c>
      <c r="D393" t="inlineStr">
        <is>
          <t>Other</t>
        </is>
      </c>
      <c r="F393" t="inlineStr">
        <is>
          <t>Extended</t>
        </is>
      </c>
      <c r="G393" t="inlineStr">
        <is>
          <t>Capacity not confirmed</t>
        </is>
      </c>
      <c r="H393" t="inlineStr">
        <is>
          <t>https://ntpctender.ntpc.co.in/NITDetails/NITs/30221</t>
        </is>
      </c>
    </row>
    <row r="394">
      <c r="A394" t="inlineStr">
        <is>
          <t>SECI000274</t>
        </is>
      </c>
      <c r="B394" t="inlineStr">
        <is>
          <t>SECI</t>
        </is>
      </c>
      <c r="C394" t="inlineStr">
        <is>
          <t>SECI/C&amp;P/IPP/15/0008/26-27</t>
        </is>
      </c>
      <c r="D394" t="inlineStr">
        <is>
          <t>Other</t>
        </is>
      </c>
      <c r="E394" t="n">
        <v>50</v>
      </c>
      <c r="F394" t="inlineStr">
        <is>
          <t>Open</t>
        </is>
      </c>
      <c r="G394" t="inlineStr">
        <is>
          <t>Capacity below configured minimum</t>
        </is>
      </c>
      <c r="H394" t="inlineStr">
        <is>
          <t>https://www.seci.co.in/tender-details/YmVz</t>
        </is>
      </c>
    </row>
    <row r="395">
      <c r="A395" t="inlineStr">
        <is>
          <t>SECI000276</t>
        </is>
      </c>
      <c r="B395" t="inlineStr">
        <is>
          <t>SECI</t>
        </is>
      </c>
      <c r="C395" t="inlineStr">
        <is>
          <t>SECI/C&amp;P/OP/15/0006/25-26</t>
        </is>
      </c>
      <c r="D395" t="inlineStr">
        <is>
          <t>Solar</t>
        </is>
      </c>
      <c r="F395" t="inlineStr">
        <is>
          <t>Open</t>
        </is>
      </c>
      <c r="G395" t="inlineStr">
        <is>
          <t>Rooftop solar excluded</t>
        </is>
      </c>
      <c r="H395" t="inlineStr">
        <is>
          <t>https://www.seci.co.in/tender-details/YmVx</t>
        </is>
      </c>
    </row>
    <row r="396">
      <c r="A396" t="inlineStr">
        <is>
          <t>SECI000262</t>
        </is>
      </c>
      <c r="B396" t="inlineStr">
        <is>
          <t>SECI</t>
        </is>
      </c>
      <c r="C396" t="inlineStr">
        <is>
          <t>SECI/C&amp;P/OP/11/0002/26-27</t>
        </is>
      </c>
      <c r="D396" t="inlineStr">
        <is>
          <t>Solar + BESS</t>
        </is>
      </c>
      <c r="E396" t="n">
        <v>25</v>
      </c>
      <c r="F396" t="inlineStr">
        <is>
          <t>Open</t>
        </is>
      </c>
      <c r="G396" t="inlineStr">
        <is>
          <t>Capacity below configured minimum</t>
        </is>
      </c>
      <c r="H396" t="inlineStr">
        <is>
          <t>https://www.seci.co.in/tender-details/YmR1</t>
        </is>
      </c>
    </row>
    <row r="397">
      <c r="A397" t="inlineStr">
        <is>
          <t>SECI000263</t>
        </is>
      </c>
      <c r="B397" t="inlineStr">
        <is>
          <t>SECI</t>
        </is>
      </c>
      <c r="C397" t="inlineStr">
        <is>
          <t>SECI/C&amp;P/OP/11/0003/26-27</t>
        </is>
      </c>
      <c r="D397" t="inlineStr">
        <is>
          <t>Wind</t>
        </is>
      </c>
      <c r="E397" t="n">
        <v>45.6</v>
      </c>
      <c r="F397" t="inlineStr">
        <is>
          <t>Open</t>
        </is>
      </c>
      <c r="G397" t="inlineStr">
        <is>
          <t>Capacity below configured minimum</t>
        </is>
      </c>
      <c r="H397" t="inlineStr">
        <is>
          <t>https://www.seci.co.in/tender-details/YmR0</t>
        </is>
      </c>
    </row>
    <row r="398">
      <c r="A398" t="inlineStr">
        <is>
          <t>SECI000264</t>
        </is>
      </c>
      <c r="B398" t="inlineStr">
        <is>
          <t>SECI</t>
        </is>
      </c>
      <c r="C398" t="inlineStr">
        <is>
          <t>SECI/C&amp;P/EOI/17/0002/26-27</t>
        </is>
      </c>
      <c r="D398" t="inlineStr">
        <is>
          <t>Other</t>
        </is>
      </c>
      <c r="F398" t="inlineStr">
        <is>
          <t>Open</t>
        </is>
      </c>
      <c r="G398" t="inlineStr">
        <is>
          <t>Capacity not confirmed</t>
        </is>
      </c>
      <c r="H398" t="inlineStr">
        <is>
          <t>https://www.seci.co.in/tender-details/YmRz</t>
        </is>
      </c>
    </row>
    <row r="399">
      <c r="A399" t="inlineStr">
        <is>
          <t>SECI000270</t>
        </is>
      </c>
      <c r="B399" t="inlineStr">
        <is>
          <t>SECI</t>
        </is>
      </c>
      <c r="C399" t="inlineStr">
        <is>
          <t>SECI/C&amp;P/OP/15/0005/26-27</t>
        </is>
      </c>
      <c r="D399" t="inlineStr">
        <is>
          <t>Solar</t>
        </is>
      </c>
      <c r="F399" t="inlineStr">
        <is>
          <t>Open</t>
        </is>
      </c>
      <c r="G399" t="inlineStr">
        <is>
          <t>Rooftop solar excluded</t>
        </is>
      </c>
      <c r="H399" t="inlineStr">
        <is>
          <t>https://www.seci.co.in/tender-details/YmV3</t>
        </is>
      </c>
    </row>
    <row r="400">
      <c r="A400" t="inlineStr">
        <is>
          <t>SECI000252</t>
        </is>
      </c>
      <c r="B400" t="inlineStr">
        <is>
          <t>SECI</t>
        </is>
      </c>
      <c r="C400" t="inlineStr">
        <is>
          <t>SECI/C&amp;P/OP/11/0001/26-27</t>
        </is>
      </c>
      <c r="D400" t="inlineStr">
        <is>
          <t>Solar</t>
        </is>
      </c>
      <c r="E400" t="n">
        <v>88</v>
      </c>
      <c r="F400" t="inlineStr">
        <is>
          <t>Open</t>
        </is>
      </c>
      <c r="G400" t="inlineStr">
        <is>
          <t>EPC / turnkey / BoS excluded</t>
        </is>
      </c>
      <c r="H400" t="inlineStr">
        <is>
          <t>https://www.seci.co.in/tender-details/Ymd1</t>
        </is>
      </c>
    </row>
    <row r="401">
      <c r="A401" t="inlineStr">
        <is>
          <t>SECI000267</t>
        </is>
      </c>
      <c r="B401" t="inlineStr">
        <is>
          <t>SECI</t>
        </is>
      </c>
      <c r="C401" t="inlineStr">
        <is>
          <t>SECI/C&amp;P/MI/00/0001/26-27</t>
        </is>
      </c>
      <c r="D401" t="inlineStr">
        <is>
          <t>Other</t>
        </is>
      </c>
      <c r="F401" t="inlineStr">
        <is>
          <t>Open</t>
        </is>
      </c>
      <c r="G401" t="inlineStr">
        <is>
          <t>Capacity not confirmed</t>
        </is>
      </c>
      <c r="H401" t="inlineStr">
        <is>
          <t>https://www.seci.co.in/tender-details/YmRw</t>
        </is>
      </c>
    </row>
    <row r="402">
      <c r="A402" t="inlineStr">
        <is>
          <t>SECI000269</t>
        </is>
      </c>
      <c r="B402" t="inlineStr">
        <is>
          <t>SECI</t>
        </is>
      </c>
      <c r="C402" t="inlineStr">
        <is>
          <t>SECI000269</t>
        </is>
      </c>
      <c r="D402" t="inlineStr">
        <is>
          <t>BESS</t>
        </is>
      </c>
      <c r="E402" t="n">
        <v>40</v>
      </c>
      <c r="F402" t="inlineStr">
        <is>
          <t>Open</t>
        </is>
      </c>
      <c r="G402" t="inlineStr">
        <is>
          <t>Capacity below configured minimum</t>
        </is>
      </c>
      <c r="H402" t="inlineStr">
        <is>
          <t>https://www.seci.co.in/tender-details/YmR-</t>
        </is>
      </c>
    </row>
    <row r="403">
      <c r="A403" t="inlineStr">
        <is>
          <t>SECI000265</t>
        </is>
      </c>
      <c r="B403" t="inlineStr">
        <is>
          <t>SECI</t>
        </is>
      </c>
      <c r="C403" t="inlineStr">
        <is>
          <t>SECI/C&amp;P/IPP/11/0007/26-27</t>
        </is>
      </c>
      <c r="D403" t="inlineStr">
        <is>
          <t>Solar</t>
        </is>
      </c>
      <c r="F403" t="inlineStr">
        <is>
          <t>Open</t>
        </is>
      </c>
      <c r="G403" t="inlineStr">
        <is>
          <t>Rooftop solar excluded</t>
        </is>
      </c>
      <c r="H403" t="inlineStr">
        <is>
          <t>https://www.seci.co.in/tender-details/YmRy</t>
        </is>
      </c>
    </row>
    <row r="404">
      <c r="B404" t="inlineStr">
        <is>
          <t>NTPC REL</t>
        </is>
      </c>
      <c r="D404" t="inlineStr">
        <is>
          <t>Other</t>
        </is>
      </c>
      <c r="F404" t="inlineStr">
        <is>
          <t>Extended</t>
        </is>
      </c>
      <c r="G404" t="inlineStr">
        <is>
          <t>Capacity not confirmed</t>
        </is>
      </c>
      <c r="H404" t="inlineStr">
        <is>
          <t>https://ntpctender.ntpc.co.in/NITDetails/NITs/30221</t>
        </is>
      </c>
    </row>
    <row r="405">
      <c r="A405" t="inlineStr">
        <is>
          <t>SECI000274</t>
        </is>
      </c>
      <c r="B405" t="inlineStr">
        <is>
          <t>SECI</t>
        </is>
      </c>
      <c r="C405" t="inlineStr">
        <is>
          <t>SECI/C&amp;P/IPP/15/0008/26-27</t>
        </is>
      </c>
      <c r="D405" t="inlineStr">
        <is>
          <t>Other</t>
        </is>
      </c>
      <c r="E405" t="n">
        <v>50</v>
      </c>
      <c r="F405" t="inlineStr">
        <is>
          <t>Open</t>
        </is>
      </c>
      <c r="G405" t="inlineStr">
        <is>
          <t>Capacity below configured minimum</t>
        </is>
      </c>
      <c r="H405" t="inlineStr">
        <is>
          <t>https://www.seci.co.in/tender-details/YmVz</t>
        </is>
      </c>
    </row>
    <row r="406">
      <c r="A406" t="inlineStr">
        <is>
          <t>SECI000276</t>
        </is>
      </c>
      <c r="B406" t="inlineStr">
        <is>
          <t>SECI</t>
        </is>
      </c>
      <c r="C406" t="inlineStr">
        <is>
          <t>SECI/C&amp;P/OP/15/0006/25-26</t>
        </is>
      </c>
      <c r="D406" t="inlineStr">
        <is>
          <t>Solar</t>
        </is>
      </c>
      <c r="F406" t="inlineStr">
        <is>
          <t>Open</t>
        </is>
      </c>
      <c r="G406" t="inlineStr">
        <is>
          <t>Rooftop solar excluded</t>
        </is>
      </c>
      <c r="H406" t="inlineStr">
        <is>
          <t>https://www.seci.co.in/tender-details/YmVx</t>
        </is>
      </c>
    </row>
    <row r="407">
      <c r="A407" t="inlineStr">
        <is>
          <t>SECI000262</t>
        </is>
      </c>
      <c r="B407" t="inlineStr">
        <is>
          <t>SECI</t>
        </is>
      </c>
      <c r="C407" t="inlineStr">
        <is>
          <t>SECI/C&amp;P/OP/11/0002/26-27</t>
        </is>
      </c>
      <c r="D407" t="inlineStr">
        <is>
          <t>Solar + BESS</t>
        </is>
      </c>
      <c r="E407" t="n">
        <v>25</v>
      </c>
      <c r="F407" t="inlineStr">
        <is>
          <t>Open</t>
        </is>
      </c>
      <c r="G407" t="inlineStr">
        <is>
          <t>Capacity below configured minimum</t>
        </is>
      </c>
      <c r="H407" t="inlineStr">
        <is>
          <t>https://www.seci.co.in/tender-details/YmR1</t>
        </is>
      </c>
    </row>
    <row r="408">
      <c r="A408" t="inlineStr">
        <is>
          <t>SECI000263</t>
        </is>
      </c>
      <c r="B408" t="inlineStr">
        <is>
          <t>SECI</t>
        </is>
      </c>
      <c r="C408" t="inlineStr">
        <is>
          <t>SECI/C&amp;P/OP/11/0003/26-27</t>
        </is>
      </c>
      <c r="D408" t="inlineStr">
        <is>
          <t>Wind</t>
        </is>
      </c>
      <c r="E408" t="n">
        <v>45.6</v>
      </c>
      <c r="F408" t="inlineStr">
        <is>
          <t>Open</t>
        </is>
      </c>
      <c r="G408" t="inlineStr">
        <is>
          <t>Capacity below configured minimum</t>
        </is>
      </c>
      <c r="H408" t="inlineStr">
        <is>
          <t>https://www.seci.co.in/tender-details/YmR0</t>
        </is>
      </c>
    </row>
    <row r="409">
      <c r="A409" t="inlineStr">
        <is>
          <t>SECI000264</t>
        </is>
      </c>
      <c r="B409" t="inlineStr">
        <is>
          <t>SECI</t>
        </is>
      </c>
      <c r="C409" t="inlineStr">
        <is>
          <t>SECI/C&amp;P/EOI/17/0002/26-27</t>
        </is>
      </c>
      <c r="D409" t="inlineStr">
        <is>
          <t>Other</t>
        </is>
      </c>
      <c r="F409" t="inlineStr">
        <is>
          <t>Open</t>
        </is>
      </c>
      <c r="G409" t="inlineStr">
        <is>
          <t>Capacity not confirmed</t>
        </is>
      </c>
      <c r="H409" t="inlineStr">
        <is>
          <t>https://www.seci.co.in/tender-details/YmRz</t>
        </is>
      </c>
    </row>
    <row r="410">
      <c r="A410" t="inlineStr">
        <is>
          <t>SECI000270</t>
        </is>
      </c>
      <c r="B410" t="inlineStr">
        <is>
          <t>SECI</t>
        </is>
      </c>
      <c r="C410" t="inlineStr">
        <is>
          <t>SECI/C&amp;P/OP/15/0005/26-27</t>
        </is>
      </c>
      <c r="D410" t="inlineStr">
        <is>
          <t>Solar</t>
        </is>
      </c>
      <c r="F410" t="inlineStr">
        <is>
          <t>Open</t>
        </is>
      </c>
      <c r="G410" t="inlineStr">
        <is>
          <t>Rooftop solar excluded</t>
        </is>
      </c>
      <c r="H410" t="inlineStr">
        <is>
          <t>https://www.seci.co.in/tender-details/YmV3</t>
        </is>
      </c>
    </row>
    <row r="411">
      <c r="A411" t="inlineStr">
        <is>
          <t>SECI000252</t>
        </is>
      </c>
      <c r="B411" t="inlineStr">
        <is>
          <t>SECI</t>
        </is>
      </c>
      <c r="C411" t="inlineStr">
        <is>
          <t>SECI/C&amp;P/OP/11/0001/26-27</t>
        </is>
      </c>
      <c r="D411" t="inlineStr">
        <is>
          <t>Solar</t>
        </is>
      </c>
      <c r="E411" t="n">
        <v>88</v>
      </c>
      <c r="F411" t="inlineStr">
        <is>
          <t>Open</t>
        </is>
      </c>
      <c r="G411" t="inlineStr">
        <is>
          <t>EPC / turnkey / BoS excluded</t>
        </is>
      </c>
      <c r="H411" t="inlineStr">
        <is>
          <t>https://www.seci.co.in/tender-details/Ymd1</t>
        </is>
      </c>
    </row>
    <row r="412">
      <c r="A412" t="inlineStr">
        <is>
          <t>SECI000267</t>
        </is>
      </c>
      <c r="B412" t="inlineStr">
        <is>
          <t>SECI</t>
        </is>
      </c>
      <c r="C412" t="inlineStr">
        <is>
          <t>SECI/C&amp;P/MI/00/0001/26-27</t>
        </is>
      </c>
      <c r="D412" t="inlineStr">
        <is>
          <t>Other</t>
        </is>
      </c>
      <c r="F412" t="inlineStr">
        <is>
          <t>Open</t>
        </is>
      </c>
      <c r="G412" t="inlineStr">
        <is>
          <t>Capacity not confirmed</t>
        </is>
      </c>
      <c r="H412" t="inlineStr">
        <is>
          <t>https://www.seci.co.in/tender-details/YmRw</t>
        </is>
      </c>
    </row>
    <row r="413">
      <c r="A413" t="inlineStr">
        <is>
          <t>SECI000269</t>
        </is>
      </c>
      <c r="B413" t="inlineStr">
        <is>
          <t>SECI</t>
        </is>
      </c>
      <c r="C413" t="inlineStr">
        <is>
          <t>SECI000269</t>
        </is>
      </c>
      <c r="D413" t="inlineStr">
        <is>
          <t>BESS</t>
        </is>
      </c>
      <c r="E413" t="n">
        <v>40</v>
      </c>
      <c r="F413" t="inlineStr">
        <is>
          <t>Open</t>
        </is>
      </c>
      <c r="G413" t="inlineStr">
        <is>
          <t>Capacity below configured minimum</t>
        </is>
      </c>
      <c r="H413" t="inlineStr">
        <is>
          <t>https://www.seci.co.in/tender-details/YmR-</t>
        </is>
      </c>
    </row>
    <row r="414">
      <c r="A414" t="inlineStr">
        <is>
          <t>SECI000265</t>
        </is>
      </c>
      <c r="B414" t="inlineStr">
        <is>
          <t>SECI</t>
        </is>
      </c>
      <c r="C414" t="inlineStr">
        <is>
          <t>SECI/C&amp;P/IPP/11/0007/26-27</t>
        </is>
      </c>
      <c r="D414" t="inlineStr">
        <is>
          <t>Solar</t>
        </is>
      </c>
      <c r="F414" t="inlineStr">
        <is>
          <t>Open</t>
        </is>
      </c>
      <c r="G414" t="inlineStr">
        <is>
          <t>Rooftop solar excluded</t>
        </is>
      </c>
      <c r="H414" t="inlineStr">
        <is>
          <t>https://www.seci.co.in/tender-details/YmRy</t>
        </is>
      </c>
    </row>
    <row r="415">
      <c r="B415" t="inlineStr">
        <is>
          <t>NTPC REL</t>
        </is>
      </c>
      <c r="D415" t="inlineStr">
        <is>
          <t>Other</t>
        </is>
      </c>
      <c r="F415" t="inlineStr">
        <is>
          <t>Extended</t>
        </is>
      </c>
      <c r="G415" t="inlineStr">
        <is>
          <t>Capacity not confirmed</t>
        </is>
      </c>
      <c r="H415" t="inlineStr">
        <is>
          <t>https://ntpctender.ntpc.co.in/NITDetails/NITs/30221</t>
        </is>
      </c>
    </row>
    <row r="416">
      <c r="A416" t="inlineStr">
        <is>
          <t>SECI000274</t>
        </is>
      </c>
      <c r="B416" t="inlineStr">
        <is>
          <t>SECI</t>
        </is>
      </c>
      <c r="C416" t="inlineStr">
        <is>
          <t>SECI/C&amp;P/IPP/15/0008/26-27</t>
        </is>
      </c>
      <c r="D416" t="inlineStr">
        <is>
          <t>Other</t>
        </is>
      </c>
      <c r="E416" t="n">
        <v>50</v>
      </c>
      <c r="F416" t="inlineStr">
        <is>
          <t>Open</t>
        </is>
      </c>
      <c r="G416" t="inlineStr">
        <is>
          <t>Capacity below configured minimum</t>
        </is>
      </c>
      <c r="H416" t="inlineStr">
        <is>
          <t>https://www.seci.co.in/tender-details/YmVz</t>
        </is>
      </c>
    </row>
    <row r="417">
      <c r="A417" t="inlineStr">
        <is>
          <t>SECI000276</t>
        </is>
      </c>
      <c r="B417" t="inlineStr">
        <is>
          <t>SECI</t>
        </is>
      </c>
      <c r="C417" t="inlineStr">
        <is>
          <t>SECI/C&amp;P/OP/15/0006/25-26</t>
        </is>
      </c>
      <c r="D417" t="inlineStr">
        <is>
          <t>Solar</t>
        </is>
      </c>
      <c r="F417" t="inlineStr">
        <is>
          <t>Open</t>
        </is>
      </c>
      <c r="G417" t="inlineStr">
        <is>
          <t>Rooftop solar excluded</t>
        </is>
      </c>
      <c r="H417" t="inlineStr">
        <is>
          <t>https://www.seci.co.in/tender-details/YmVx</t>
        </is>
      </c>
    </row>
    <row r="418">
      <c r="A418" t="inlineStr">
        <is>
          <t>SECI000262</t>
        </is>
      </c>
      <c r="B418" t="inlineStr">
        <is>
          <t>SECI</t>
        </is>
      </c>
      <c r="C418" t="inlineStr">
        <is>
          <t>SECI/C&amp;P/OP/11/0002/26-27</t>
        </is>
      </c>
      <c r="D418" t="inlineStr">
        <is>
          <t>Solar + BESS</t>
        </is>
      </c>
      <c r="E418" t="n">
        <v>25</v>
      </c>
      <c r="F418" t="inlineStr">
        <is>
          <t>Open</t>
        </is>
      </c>
      <c r="G418" t="inlineStr">
        <is>
          <t>Capacity below configured minimum</t>
        </is>
      </c>
      <c r="H418" t="inlineStr">
        <is>
          <t>https://www.seci.co.in/tender-details/YmR1</t>
        </is>
      </c>
    </row>
    <row r="419">
      <c r="A419" t="inlineStr">
        <is>
          <t>SECI000263</t>
        </is>
      </c>
      <c r="B419" t="inlineStr">
        <is>
          <t>SECI</t>
        </is>
      </c>
      <c r="C419" t="inlineStr">
        <is>
          <t>SECI/C&amp;P/OP/11/0003/26-27</t>
        </is>
      </c>
      <c r="D419" t="inlineStr">
        <is>
          <t>Wind</t>
        </is>
      </c>
      <c r="E419" t="n">
        <v>45.6</v>
      </c>
      <c r="F419" t="inlineStr">
        <is>
          <t>Open</t>
        </is>
      </c>
      <c r="G419" t="inlineStr">
        <is>
          <t>Capacity below configured minimum</t>
        </is>
      </c>
      <c r="H419" t="inlineStr">
        <is>
          <t>https://www.seci.co.in/tender-details/YmR0</t>
        </is>
      </c>
    </row>
    <row r="420">
      <c r="A420" t="inlineStr">
        <is>
          <t>SECI000264</t>
        </is>
      </c>
      <c r="B420" t="inlineStr">
        <is>
          <t>SECI</t>
        </is>
      </c>
      <c r="C420" t="inlineStr">
        <is>
          <t>SECI/C&amp;P/EOI/17/0002/26-27</t>
        </is>
      </c>
      <c r="D420" t="inlineStr">
        <is>
          <t>Other</t>
        </is>
      </c>
      <c r="F420" t="inlineStr">
        <is>
          <t>Open</t>
        </is>
      </c>
      <c r="G420" t="inlineStr">
        <is>
          <t>Capacity not confirmed</t>
        </is>
      </c>
      <c r="H420" t="inlineStr">
        <is>
          <t>https://www.seci.co.in/tender-details/YmRz</t>
        </is>
      </c>
    </row>
    <row r="421">
      <c r="A421" t="inlineStr">
        <is>
          <t>SECI000270</t>
        </is>
      </c>
      <c r="B421" t="inlineStr">
        <is>
          <t>SECI</t>
        </is>
      </c>
      <c r="C421" t="inlineStr">
        <is>
          <t>SECI/C&amp;P/OP/15/0005/26-27</t>
        </is>
      </c>
      <c r="D421" t="inlineStr">
        <is>
          <t>Solar</t>
        </is>
      </c>
      <c r="F421" t="inlineStr">
        <is>
          <t>Open</t>
        </is>
      </c>
      <c r="G421" t="inlineStr">
        <is>
          <t>Rooftop solar excluded</t>
        </is>
      </c>
      <c r="H421" t="inlineStr">
        <is>
          <t>https://www.seci.co.in/tender-details/YmV3</t>
        </is>
      </c>
    </row>
    <row r="422">
      <c r="A422" t="inlineStr">
        <is>
          <t>SECI000252</t>
        </is>
      </c>
      <c r="B422" t="inlineStr">
        <is>
          <t>SECI</t>
        </is>
      </c>
      <c r="C422" t="inlineStr">
        <is>
          <t>SECI/C&amp;P/OP/11/0001/26-27</t>
        </is>
      </c>
      <c r="D422" t="inlineStr">
        <is>
          <t>Solar</t>
        </is>
      </c>
      <c r="E422" t="n">
        <v>88</v>
      </c>
      <c r="F422" t="inlineStr">
        <is>
          <t>Open</t>
        </is>
      </c>
      <c r="G422" t="inlineStr">
        <is>
          <t>EPC / turnkey / BoS excluded</t>
        </is>
      </c>
      <c r="H422" t="inlineStr">
        <is>
          <t>https://www.seci.co.in/tender-details/Ymd1</t>
        </is>
      </c>
    </row>
    <row r="423">
      <c r="A423" t="inlineStr">
        <is>
          <t>SECI000267</t>
        </is>
      </c>
      <c r="B423" t="inlineStr">
        <is>
          <t>SECI</t>
        </is>
      </c>
      <c r="C423" t="inlineStr">
        <is>
          <t>SECI/C&amp;P/MI/00/0001/26-27</t>
        </is>
      </c>
      <c r="D423" t="inlineStr">
        <is>
          <t>Other</t>
        </is>
      </c>
      <c r="F423" t="inlineStr">
        <is>
          <t>Open</t>
        </is>
      </c>
      <c r="G423" t="inlineStr">
        <is>
          <t>Capacity not confirmed</t>
        </is>
      </c>
      <c r="H423" t="inlineStr">
        <is>
          <t>https://www.seci.co.in/tender-details/YmRw</t>
        </is>
      </c>
    </row>
    <row r="424">
      <c r="A424" t="inlineStr">
        <is>
          <t>SECI000269</t>
        </is>
      </c>
      <c r="B424" t="inlineStr">
        <is>
          <t>SECI</t>
        </is>
      </c>
      <c r="C424" t="inlineStr">
        <is>
          <t>SECI000269</t>
        </is>
      </c>
      <c r="D424" t="inlineStr">
        <is>
          <t>BESS</t>
        </is>
      </c>
      <c r="E424" t="n">
        <v>40</v>
      </c>
      <c r="F424" t="inlineStr">
        <is>
          <t>Open</t>
        </is>
      </c>
      <c r="G424" t="inlineStr">
        <is>
          <t>Capacity below configured minimum</t>
        </is>
      </c>
      <c r="H424" t="inlineStr">
        <is>
          <t>https://www.seci.co.in/tender-details/YmR-</t>
        </is>
      </c>
    </row>
    <row r="425">
      <c r="A425" t="inlineStr">
        <is>
          <t>SECI000265</t>
        </is>
      </c>
      <c r="B425" t="inlineStr">
        <is>
          <t>SECI</t>
        </is>
      </c>
      <c r="C425" t="inlineStr">
        <is>
          <t>SECI/C&amp;P/IPP/11/0007/26-27</t>
        </is>
      </c>
      <c r="D425" t="inlineStr">
        <is>
          <t>Solar</t>
        </is>
      </c>
      <c r="F425" t="inlineStr">
        <is>
          <t>Open</t>
        </is>
      </c>
      <c r="G425" t="inlineStr">
        <is>
          <t>Rooftop solar excluded</t>
        </is>
      </c>
      <c r="H425" t="inlineStr">
        <is>
          <t>https://www.seci.co.in/tender-details/YmRy</t>
        </is>
      </c>
    </row>
    <row r="426">
      <c r="B426" t="inlineStr">
        <is>
          <t>NTPC REL</t>
        </is>
      </c>
      <c r="D426" t="inlineStr">
        <is>
          <t>Other</t>
        </is>
      </c>
      <c r="F426" t="inlineStr">
        <is>
          <t>Extended</t>
        </is>
      </c>
      <c r="G426" t="inlineStr">
        <is>
          <t>Capacity not confirmed</t>
        </is>
      </c>
      <c r="H426" t="inlineStr">
        <is>
          <t>https://ntpctender.ntpc.co.in/NITDetails/NITs/30221</t>
        </is>
      </c>
    </row>
    <row r="427">
      <c r="A427" t="inlineStr">
        <is>
          <t>SECI000274</t>
        </is>
      </c>
      <c r="B427" t="inlineStr">
        <is>
          <t>SECI</t>
        </is>
      </c>
      <c r="C427" t="inlineStr">
        <is>
          <t>SECI/C&amp;P/IPP/15/0008/26-27</t>
        </is>
      </c>
      <c r="D427" t="inlineStr">
        <is>
          <t>Other</t>
        </is>
      </c>
      <c r="E427" t="n">
        <v>50</v>
      </c>
      <c r="F427" t="inlineStr">
        <is>
          <t>Open</t>
        </is>
      </c>
      <c r="G427" t="inlineStr">
        <is>
          <t>Capacity below configured minimum</t>
        </is>
      </c>
      <c r="H427" t="inlineStr">
        <is>
          <t>https://www.seci.co.in/tender-details/YmVz</t>
        </is>
      </c>
    </row>
    <row r="428">
      <c r="A428" t="inlineStr">
        <is>
          <t>SECI000276</t>
        </is>
      </c>
      <c r="B428" t="inlineStr">
        <is>
          <t>SECI</t>
        </is>
      </c>
      <c r="C428" t="inlineStr">
        <is>
          <t>SECI/C&amp;P/OP/15/0006/25-26</t>
        </is>
      </c>
      <c r="D428" t="inlineStr">
        <is>
          <t>Solar</t>
        </is>
      </c>
      <c r="F428" t="inlineStr">
        <is>
          <t>Open</t>
        </is>
      </c>
      <c r="G428" t="inlineStr">
        <is>
          <t>Rooftop solar excluded</t>
        </is>
      </c>
      <c r="H428" t="inlineStr">
        <is>
          <t>https://www.seci.co.in/tender-details/YmVx</t>
        </is>
      </c>
    </row>
    <row r="429">
      <c r="A429" t="inlineStr">
        <is>
          <t>SECI000262</t>
        </is>
      </c>
      <c r="B429" t="inlineStr">
        <is>
          <t>SECI</t>
        </is>
      </c>
      <c r="C429" t="inlineStr">
        <is>
          <t>SECI/C&amp;P/OP/11/0002/26-27</t>
        </is>
      </c>
      <c r="D429" t="inlineStr">
        <is>
          <t>Solar + BESS</t>
        </is>
      </c>
      <c r="E429" t="n">
        <v>25</v>
      </c>
      <c r="F429" t="inlineStr">
        <is>
          <t>Open</t>
        </is>
      </c>
      <c r="G429" t="inlineStr">
        <is>
          <t>Capacity below configured minimum</t>
        </is>
      </c>
      <c r="H429" t="inlineStr">
        <is>
          <t>https://www.seci.co.in/tender-details/YmR1</t>
        </is>
      </c>
    </row>
    <row r="430">
      <c r="A430" t="inlineStr">
        <is>
          <t>SECI000263</t>
        </is>
      </c>
      <c r="B430" t="inlineStr">
        <is>
          <t>SECI</t>
        </is>
      </c>
      <c r="C430" t="inlineStr">
        <is>
          <t>SECI/C&amp;P/OP/11/0003/26-27</t>
        </is>
      </c>
      <c r="D430" t="inlineStr">
        <is>
          <t>Wind</t>
        </is>
      </c>
      <c r="E430" t="n">
        <v>45.6</v>
      </c>
      <c r="F430" t="inlineStr">
        <is>
          <t>Open</t>
        </is>
      </c>
      <c r="G430" t="inlineStr">
        <is>
          <t>Capacity below configured minimum</t>
        </is>
      </c>
      <c r="H430" t="inlineStr">
        <is>
          <t>https://www.seci.co.in/tender-details/YmR0</t>
        </is>
      </c>
    </row>
    <row r="431">
      <c r="A431" t="inlineStr">
        <is>
          <t>SECI000264</t>
        </is>
      </c>
      <c r="B431" t="inlineStr">
        <is>
          <t>SECI</t>
        </is>
      </c>
      <c r="C431" t="inlineStr">
        <is>
          <t>SECI/C&amp;P/EOI/17/0002/26-27</t>
        </is>
      </c>
      <c r="D431" t="inlineStr">
        <is>
          <t>Other</t>
        </is>
      </c>
      <c r="F431" t="inlineStr">
        <is>
          <t>Open</t>
        </is>
      </c>
      <c r="G431" t="inlineStr">
        <is>
          <t>Capacity not confirmed</t>
        </is>
      </c>
      <c r="H431" t="inlineStr">
        <is>
          <t>https://www.seci.co.in/tender-details/YmRz</t>
        </is>
      </c>
    </row>
    <row r="432">
      <c r="A432" t="inlineStr">
        <is>
          <t>SECI000270</t>
        </is>
      </c>
      <c r="B432" t="inlineStr">
        <is>
          <t>SECI</t>
        </is>
      </c>
      <c r="C432" t="inlineStr">
        <is>
          <t>SECI/C&amp;P/OP/15/0005/26-27</t>
        </is>
      </c>
      <c r="D432" t="inlineStr">
        <is>
          <t>Solar</t>
        </is>
      </c>
      <c r="F432" t="inlineStr">
        <is>
          <t>Open</t>
        </is>
      </c>
      <c r="G432" t="inlineStr">
        <is>
          <t>Rooftop solar excluded</t>
        </is>
      </c>
      <c r="H432" t="inlineStr">
        <is>
          <t>https://www.seci.co.in/tender-details/YmV3</t>
        </is>
      </c>
    </row>
    <row r="433">
      <c r="A433" t="inlineStr">
        <is>
          <t>SECI000252</t>
        </is>
      </c>
      <c r="B433" t="inlineStr">
        <is>
          <t>SECI</t>
        </is>
      </c>
      <c r="C433" t="inlineStr">
        <is>
          <t>SECI/C&amp;P/OP/11/0001/26-27</t>
        </is>
      </c>
      <c r="D433" t="inlineStr">
        <is>
          <t>Solar</t>
        </is>
      </c>
      <c r="E433" t="n">
        <v>88</v>
      </c>
      <c r="F433" t="inlineStr">
        <is>
          <t>Open</t>
        </is>
      </c>
      <c r="G433" t="inlineStr">
        <is>
          <t>EPC / turnkey / BoS excluded</t>
        </is>
      </c>
      <c r="H433" t="inlineStr">
        <is>
          <t>https://www.seci.co.in/tender-details/Ymd1</t>
        </is>
      </c>
    </row>
    <row r="434">
      <c r="A434" t="inlineStr">
        <is>
          <t>SECI000267</t>
        </is>
      </c>
      <c r="B434" t="inlineStr">
        <is>
          <t>SECI</t>
        </is>
      </c>
      <c r="C434" t="inlineStr">
        <is>
          <t>SECI/C&amp;P/MI/00/0001/26-27</t>
        </is>
      </c>
      <c r="D434" t="inlineStr">
        <is>
          <t>Other</t>
        </is>
      </c>
      <c r="F434" t="inlineStr">
        <is>
          <t>Open</t>
        </is>
      </c>
      <c r="G434" t="inlineStr">
        <is>
          <t>Capacity not confirmed</t>
        </is>
      </c>
      <c r="H434" t="inlineStr">
        <is>
          <t>https://www.seci.co.in/tender-details/YmRw</t>
        </is>
      </c>
    </row>
    <row r="435">
      <c r="A435" t="inlineStr">
        <is>
          <t>SECI000269</t>
        </is>
      </c>
      <c r="B435" t="inlineStr">
        <is>
          <t>SECI</t>
        </is>
      </c>
      <c r="C435" t="inlineStr">
        <is>
          <t>SECI000269</t>
        </is>
      </c>
      <c r="D435" t="inlineStr">
        <is>
          <t>BESS</t>
        </is>
      </c>
      <c r="E435" t="n">
        <v>40</v>
      </c>
      <c r="F435" t="inlineStr">
        <is>
          <t>Open</t>
        </is>
      </c>
      <c r="G435" t="inlineStr">
        <is>
          <t>Capacity below configured minimum</t>
        </is>
      </c>
      <c r="H435" t="inlineStr">
        <is>
          <t>https://www.seci.co.in/tender-details/YmR-</t>
        </is>
      </c>
    </row>
    <row r="436">
      <c r="A436" t="inlineStr">
        <is>
          <t>SECI000265</t>
        </is>
      </c>
      <c r="B436" t="inlineStr">
        <is>
          <t>SECI</t>
        </is>
      </c>
      <c r="C436" t="inlineStr">
        <is>
          <t>SECI/C&amp;P/IPP/11/0007/26-27</t>
        </is>
      </c>
      <c r="D436" t="inlineStr">
        <is>
          <t>Solar</t>
        </is>
      </c>
      <c r="F436" t="inlineStr">
        <is>
          <t>Open</t>
        </is>
      </c>
      <c r="G436" t="inlineStr">
        <is>
          <t>Rooftop solar excluded</t>
        </is>
      </c>
      <c r="H436" t="inlineStr">
        <is>
          <t>https://www.seci.co.in/tender-details/YmRy</t>
        </is>
      </c>
    </row>
    <row r="437">
      <c r="B437" t="inlineStr">
        <is>
          <t>NTPC REL</t>
        </is>
      </c>
      <c r="D437" t="inlineStr">
        <is>
          <t>Other</t>
        </is>
      </c>
      <c r="F437" t="inlineStr">
        <is>
          <t>Extended</t>
        </is>
      </c>
      <c r="G437" t="inlineStr">
        <is>
          <t>Capacity not confirmed</t>
        </is>
      </c>
      <c r="H437" t="inlineStr">
        <is>
          <t>https://ntpctender.ntpc.co.in/NITDetails/NITs/30221</t>
        </is>
      </c>
    </row>
    <row r="438">
      <c r="B438" t="inlineStr">
        <is>
          <t>NTPC REL</t>
        </is>
      </c>
      <c r="D438" t="inlineStr">
        <is>
          <t>Wind</t>
        </is>
      </c>
      <c r="E438" t="n">
        <v>600</v>
      </c>
      <c r="F438" t="inlineStr">
        <is>
          <t>Corrigendum</t>
        </is>
      </c>
      <c r="G438" t="inlineStr">
        <is>
          <t>Supply / installation excluded</t>
        </is>
      </c>
      <c r="H438" t="inlineStr">
        <is>
          <t>https://ntpctender.ntpc.co.in/NITDetails/NITs/30166</t>
        </is>
      </c>
    </row>
    <row r="439">
      <c r="A439" t="inlineStr">
        <is>
          <t>SECI000274</t>
        </is>
      </c>
      <c r="B439" t="inlineStr">
        <is>
          <t>SECI</t>
        </is>
      </c>
      <c r="C439" t="inlineStr">
        <is>
          <t>SECI/C&amp;P/IPP/15/0008/26-27</t>
        </is>
      </c>
      <c r="D439" t="inlineStr">
        <is>
          <t>Other</t>
        </is>
      </c>
      <c r="E439" t="n">
        <v>50</v>
      </c>
      <c r="F439" t="inlineStr">
        <is>
          <t>Open</t>
        </is>
      </c>
      <c r="G439" t="inlineStr">
        <is>
          <t>Capacity below configured minimum</t>
        </is>
      </c>
      <c r="H439" t="inlineStr">
        <is>
          <t>https://www.seci.co.in/tender-details/YmVz</t>
        </is>
      </c>
    </row>
    <row r="440">
      <c r="A440" t="inlineStr">
        <is>
          <t>SECI000276</t>
        </is>
      </c>
      <c r="B440" t="inlineStr">
        <is>
          <t>SECI</t>
        </is>
      </c>
      <c r="C440" t="inlineStr">
        <is>
          <t>SECI/C&amp;P/OP/15/0006/25-26</t>
        </is>
      </c>
      <c r="D440" t="inlineStr">
        <is>
          <t>Solar</t>
        </is>
      </c>
      <c r="F440" t="inlineStr">
        <is>
          <t>Open</t>
        </is>
      </c>
      <c r="G440" t="inlineStr">
        <is>
          <t>Rooftop solar excluded</t>
        </is>
      </c>
      <c r="H440" t="inlineStr">
        <is>
          <t>https://www.seci.co.in/tender-details/YmVx</t>
        </is>
      </c>
    </row>
    <row r="441">
      <c r="A441" t="inlineStr">
        <is>
          <t>SECI000262</t>
        </is>
      </c>
      <c r="B441" t="inlineStr">
        <is>
          <t>SECI</t>
        </is>
      </c>
      <c r="C441" t="inlineStr">
        <is>
          <t>SECI/C&amp;P/OP/11/0002/26-27</t>
        </is>
      </c>
      <c r="D441" t="inlineStr">
        <is>
          <t>Solar + BESS</t>
        </is>
      </c>
      <c r="E441" t="n">
        <v>25</v>
      </c>
      <c r="F441" t="inlineStr">
        <is>
          <t>Open</t>
        </is>
      </c>
      <c r="G441" t="inlineStr">
        <is>
          <t>Capacity below configured minimum</t>
        </is>
      </c>
      <c r="H441" t="inlineStr">
        <is>
          <t>https://www.seci.co.in/tender-details/YmR1</t>
        </is>
      </c>
    </row>
    <row r="442">
      <c r="A442" t="inlineStr">
        <is>
          <t>SECI000263</t>
        </is>
      </c>
      <c r="B442" t="inlineStr">
        <is>
          <t>SECI</t>
        </is>
      </c>
      <c r="C442" t="inlineStr">
        <is>
          <t>SECI/C&amp;P/OP/11/0003/26-27</t>
        </is>
      </c>
      <c r="D442" t="inlineStr">
        <is>
          <t>Wind</t>
        </is>
      </c>
      <c r="E442" t="n">
        <v>45.6</v>
      </c>
      <c r="F442" t="inlineStr">
        <is>
          <t>Open</t>
        </is>
      </c>
      <c r="G442" t="inlineStr">
        <is>
          <t>Capacity below configured minimum</t>
        </is>
      </c>
      <c r="H442" t="inlineStr">
        <is>
          <t>https://www.seci.co.in/tender-details/YmR0</t>
        </is>
      </c>
    </row>
    <row r="443">
      <c r="A443" t="inlineStr">
        <is>
          <t>SECI000264</t>
        </is>
      </c>
      <c r="B443" t="inlineStr">
        <is>
          <t>SECI</t>
        </is>
      </c>
      <c r="C443" t="inlineStr">
        <is>
          <t>SECI/C&amp;P/EOI/17/0002/26-27</t>
        </is>
      </c>
      <c r="D443" t="inlineStr">
        <is>
          <t>Other</t>
        </is>
      </c>
      <c r="F443" t="inlineStr">
        <is>
          <t>Open</t>
        </is>
      </c>
      <c r="G443" t="inlineStr">
        <is>
          <t>Capacity not confirmed</t>
        </is>
      </c>
      <c r="H443" t="inlineStr">
        <is>
          <t>https://www.seci.co.in/tender-details/YmRz</t>
        </is>
      </c>
    </row>
    <row r="444">
      <c r="A444" t="inlineStr">
        <is>
          <t>SECI000267</t>
        </is>
      </c>
      <c r="B444" t="inlineStr">
        <is>
          <t>SECI</t>
        </is>
      </c>
      <c r="C444" t="inlineStr">
        <is>
          <t>SECI/C&amp;P/MI/00/0001/26-27</t>
        </is>
      </c>
      <c r="D444" t="inlineStr">
        <is>
          <t>Other</t>
        </is>
      </c>
      <c r="F444" t="inlineStr">
        <is>
          <t>Open</t>
        </is>
      </c>
      <c r="G444" t="inlineStr">
        <is>
          <t>Capacity not confirmed</t>
        </is>
      </c>
      <c r="H444" t="inlineStr">
        <is>
          <t>https://www.seci.co.in/tender-details/YmRw</t>
        </is>
      </c>
    </row>
    <row r="445">
      <c r="A445" t="inlineStr">
        <is>
          <t>SECI000270</t>
        </is>
      </c>
      <c r="B445" t="inlineStr">
        <is>
          <t>SECI</t>
        </is>
      </c>
      <c r="C445" t="inlineStr">
        <is>
          <t>SECI/C&amp;P/OP/15/0005/26-27</t>
        </is>
      </c>
      <c r="D445" t="inlineStr">
        <is>
          <t>Solar</t>
        </is>
      </c>
      <c r="F445" t="inlineStr">
        <is>
          <t>Open</t>
        </is>
      </c>
      <c r="G445" t="inlineStr">
        <is>
          <t>Rooftop solar excluded</t>
        </is>
      </c>
      <c r="H445" t="inlineStr">
        <is>
          <t>https://www.seci.co.in/tender-details/YmV3</t>
        </is>
      </c>
    </row>
    <row r="446">
      <c r="A446" t="inlineStr">
        <is>
          <t>SECI000252</t>
        </is>
      </c>
      <c r="B446" t="inlineStr">
        <is>
          <t>SECI</t>
        </is>
      </c>
      <c r="C446" t="inlineStr">
        <is>
          <t>SECI/C&amp;P/OP/11/0001/26-27</t>
        </is>
      </c>
      <c r="D446" t="inlineStr">
        <is>
          <t>Solar</t>
        </is>
      </c>
      <c r="E446" t="n">
        <v>88</v>
      </c>
      <c r="F446" t="inlineStr">
        <is>
          <t>Open</t>
        </is>
      </c>
      <c r="G446" t="inlineStr">
        <is>
          <t>EPC / turnkey / BoS excluded</t>
        </is>
      </c>
      <c r="H446" t="inlineStr">
        <is>
          <t>https://www.seci.co.in/tender-details/Ymd1</t>
        </is>
      </c>
    </row>
    <row r="447">
      <c r="A447" t="inlineStr">
        <is>
          <t>SECI000269</t>
        </is>
      </c>
      <c r="B447" t="inlineStr">
        <is>
          <t>SECI</t>
        </is>
      </c>
      <c r="C447" t="inlineStr">
        <is>
          <t>SECI000269</t>
        </is>
      </c>
      <c r="D447" t="inlineStr">
        <is>
          <t>BESS</t>
        </is>
      </c>
      <c r="E447" t="n">
        <v>40</v>
      </c>
      <c r="F447" t="inlineStr">
        <is>
          <t>Open</t>
        </is>
      </c>
      <c r="G447" t="inlineStr">
        <is>
          <t>Capacity below configured minimum</t>
        </is>
      </c>
      <c r="H447" t="inlineStr">
        <is>
          <t>https://www.seci.co.in/tender-details/YmR-</t>
        </is>
      </c>
    </row>
    <row r="448">
      <c r="A448" t="inlineStr">
        <is>
          <t>SECI000265</t>
        </is>
      </c>
      <c r="B448" t="inlineStr">
        <is>
          <t>SECI</t>
        </is>
      </c>
      <c r="C448" t="inlineStr">
        <is>
          <t>SECI/C&amp;P/IPP/11/0007/26-27</t>
        </is>
      </c>
      <c r="D448" t="inlineStr">
        <is>
          <t>Solar</t>
        </is>
      </c>
      <c r="F448" t="inlineStr">
        <is>
          <t>Open</t>
        </is>
      </c>
      <c r="G448" t="inlineStr">
        <is>
          <t>Rooftop solar excluded</t>
        </is>
      </c>
      <c r="H448" t="inlineStr">
        <is>
          <t>https://www.seci.co.in/tender-details/YmRy</t>
        </is>
      </c>
    </row>
    <row r="449">
      <c r="B449" t="inlineStr">
        <is>
          <t>NTPC REL</t>
        </is>
      </c>
      <c r="D449" t="inlineStr">
        <is>
          <t>Other</t>
        </is>
      </c>
      <c r="F449" t="inlineStr">
        <is>
          <t>Extended</t>
        </is>
      </c>
      <c r="G449" t="inlineStr">
        <is>
          <t>Capacity not confirmed</t>
        </is>
      </c>
      <c r="H449" t="inlineStr">
        <is>
          <t>https://ntpctender.ntpc.co.in/NITDetails/NITs/30221</t>
        </is>
      </c>
    </row>
    <row r="450">
      <c r="B450" t="inlineStr">
        <is>
          <t>NTPC REL</t>
        </is>
      </c>
      <c r="D450" t="inlineStr">
        <is>
          <t>Wind</t>
        </is>
      </c>
      <c r="E450" t="n">
        <v>600</v>
      </c>
      <c r="F450" t="inlineStr">
        <is>
          <t>Corrigendum</t>
        </is>
      </c>
      <c r="G450" t="inlineStr">
        <is>
          <t>Supply / installation excluded</t>
        </is>
      </c>
      <c r="H450" t="inlineStr">
        <is>
          <t>https://ntpctender.ntpc.co.in/NITDetails/NITs/30166</t>
        </is>
      </c>
    </row>
    <row r="451">
      <c r="B451" t="inlineStr">
        <is>
          <t>NTPC REL</t>
        </is>
      </c>
      <c r="D451" t="inlineStr">
        <is>
          <t>Wind</t>
        </is>
      </c>
      <c r="E451" t="n">
        <v>813</v>
      </c>
      <c r="F451" t="inlineStr">
        <is>
          <t>Corrigendum</t>
        </is>
      </c>
      <c r="G451" t="inlineStr">
        <is>
          <t>Supply / installation excluded</t>
        </is>
      </c>
      <c r="H451" t="inlineStr">
        <is>
          <t>https://ntpctender.ntpc.co.in/NITDetails/NITs/29708</t>
        </is>
      </c>
    </row>
    <row r="452">
      <c r="A452" t="inlineStr">
        <is>
          <t>SECI000279</t>
        </is>
      </c>
      <c r="B452" t="inlineStr">
        <is>
          <t>SECI</t>
        </is>
      </c>
      <c r="C452" t="inlineStr">
        <is>
          <t>SECI/C&amp;P/MI/00/05/2026-27</t>
        </is>
      </c>
      <c r="D452" t="inlineStr">
        <is>
          <t>Solar</t>
        </is>
      </c>
      <c r="F452" t="inlineStr">
        <is>
          <t>Open</t>
        </is>
      </c>
      <c r="G452" t="inlineStr">
        <is>
          <t>Capacity not confirmed</t>
        </is>
      </c>
      <c r="H452" t="inlineStr">
        <is>
          <t>https://www.seci.co.in/tender-details/YmV-</t>
        </is>
      </c>
    </row>
    <row r="453">
      <c r="A453" t="inlineStr">
        <is>
          <t>SECI000274</t>
        </is>
      </c>
      <c r="B453" t="inlineStr">
        <is>
          <t>SECI</t>
        </is>
      </c>
      <c r="C453" t="inlineStr">
        <is>
          <t>SECI/C&amp;P/IPP/15/0008/26-27</t>
        </is>
      </c>
      <c r="D453" t="inlineStr">
        <is>
          <t>Other</t>
        </is>
      </c>
      <c r="E453" t="n">
        <v>50</v>
      </c>
      <c r="F453" t="inlineStr">
        <is>
          <t>Open</t>
        </is>
      </c>
      <c r="G453" t="inlineStr">
        <is>
          <t>Capacity below configured minimum</t>
        </is>
      </c>
      <c r="H453" t="inlineStr">
        <is>
          <t>https://www.seci.co.in/tender-details/YmVz</t>
        </is>
      </c>
    </row>
    <row r="454">
      <c r="A454" t="inlineStr">
        <is>
          <t>SECI000276</t>
        </is>
      </c>
      <c r="B454" t="inlineStr">
        <is>
          <t>SECI</t>
        </is>
      </c>
      <c r="C454" t="inlineStr">
        <is>
          <t>SECI/C&amp;P/OP/15/0006/25-26</t>
        </is>
      </c>
      <c r="D454" t="inlineStr">
        <is>
          <t>Solar</t>
        </is>
      </c>
      <c r="F454" t="inlineStr">
        <is>
          <t>Open</t>
        </is>
      </c>
      <c r="G454" t="inlineStr">
        <is>
          <t>Rooftop solar excluded</t>
        </is>
      </c>
      <c r="H454" t="inlineStr">
        <is>
          <t>https://www.seci.co.in/tender-details/YmVx</t>
        </is>
      </c>
    </row>
    <row r="455">
      <c r="A455" t="inlineStr">
        <is>
          <t>SECI000262</t>
        </is>
      </c>
      <c r="B455" t="inlineStr">
        <is>
          <t>SECI</t>
        </is>
      </c>
      <c r="C455" t="inlineStr">
        <is>
          <t>SECI/C&amp;P/OP/11/0002/26-27</t>
        </is>
      </c>
      <c r="D455" t="inlineStr">
        <is>
          <t>Solar + BESS</t>
        </is>
      </c>
      <c r="E455" t="n">
        <v>25</v>
      </c>
      <c r="F455" t="inlineStr">
        <is>
          <t>Open</t>
        </is>
      </c>
      <c r="G455" t="inlineStr">
        <is>
          <t>Capacity below configured minimum</t>
        </is>
      </c>
      <c r="H455" t="inlineStr">
        <is>
          <t>https://www.seci.co.in/tender-details/YmR1</t>
        </is>
      </c>
    </row>
    <row r="456">
      <c r="A456" t="inlineStr">
        <is>
          <t>SECI000263</t>
        </is>
      </c>
      <c r="B456" t="inlineStr">
        <is>
          <t>SECI</t>
        </is>
      </c>
      <c r="C456" t="inlineStr">
        <is>
          <t>SECI/C&amp;P/OP/11/0003/26-27</t>
        </is>
      </c>
      <c r="D456" t="inlineStr">
        <is>
          <t>Wind</t>
        </is>
      </c>
      <c r="E456" t="n">
        <v>45.6</v>
      </c>
      <c r="F456" t="inlineStr">
        <is>
          <t>Open</t>
        </is>
      </c>
      <c r="G456" t="inlineStr">
        <is>
          <t>Capacity below configured minimum</t>
        </is>
      </c>
      <c r="H456" t="inlineStr">
        <is>
          <t>https://www.seci.co.in/tender-details/YmR0</t>
        </is>
      </c>
    </row>
    <row r="457">
      <c r="A457" t="inlineStr">
        <is>
          <t>SECI000252</t>
        </is>
      </c>
      <c r="B457" t="inlineStr">
        <is>
          <t>SECI</t>
        </is>
      </c>
      <c r="C457" t="inlineStr">
        <is>
          <t>SECI/C&amp;P/OP/11/0001/26-27</t>
        </is>
      </c>
      <c r="D457" t="inlineStr">
        <is>
          <t>Solar</t>
        </is>
      </c>
      <c r="E457" t="n">
        <v>88</v>
      </c>
      <c r="F457" t="inlineStr">
        <is>
          <t>Open</t>
        </is>
      </c>
      <c r="G457" t="inlineStr">
        <is>
          <t>EPC / turnkey / BoS excluded</t>
        </is>
      </c>
      <c r="H457" t="inlineStr">
        <is>
          <t>https://www.seci.co.in/tender-details/Ymd1</t>
        </is>
      </c>
    </row>
    <row r="458">
      <c r="A458" t="inlineStr">
        <is>
          <t>SECI000264</t>
        </is>
      </c>
      <c r="B458" t="inlineStr">
        <is>
          <t>SECI</t>
        </is>
      </c>
      <c r="C458" t="inlineStr">
        <is>
          <t>SECI/C&amp;P/EOI/17/0002/26-27</t>
        </is>
      </c>
      <c r="D458" t="inlineStr">
        <is>
          <t>Other</t>
        </is>
      </c>
      <c r="F458" t="inlineStr">
        <is>
          <t>Open</t>
        </is>
      </c>
      <c r="G458" t="inlineStr">
        <is>
          <t>Capacity not confirmed</t>
        </is>
      </c>
      <c r="H458" t="inlineStr">
        <is>
          <t>https://www.seci.co.in/tender-details/YmRz</t>
        </is>
      </c>
    </row>
    <row r="459">
      <c r="A459" t="inlineStr">
        <is>
          <t>SECI000267</t>
        </is>
      </c>
      <c r="B459" t="inlineStr">
        <is>
          <t>SECI</t>
        </is>
      </c>
      <c r="C459" t="inlineStr">
        <is>
          <t>SECI/C&amp;P/MI/00/0001/26-27</t>
        </is>
      </c>
      <c r="D459" t="inlineStr">
        <is>
          <t>Other</t>
        </is>
      </c>
      <c r="F459" t="inlineStr">
        <is>
          <t>Open</t>
        </is>
      </c>
      <c r="G459" t="inlineStr">
        <is>
          <t>Capacity not confirmed</t>
        </is>
      </c>
      <c r="H459" t="inlineStr">
        <is>
          <t>https://www.seci.co.in/tender-details/YmRw</t>
        </is>
      </c>
    </row>
    <row r="460">
      <c r="A460" t="inlineStr">
        <is>
          <t>SECI000270</t>
        </is>
      </c>
      <c r="B460" t="inlineStr">
        <is>
          <t>SECI</t>
        </is>
      </c>
      <c r="C460" t="inlineStr">
        <is>
          <t>SECI/C&amp;P/OP/15/0005/26-27</t>
        </is>
      </c>
      <c r="D460" t="inlineStr">
        <is>
          <t>Solar</t>
        </is>
      </c>
      <c r="F460" t="inlineStr">
        <is>
          <t>Open</t>
        </is>
      </c>
      <c r="G460" t="inlineStr">
        <is>
          <t>Rooftop solar excluded</t>
        </is>
      </c>
      <c r="H460" t="inlineStr">
        <is>
          <t>https://www.seci.co.in/tender-details/YmV3</t>
        </is>
      </c>
    </row>
    <row r="461">
      <c r="A461" t="inlineStr">
        <is>
          <t>SECI000269</t>
        </is>
      </c>
      <c r="B461" t="inlineStr">
        <is>
          <t>SECI</t>
        </is>
      </c>
      <c r="C461" t="inlineStr">
        <is>
          <t>SECI000269</t>
        </is>
      </c>
      <c r="D461" t="inlineStr">
        <is>
          <t>BESS</t>
        </is>
      </c>
      <c r="E461" t="n">
        <v>40</v>
      </c>
      <c r="F461" t="inlineStr">
        <is>
          <t>Open</t>
        </is>
      </c>
      <c r="G461" t="inlineStr">
        <is>
          <t>Capacity below configured minimum</t>
        </is>
      </c>
      <c r="H461" t="inlineStr">
        <is>
          <t>https://www.seci.co.in/tender-details/YmR-</t>
        </is>
      </c>
    </row>
    <row r="462">
      <c r="A462" t="inlineStr">
        <is>
          <t>SECI000265</t>
        </is>
      </c>
      <c r="B462" t="inlineStr">
        <is>
          <t>SECI</t>
        </is>
      </c>
      <c r="C462" t="inlineStr">
        <is>
          <t>SECI/C&amp;P/IPP/11/0007/26-27</t>
        </is>
      </c>
      <c r="D462" t="inlineStr">
        <is>
          <t>Solar</t>
        </is>
      </c>
      <c r="F462" t="inlineStr">
        <is>
          <t>Open</t>
        </is>
      </c>
      <c r="G462" t="inlineStr">
        <is>
          <t>Rooftop solar excluded</t>
        </is>
      </c>
      <c r="H462" t="inlineStr">
        <is>
          <t>https://www.seci.co.in/tender-details/YmRy</t>
        </is>
      </c>
    </row>
    <row r="463">
      <c r="B463" t="inlineStr">
        <is>
          <t>NTPC REL</t>
        </is>
      </c>
      <c r="D463" t="inlineStr">
        <is>
          <t>Other</t>
        </is>
      </c>
      <c r="F463" t="inlineStr">
        <is>
          <t>Extended</t>
        </is>
      </c>
      <c r="G463" t="inlineStr">
        <is>
          <t>Capacity not confirmed</t>
        </is>
      </c>
      <c r="H463" t="inlineStr">
        <is>
          <t>https://ntpctender.ntpc.co.in/NITDetails/NITs/30221</t>
        </is>
      </c>
    </row>
    <row r="464">
      <c r="B464" t="inlineStr">
        <is>
          <t>NTPC REL</t>
        </is>
      </c>
      <c r="D464" t="inlineStr">
        <is>
          <t>Wind</t>
        </is>
      </c>
      <c r="E464" t="n">
        <v>600</v>
      </c>
      <c r="F464" t="inlineStr">
        <is>
          <t>Corrigendum</t>
        </is>
      </c>
      <c r="G464" t="inlineStr">
        <is>
          <t>Supply / installation excluded</t>
        </is>
      </c>
      <c r="H464" t="inlineStr">
        <is>
          <t>https://ntpctender.ntpc.co.in/NITDetails/NITs/30166</t>
        </is>
      </c>
    </row>
    <row r="465">
      <c r="B465" t="inlineStr">
        <is>
          <t>NTPC REL</t>
        </is>
      </c>
      <c r="D465" t="inlineStr">
        <is>
          <t>Wind</t>
        </is>
      </c>
      <c r="E465" t="n">
        <v>813</v>
      </c>
      <c r="F465" t="inlineStr">
        <is>
          <t>Corrigendum</t>
        </is>
      </c>
      <c r="G465" t="inlineStr">
        <is>
          <t>Supply / installation excluded</t>
        </is>
      </c>
      <c r="H465" t="inlineStr">
        <is>
          <t>https://ntpctender.ntpc.co.in/NITDetails/NITs/29985</t>
        </is>
      </c>
    </row>
    <row r="466">
      <c r="B466" t="inlineStr">
        <is>
          <t>NTPC REL</t>
        </is>
      </c>
      <c r="D466" t="inlineStr">
        <is>
          <t>Wind</t>
        </is>
      </c>
      <c r="E466" t="n">
        <v>813</v>
      </c>
      <c r="F466" t="inlineStr">
        <is>
          <t>Corrigendum</t>
        </is>
      </c>
      <c r="G466" t="inlineStr">
        <is>
          <t>Supply / installation excluded</t>
        </is>
      </c>
      <c r="H466" t="inlineStr">
        <is>
          <t>https://ntpctender.ntpc.co.in/NITDetails/NITs/29708</t>
        </is>
      </c>
    </row>
    <row r="467">
      <c r="A467" t="inlineStr">
        <is>
          <t>SECI000279</t>
        </is>
      </c>
      <c r="B467" t="inlineStr">
        <is>
          <t>SECI</t>
        </is>
      </c>
      <c r="C467" t="inlineStr">
        <is>
          <t>SECI/C&amp;P/MI/00/05/2026-27</t>
        </is>
      </c>
      <c r="D467" t="inlineStr">
        <is>
          <t>Solar</t>
        </is>
      </c>
      <c r="F467" t="inlineStr">
        <is>
          <t>Open</t>
        </is>
      </c>
      <c r="G467" t="inlineStr">
        <is>
          <t>Capacity not confirmed</t>
        </is>
      </c>
      <c r="H467" t="inlineStr">
        <is>
          <t>https://www.seci.co.in/tender-details/YmV-</t>
        </is>
      </c>
    </row>
    <row r="468">
      <c r="A468" t="inlineStr">
        <is>
          <t>SECI000274</t>
        </is>
      </c>
      <c r="B468" t="inlineStr">
        <is>
          <t>SECI</t>
        </is>
      </c>
      <c r="C468" t="inlineStr">
        <is>
          <t>SECI/C&amp;P/IPP/15/0008/26-27</t>
        </is>
      </c>
      <c r="D468" t="inlineStr">
        <is>
          <t>Other</t>
        </is>
      </c>
      <c r="E468" t="n">
        <v>50</v>
      </c>
      <c r="F468" t="inlineStr">
        <is>
          <t>Open</t>
        </is>
      </c>
      <c r="G468" t="inlineStr">
        <is>
          <t>Capacity below configured minimum</t>
        </is>
      </c>
      <c r="H468" t="inlineStr">
        <is>
          <t>https://www.seci.co.in/tender-details/YmVz</t>
        </is>
      </c>
    </row>
    <row r="469">
      <c r="A469" t="inlineStr">
        <is>
          <t>SECI000276</t>
        </is>
      </c>
      <c r="B469" t="inlineStr">
        <is>
          <t>SECI</t>
        </is>
      </c>
      <c r="C469" t="inlineStr">
        <is>
          <t>SECI/C&amp;P/OP/15/0006/25-26</t>
        </is>
      </c>
      <c r="D469" t="inlineStr">
        <is>
          <t>Solar</t>
        </is>
      </c>
      <c r="F469" t="inlineStr">
        <is>
          <t>Open</t>
        </is>
      </c>
      <c r="G469" t="inlineStr">
        <is>
          <t>Rooftop solar excluded</t>
        </is>
      </c>
      <c r="H469" t="inlineStr">
        <is>
          <t>https://www.seci.co.in/tender-details/YmVx</t>
        </is>
      </c>
    </row>
    <row r="470">
      <c r="A470" t="inlineStr">
        <is>
          <t>SECI000263</t>
        </is>
      </c>
      <c r="B470" t="inlineStr">
        <is>
          <t>SECI</t>
        </is>
      </c>
      <c r="C470" t="inlineStr">
        <is>
          <t>SECI/C&amp;P/OP/11/0003/26-27</t>
        </is>
      </c>
      <c r="D470" t="inlineStr">
        <is>
          <t>Wind</t>
        </is>
      </c>
      <c r="E470" t="n">
        <v>45.6</v>
      </c>
      <c r="F470" t="inlineStr">
        <is>
          <t>Open</t>
        </is>
      </c>
      <c r="G470" t="inlineStr">
        <is>
          <t>Capacity below configured minimum</t>
        </is>
      </c>
      <c r="H470" t="inlineStr">
        <is>
          <t>https://www.seci.co.in/tender-details/YmR0</t>
        </is>
      </c>
    </row>
    <row r="471">
      <c r="A471" t="inlineStr">
        <is>
          <t>SECI000262</t>
        </is>
      </c>
      <c r="B471" t="inlineStr">
        <is>
          <t>SECI</t>
        </is>
      </c>
      <c r="C471" t="inlineStr">
        <is>
          <t>SECI/C&amp;P/OP/11/0002/26-27</t>
        </is>
      </c>
      <c r="D471" t="inlineStr">
        <is>
          <t>Solar + BESS</t>
        </is>
      </c>
      <c r="E471" t="n">
        <v>25</v>
      </c>
      <c r="F471" t="inlineStr">
        <is>
          <t>Open</t>
        </is>
      </c>
      <c r="G471" t="inlineStr">
        <is>
          <t>Capacity below configured minimum</t>
        </is>
      </c>
      <c r="H471" t="inlineStr">
        <is>
          <t>https://www.seci.co.in/tender-details/YmR1</t>
        </is>
      </c>
    </row>
    <row r="472">
      <c r="A472" t="inlineStr">
        <is>
          <t>SECI000252</t>
        </is>
      </c>
      <c r="B472" t="inlineStr">
        <is>
          <t>SECI</t>
        </is>
      </c>
      <c r="C472" t="inlineStr">
        <is>
          <t>SECI/C&amp;P/OP/11/0001/26-27</t>
        </is>
      </c>
      <c r="D472" t="inlineStr">
        <is>
          <t>Solar</t>
        </is>
      </c>
      <c r="E472" t="n">
        <v>88</v>
      </c>
      <c r="F472" t="inlineStr">
        <is>
          <t>Open</t>
        </is>
      </c>
      <c r="G472" t="inlineStr">
        <is>
          <t>EPC / turnkey / BoS excluded</t>
        </is>
      </c>
      <c r="H472" t="inlineStr">
        <is>
          <t>https://www.seci.co.in/tender-details/Ymd1</t>
        </is>
      </c>
    </row>
    <row r="473">
      <c r="A473" t="inlineStr">
        <is>
          <t>SECI000264</t>
        </is>
      </c>
      <c r="B473" t="inlineStr">
        <is>
          <t>SECI</t>
        </is>
      </c>
      <c r="C473" t="inlineStr">
        <is>
          <t>SECI/C&amp;P/EOI/17/0002/26-27</t>
        </is>
      </c>
      <c r="D473" t="inlineStr">
        <is>
          <t>Other</t>
        </is>
      </c>
      <c r="F473" t="inlineStr">
        <is>
          <t>Open</t>
        </is>
      </c>
      <c r="G473" t="inlineStr">
        <is>
          <t>Capacity not confirmed</t>
        </is>
      </c>
      <c r="H473" t="inlineStr">
        <is>
          <t>https://www.seci.co.in/tender-details/YmRz</t>
        </is>
      </c>
    </row>
    <row r="474">
      <c r="A474" t="inlineStr">
        <is>
          <t>SECI000267</t>
        </is>
      </c>
      <c r="B474" t="inlineStr">
        <is>
          <t>SECI</t>
        </is>
      </c>
      <c r="C474" t="inlineStr">
        <is>
          <t>SECI/C&amp;P/MI/00/0001/26-27</t>
        </is>
      </c>
      <c r="D474" t="inlineStr">
        <is>
          <t>Other</t>
        </is>
      </c>
      <c r="F474" t="inlineStr">
        <is>
          <t>Open</t>
        </is>
      </c>
      <c r="G474" t="inlineStr">
        <is>
          <t>Capacity not confirmed</t>
        </is>
      </c>
      <c r="H474" t="inlineStr">
        <is>
          <t>https://www.seci.co.in/tender-details/YmRw</t>
        </is>
      </c>
    </row>
    <row r="475">
      <c r="A475" t="inlineStr">
        <is>
          <t>SECI000270</t>
        </is>
      </c>
      <c r="B475" t="inlineStr">
        <is>
          <t>SECI</t>
        </is>
      </c>
      <c r="C475" t="inlineStr">
        <is>
          <t>SECI/C&amp;P/OP/15/0005/26-27</t>
        </is>
      </c>
      <c r="D475" t="inlineStr">
        <is>
          <t>Solar</t>
        </is>
      </c>
      <c r="F475" t="inlineStr">
        <is>
          <t>Open</t>
        </is>
      </c>
      <c r="G475" t="inlineStr">
        <is>
          <t>Rooftop solar excluded</t>
        </is>
      </c>
      <c r="H475" t="inlineStr">
        <is>
          <t>https://www.seci.co.in/tender-details/YmV3</t>
        </is>
      </c>
    </row>
    <row r="476">
      <c r="A476" t="inlineStr">
        <is>
          <t>SECI000269</t>
        </is>
      </c>
      <c r="B476" t="inlineStr">
        <is>
          <t>SECI</t>
        </is>
      </c>
      <c r="C476" t="inlineStr">
        <is>
          <t>SECI000269</t>
        </is>
      </c>
      <c r="D476" t="inlineStr">
        <is>
          <t>BESS</t>
        </is>
      </c>
      <c r="E476" t="n">
        <v>40</v>
      </c>
      <c r="F476" t="inlineStr">
        <is>
          <t>Open</t>
        </is>
      </c>
      <c r="G476" t="inlineStr">
        <is>
          <t>Capacity below configured minimum</t>
        </is>
      </c>
      <c r="H476" t="inlineStr">
        <is>
          <t>https://www.seci.co.in/tender-details/YmR-</t>
        </is>
      </c>
    </row>
    <row r="477">
      <c r="A477" t="inlineStr">
        <is>
          <t>SECI000265</t>
        </is>
      </c>
      <c r="B477" t="inlineStr">
        <is>
          <t>SECI</t>
        </is>
      </c>
      <c r="C477" t="inlineStr">
        <is>
          <t>SECI/C&amp;P/IPP/11/0007/26-27</t>
        </is>
      </c>
      <c r="D477" t="inlineStr">
        <is>
          <t>Solar</t>
        </is>
      </c>
      <c r="F477" t="inlineStr">
        <is>
          <t>Open</t>
        </is>
      </c>
      <c r="G477" t="inlineStr">
        <is>
          <t>Rooftop solar excluded</t>
        </is>
      </c>
      <c r="H477" t="inlineStr">
        <is>
          <t>https://www.seci.co.in/tender-details/YmRy</t>
        </is>
      </c>
    </row>
    <row r="478">
      <c r="B478" t="inlineStr">
        <is>
          <t>NTPC REL</t>
        </is>
      </c>
      <c r="D478" t="inlineStr">
        <is>
          <t>Other</t>
        </is>
      </c>
      <c r="F478" t="inlineStr">
        <is>
          <t>Extended</t>
        </is>
      </c>
      <c r="G478" t="inlineStr">
        <is>
          <t>Capacity not confirmed</t>
        </is>
      </c>
      <c r="H478" t="inlineStr">
        <is>
          <t>https://ntpctender.ntpc.co.in/NITDetails/NITs/30221</t>
        </is>
      </c>
    </row>
    <row r="479">
      <c r="B479" t="inlineStr">
        <is>
          <t>NTPC REL</t>
        </is>
      </c>
      <c r="D479" t="inlineStr">
        <is>
          <t>Wind</t>
        </is>
      </c>
      <c r="E479" t="n">
        <v>600</v>
      </c>
      <c r="F479" t="inlineStr">
        <is>
          <t>Corrigendum</t>
        </is>
      </c>
      <c r="G479" t="inlineStr">
        <is>
          <t>Supply / installation excluded</t>
        </is>
      </c>
      <c r="H479" t="inlineStr">
        <is>
          <t>https://ntpctender.ntpc.co.in/NITDetails/NITs/30166</t>
        </is>
      </c>
    </row>
    <row r="480">
      <c r="B480" t="inlineStr">
        <is>
          <t>NTPC REL</t>
        </is>
      </c>
      <c r="D480" t="inlineStr">
        <is>
          <t>Wind</t>
        </is>
      </c>
      <c r="E480" t="n">
        <v>813</v>
      </c>
      <c r="F480" t="inlineStr">
        <is>
          <t>Corrigendum</t>
        </is>
      </c>
      <c r="G480" t="inlineStr">
        <is>
          <t>Supply / installation excluded</t>
        </is>
      </c>
      <c r="H480" t="inlineStr">
        <is>
          <t>https://ntpctender.ntpc.co.in/NITDetails/NITs/29985</t>
        </is>
      </c>
    </row>
    <row r="481">
      <c r="B481" t="inlineStr">
        <is>
          <t>SJVN</t>
        </is>
      </c>
      <c r="C481" t="inlineStr">
        <is>
          <t>Repair and Maintenance of the Roof of the NJHPS Hospital/Dispensary Building and Construction of a New Shed at Dam Intake for Storage of HSD (High-Spe</t>
        </is>
      </c>
      <c r="D481" t="inlineStr">
        <is>
          <t>Other</t>
        </is>
      </c>
      <c r="F481" t="inlineStr">
        <is>
          <t>Open</t>
        </is>
      </c>
      <c r="G481" t="inlineStr">
        <is>
          <t>Capacity not confirmed</t>
        </is>
      </c>
      <c r="H481" t="inlineStr">
        <is>
          <t>https://sjvn.nic.in/en/tender</t>
        </is>
      </c>
    </row>
    <row r="482">
      <c r="A482" t="inlineStr">
        <is>
          <t>SECI000279</t>
        </is>
      </c>
      <c r="B482" t="inlineStr">
        <is>
          <t>SECI</t>
        </is>
      </c>
      <c r="C482" t="inlineStr">
        <is>
          <t>SECI/C&amp;P/MI/00/05/2026-27</t>
        </is>
      </c>
      <c r="D482" t="inlineStr">
        <is>
          <t>Solar</t>
        </is>
      </c>
      <c r="F482" t="inlineStr">
        <is>
          <t>Open</t>
        </is>
      </c>
      <c r="G482" t="inlineStr">
        <is>
          <t>Capacity not confirmed</t>
        </is>
      </c>
      <c r="H482" t="inlineStr">
        <is>
          <t>https://www.seci.co.in/tender-details/YmV-</t>
        </is>
      </c>
    </row>
    <row r="483">
      <c r="A483" t="inlineStr">
        <is>
          <t>SECI000274</t>
        </is>
      </c>
      <c r="B483" t="inlineStr">
        <is>
          <t>SECI</t>
        </is>
      </c>
      <c r="C483" t="inlineStr">
        <is>
          <t>SECI/C&amp;P/IPP/15/0008/26-27</t>
        </is>
      </c>
      <c r="D483" t="inlineStr">
        <is>
          <t>Other</t>
        </is>
      </c>
      <c r="E483" t="n">
        <v>50</v>
      </c>
      <c r="F483" t="inlineStr">
        <is>
          <t>Open</t>
        </is>
      </c>
      <c r="G483" t="inlineStr">
        <is>
          <t>Capacity below configured minimum</t>
        </is>
      </c>
      <c r="H483" t="inlineStr">
        <is>
          <t>https://www.seci.co.in/tender-details/YmVz</t>
        </is>
      </c>
    </row>
    <row r="484">
      <c r="A484" t="inlineStr">
        <is>
          <t>SECI000276</t>
        </is>
      </c>
      <c r="B484" t="inlineStr">
        <is>
          <t>SECI</t>
        </is>
      </c>
      <c r="C484" t="inlineStr">
        <is>
          <t>SECI/C&amp;P/OP/15/0006/25-26</t>
        </is>
      </c>
      <c r="D484" t="inlineStr">
        <is>
          <t>Solar</t>
        </is>
      </c>
      <c r="F484" t="inlineStr">
        <is>
          <t>Open</t>
        </is>
      </c>
      <c r="G484" t="inlineStr">
        <is>
          <t>Rooftop solar excluded</t>
        </is>
      </c>
      <c r="H484" t="inlineStr">
        <is>
          <t>https://www.seci.co.in/tender-details/YmVx</t>
        </is>
      </c>
    </row>
    <row r="485">
      <c r="A485" t="inlineStr">
        <is>
          <t>SECI000263</t>
        </is>
      </c>
      <c r="B485" t="inlineStr">
        <is>
          <t>SECI</t>
        </is>
      </c>
      <c r="C485" t="inlineStr">
        <is>
          <t>SECI/C&amp;P/OP/11/0003/26-27</t>
        </is>
      </c>
      <c r="D485" t="inlineStr">
        <is>
          <t>Wind</t>
        </is>
      </c>
      <c r="E485" t="n">
        <v>45.6</v>
      </c>
      <c r="F485" t="inlineStr">
        <is>
          <t>Open</t>
        </is>
      </c>
      <c r="G485" t="inlineStr">
        <is>
          <t>Capacity below configured minimum</t>
        </is>
      </c>
      <c r="H485" t="inlineStr">
        <is>
          <t>https://www.seci.co.in/tender-details/YmR0</t>
        </is>
      </c>
    </row>
    <row r="486">
      <c r="A486" t="inlineStr">
        <is>
          <t>SECI000262</t>
        </is>
      </c>
      <c r="B486" t="inlineStr">
        <is>
          <t>SECI</t>
        </is>
      </c>
      <c r="C486" t="inlineStr">
        <is>
          <t>SECI/C&amp;P/OP/11/0002/26-27</t>
        </is>
      </c>
      <c r="D486" t="inlineStr">
        <is>
          <t>Solar + BESS</t>
        </is>
      </c>
      <c r="E486" t="n">
        <v>25</v>
      </c>
      <c r="F486" t="inlineStr">
        <is>
          <t>Open</t>
        </is>
      </c>
      <c r="G486" t="inlineStr">
        <is>
          <t>Capacity below configured minimum</t>
        </is>
      </c>
      <c r="H486" t="inlineStr">
        <is>
          <t>https://www.seci.co.in/tender-details/YmR1</t>
        </is>
      </c>
    </row>
    <row r="487">
      <c r="A487" t="inlineStr">
        <is>
          <t>SECI000252</t>
        </is>
      </c>
      <c r="B487" t="inlineStr">
        <is>
          <t>SECI</t>
        </is>
      </c>
      <c r="C487" t="inlineStr">
        <is>
          <t>SECI/C&amp;P/OP/11/0001/26-27</t>
        </is>
      </c>
      <c r="D487" t="inlineStr">
        <is>
          <t>Solar</t>
        </is>
      </c>
      <c r="E487" t="n">
        <v>88</v>
      </c>
      <c r="F487" t="inlineStr">
        <is>
          <t>Open</t>
        </is>
      </c>
      <c r="G487" t="inlineStr">
        <is>
          <t>EPC / turnkey / BoS excluded</t>
        </is>
      </c>
      <c r="H487" t="inlineStr">
        <is>
          <t>https://www.seci.co.in/tender-details/Ymd1</t>
        </is>
      </c>
    </row>
    <row r="488">
      <c r="A488" t="inlineStr">
        <is>
          <t>SECI000264</t>
        </is>
      </c>
      <c r="B488" t="inlineStr">
        <is>
          <t>SECI</t>
        </is>
      </c>
      <c r="C488" t="inlineStr">
        <is>
          <t>SECI/C&amp;P/EOI/17/0002/26-27</t>
        </is>
      </c>
      <c r="D488" t="inlineStr">
        <is>
          <t>Other</t>
        </is>
      </c>
      <c r="F488" t="inlineStr">
        <is>
          <t>Open</t>
        </is>
      </c>
      <c r="G488" t="inlineStr">
        <is>
          <t>Capacity not confirmed</t>
        </is>
      </c>
      <c r="H488" t="inlineStr">
        <is>
          <t>https://www.seci.co.in/tender-details/YmRz</t>
        </is>
      </c>
    </row>
    <row r="489">
      <c r="A489" t="inlineStr">
        <is>
          <t>SECI000267</t>
        </is>
      </c>
      <c r="B489" t="inlineStr">
        <is>
          <t>SECI</t>
        </is>
      </c>
      <c r="C489" t="inlineStr">
        <is>
          <t>SECI/C&amp;P/MI/00/0001/26-27</t>
        </is>
      </c>
      <c r="D489" t="inlineStr">
        <is>
          <t>Other</t>
        </is>
      </c>
      <c r="F489" t="inlineStr">
        <is>
          <t>Open</t>
        </is>
      </c>
      <c r="G489" t="inlineStr">
        <is>
          <t>Capacity not confirmed</t>
        </is>
      </c>
      <c r="H489" t="inlineStr">
        <is>
          <t>https://www.seci.co.in/tender-details/YmRw</t>
        </is>
      </c>
    </row>
    <row r="490">
      <c r="A490" t="inlineStr">
        <is>
          <t>SECI000270</t>
        </is>
      </c>
      <c r="B490" t="inlineStr">
        <is>
          <t>SECI</t>
        </is>
      </c>
      <c r="C490" t="inlineStr">
        <is>
          <t>SECI/C&amp;P/OP/15/0005/26-27</t>
        </is>
      </c>
      <c r="D490" t="inlineStr">
        <is>
          <t>Solar</t>
        </is>
      </c>
      <c r="F490" t="inlineStr">
        <is>
          <t>Open</t>
        </is>
      </c>
      <c r="G490" t="inlineStr">
        <is>
          <t>Rooftop solar excluded</t>
        </is>
      </c>
      <c r="H490" t="inlineStr">
        <is>
          <t>https://www.seci.co.in/tender-details/YmV3</t>
        </is>
      </c>
    </row>
    <row r="491">
      <c r="A491" t="inlineStr">
        <is>
          <t>SECI000269</t>
        </is>
      </c>
      <c r="B491" t="inlineStr">
        <is>
          <t>SECI</t>
        </is>
      </c>
      <c r="C491" t="inlineStr">
        <is>
          <t>SECI000269</t>
        </is>
      </c>
      <c r="D491" t="inlineStr">
        <is>
          <t>BESS</t>
        </is>
      </c>
      <c r="E491" t="n">
        <v>40</v>
      </c>
      <c r="F491" t="inlineStr">
        <is>
          <t>Open</t>
        </is>
      </c>
      <c r="G491" t="inlineStr">
        <is>
          <t>Capacity below configured minimum</t>
        </is>
      </c>
      <c r="H491" t="inlineStr">
        <is>
          <t>https://www.seci.co.in/tender-details/YmR-</t>
        </is>
      </c>
    </row>
    <row r="492">
      <c r="A492" t="inlineStr">
        <is>
          <t>SECI000265</t>
        </is>
      </c>
      <c r="B492" t="inlineStr">
        <is>
          <t>SECI</t>
        </is>
      </c>
      <c r="C492" t="inlineStr">
        <is>
          <t>SECI/C&amp;P/IPP/11/0007/26-27</t>
        </is>
      </c>
      <c r="D492" t="inlineStr">
        <is>
          <t>Solar</t>
        </is>
      </c>
      <c r="F492" t="inlineStr">
        <is>
          <t>Open</t>
        </is>
      </c>
      <c r="G492" t="inlineStr">
        <is>
          <t>Rooftop solar excluded</t>
        </is>
      </c>
      <c r="H492" t="inlineStr">
        <is>
          <t>https://www.seci.co.in/tender-details/YmRy</t>
        </is>
      </c>
    </row>
    <row r="493">
      <c r="B493" t="inlineStr">
        <is>
          <t>NTPC REL</t>
        </is>
      </c>
      <c r="D493" t="inlineStr">
        <is>
          <t>Other</t>
        </is>
      </c>
      <c r="F493" t="inlineStr">
        <is>
          <t>Extended</t>
        </is>
      </c>
      <c r="G493" t="inlineStr">
        <is>
          <t>Capacity not confirmed</t>
        </is>
      </c>
      <c r="H493" t="inlineStr">
        <is>
          <t>https://ntpctender.ntpc.co.in/NITDetails/NITs/30221</t>
        </is>
      </c>
    </row>
    <row r="494">
      <c r="B494" t="inlineStr">
        <is>
          <t>NTPC REL</t>
        </is>
      </c>
      <c r="D494" t="inlineStr">
        <is>
          <t>Wind</t>
        </is>
      </c>
      <c r="E494" t="n">
        <v>600</v>
      </c>
      <c r="F494" t="inlineStr">
        <is>
          <t>Corrigendum</t>
        </is>
      </c>
      <c r="G494" t="inlineStr">
        <is>
          <t>Supply / installation excluded</t>
        </is>
      </c>
      <c r="H494" t="inlineStr">
        <is>
          <t>https://ntpctender.ntpc.co.in/NITDetails/NITs/30166</t>
        </is>
      </c>
    </row>
    <row r="495">
      <c r="B495" t="inlineStr">
        <is>
          <t>NTPC REL</t>
        </is>
      </c>
      <c r="D495" t="inlineStr">
        <is>
          <t>Wind</t>
        </is>
      </c>
      <c r="E495" t="n">
        <v>813</v>
      </c>
      <c r="F495" t="inlineStr">
        <is>
          <t>Corrigendum</t>
        </is>
      </c>
      <c r="G495" t="inlineStr">
        <is>
          <t>Supply / installation excluded</t>
        </is>
      </c>
      <c r="H495" t="inlineStr">
        <is>
          <t>https://ntpctender.ntpc.co.in/NITDetails/NITs/29985</t>
        </is>
      </c>
    </row>
    <row r="496">
      <c r="B496" t="inlineStr">
        <is>
          <t>SJVN</t>
        </is>
      </c>
      <c r="C496" t="inlineStr">
        <is>
          <t>Repair and Maintenance of the Roof of the NJHPS Hospital/Dispensary Building and Construction of a New Shed at Dam Intake for Storage of HSD (High-Spe</t>
        </is>
      </c>
      <c r="D496" t="inlineStr">
        <is>
          <t>Other</t>
        </is>
      </c>
      <c r="F496" t="inlineStr">
        <is>
          <t>Open</t>
        </is>
      </c>
      <c r="G496" t="inlineStr">
        <is>
          <t>Capacity not confirmed</t>
        </is>
      </c>
      <c r="H496" t="inlineStr">
        <is>
          <t>https://sjvn.nic.in/en/tender</t>
        </is>
      </c>
    </row>
    <row r="497">
      <c r="A497" t="inlineStr">
        <is>
          <t>SECI000279</t>
        </is>
      </c>
      <c r="B497" t="inlineStr">
        <is>
          <t>SECI</t>
        </is>
      </c>
      <c r="C497" t="inlineStr">
        <is>
          <t>SECI/C&amp;P/MI/00/05/2026-27</t>
        </is>
      </c>
      <c r="D497" t="inlineStr">
        <is>
          <t>Solar</t>
        </is>
      </c>
      <c r="F497" t="inlineStr">
        <is>
          <t>Open</t>
        </is>
      </c>
      <c r="G497" t="inlineStr">
        <is>
          <t>Capacity not confirmed</t>
        </is>
      </c>
      <c r="H497" t="inlineStr">
        <is>
          <t>https://www.seci.co.in/tender-details/YmV-</t>
        </is>
      </c>
    </row>
    <row r="498">
      <c r="A498" t="inlineStr">
        <is>
          <t>SECI000274</t>
        </is>
      </c>
      <c r="B498" t="inlineStr">
        <is>
          <t>SECI</t>
        </is>
      </c>
      <c r="C498" t="inlineStr">
        <is>
          <t>SECI/C&amp;P/IPP/15/0008/26-27</t>
        </is>
      </c>
      <c r="D498" t="inlineStr">
        <is>
          <t>Other</t>
        </is>
      </c>
      <c r="E498" t="n">
        <v>50</v>
      </c>
      <c r="F498" t="inlineStr">
        <is>
          <t>Open</t>
        </is>
      </c>
      <c r="G498" t="inlineStr">
        <is>
          <t>Capacity below configured minimum</t>
        </is>
      </c>
      <c r="H498" t="inlineStr">
        <is>
          <t>https://www.seci.co.in/tender-details/YmVz</t>
        </is>
      </c>
    </row>
    <row r="499">
      <c r="A499" t="inlineStr">
        <is>
          <t>SECI000276</t>
        </is>
      </c>
      <c r="B499" t="inlineStr">
        <is>
          <t>SECI</t>
        </is>
      </c>
      <c r="C499" t="inlineStr">
        <is>
          <t>SECI/C&amp;P/OP/15/0006/25-26</t>
        </is>
      </c>
      <c r="D499" t="inlineStr">
        <is>
          <t>Solar</t>
        </is>
      </c>
      <c r="F499" t="inlineStr">
        <is>
          <t>Open</t>
        </is>
      </c>
      <c r="G499" t="inlineStr">
        <is>
          <t>Rooftop solar excluded</t>
        </is>
      </c>
      <c r="H499" t="inlineStr">
        <is>
          <t>https://www.seci.co.in/tender-details/YmVx</t>
        </is>
      </c>
    </row>
    <row r="500">
      <c r="A500" t="inlineStr">
        <is>
          <t>SECI000263</t>
        </is>
      </c>
      <c r="B500" t="inlineStr">
        <is>
          <t>SECI</t>
        </is>
      </c>
      <c r="C500" t="inlineStr">
        <is>
          <t>SECI/C&amp;P/OP/11/0003/26-27</t>
        </is>
      </c>
      <c r="D500" t="inlineStr">
        <is>
          <t>Wind</t>
        </is>
      </c>
      <c r="E500" t="n">
        <v>45.6</v>
      </c>
      <c r="F500" t="inlineStr">
        <is>
          <t>Open</t>
        </is>
      </c>
      <c r="G500" t="inlineStr">
        <is>
          <t>Capacity below configured minimum</t>
        </is>
      </c>
      <c r="H500" t="inlineStr">
        <is>
          <t>https://www.seci.co.in/tender-details/YmR0</t>
        </is>
      </c>
    </row>
    <row r="501">
      <c r="A501" t="inlineStr">
        <is>
          <t>SECI000262</t>
        </is>
      </c>
      <c r="B501" t="inlineStr">
        <is>
          <t>SECI</t>
        </is>
      </c>
      <c r="C501" t="inlineStr">
        <is>
          <t>SECI/C&amp;P/OP/11/0002/26-27</t>
        </is>
      </c>
      <c r="D501" t="inlineStr">
        <is>
          <t>Solar + BESS</t>
        </is>
      </c>
      <c r="E501" t="n">
        <v>25</v>
      </c>
      <c r="F501" t="inlineStr">
        <is>
          <t>Open</t>
        </is>
      </c>
      <c r="G501" t="inlineStr">
        <is>
          <t>Capacity below configured minimum</t>
        </is>
      </c>
      <c r="H501" t="inlineStr">
        <is>
          <t>https://www.seci.co.in/tender-details/YmR1</t>
        </is>
      </c>
    </row>
    <row r="502">
      <c r="A502" t="inlineStr">
        <is>
          <t>SECI000252</t>
        </is>
      </c>
      <c r="B502" t="inlineStr">
        <is>
          <t>SECI</t>
        </is>
      </c>
      <c r="C502" t="inlineStr">
        <is>
          <t>SECI/C&amp;P/OP/11/0001/26-27</t>
        </is>
      </c>
      <c r="D502" t="inlineStr">
        <is>
          <t>Solar</t>
        </is>
      </c>
      <c r="E502" t="n">
        <v>88</v>
      </c>
      <c r="F502" t="inlineStr">
        <is>
          <t>Open</t>
        </is>
      </c>
      <c r="G502" t="inlineStr">
        <is>
          <t>EPC / turnkey / BoS excluded</t>
        </is>
      </c>
      <c r="H502" t="inlineStr">
        <is>
          <t>https://www.seci.co.in/tender-details/Ymd1</t>
        </is>
      </c>
    </row>
    <row r="503">
      <c r="A503" t="inlineStr">
        <is>
          <t>SECI000264</t>
        </is>
      </c>
      <c r="B503" t="inlineStr">
        <is>
          <t>SECI</t>
        </is>
      </c>
      <c r="C503" t="inlineStr">
        <is>
          <t>SECI/C&amp;P/EOI/17/0002/26-27</t>
        </is>
      </c>
      <c r="D503" t="inlineStr">
        <is>
          <t>Other</t>
        </is>
      </c>
      <c r="F503" t="inlineStr">
        <is>
          <t>Open</t>
        </is>
      </c>
      <c r="G503" t="inlineStr">
        <is>
          <t>Capacity not confirmed</t>
        </is>
      </c>
      <c r="H503" t="inlineStr">
        <is>
          <t>https://www.seci.co.in/tender-details/YmRz</t>
        </is>
      </c>
    </row>
    <row r="504">
      <c r="A504" t="inlineStr">
        <is>
          <t>SECI000267</t>
        </is>
      </c>
      <c r="B504" t="inlineStr">
        <is>
          <t>SECI</t>
        </is>
      </c>
      <c r="C504" t="inlineStr">
        <is>
          <t>SECI/C&amp;P/MI/00/0001/26-27</t>
        </is>
      </c>
      <c r="D504" t="inlineStr">
        <is>
          <t>Other</t>
        </is>
      </c>
      <c r="F504" t="inlineStr">
        <is>
          <t>Open</t>
        </is>
      </c>
      <c r="G504" t="inlineStr">
        <is>
          <t>Capacity not confirmed</t>
        </is>
      </c>
      <c r="H504" t="inlineStr">
        <is>
          <t>https://www.seci.co.in/tender-details/YmRw</t>
        </is>
      </c>
    </row>
    <row r="505">
      <c r="A505" t="inlineStr">
        <is>
          <t>SECI000270</t>
        </is>
      </c>
      <c r="B505" t="inlineStr">
        <is>
          <t>SECI</t>
        </is>
      </c>
      <c r="C505" t="inlineStr">
        <is>
          <t>SECI/C&amp;P/OP/15/0005/26-27</t>
        </is>
      </c>
      <c r="D505" t="inlineStr">
        <is>
          <t>Solar</t>
        </is>
      </c>
      <c r="F505" t="inlineStr">
        <is>
          <t>Open</t>
        </is>
      </c>
      <c r="G505" t="inlineStr">
        <is>
          <t>Rooftop solar excluded</t>
        </is>
      </c>
      <c r="H505" t="inlineStr">
        <is>
          <t>https://www.seci.co.in/tender-details/YmV3</t>
        </is>
      </c>
    </row>
    <row r="506">
      <c r="A506" t="inlineStr">
        <is>
          <t>SECI000269</t>
        </is>
      </c>
      <c r="B506" t="inlineStr">
        <is>
          <t>SECI</t>
        </is>
      </c>
      <c r="C506" t="inlineStr">
        <is>
          <t>SECI000269</t>
        </is>
      </c>
      <c r="D506" t="inlineStr">
        <is>
          <t>BESS</t>
        </is>
      </c>
      <c r="E506" t="n">
        <v>40</v>
      </c>
      <c r="F506" t="inlineStr">
        <is>
          <t>Open</t>
        </is>
      </c>
      <c r="G506" t="inlineStr">
        <is>
          <t>Capacity below configured minimum</t>
        </is>
      </c>
      <c r="H506" t="inlineStr">
        <is>
          <t>https://www.seci.co.in/tender-details/YmR-</t>
        </is>
      </c>
    </row>
    <row r="507">
      <c r="A507" t="inlineStr">
        <is>
          <t>SECI000265</t>
        </is>
      </c>
      <c r="B507" t="inlineStr">
        <is>
          <t>SECI</t>
        </is>
      </c>
      <c r="C507" t="inlineStr">
        <is>
          <t>SECI/C&amp;P/IPP/11/0007/26-27</t>
        </is>
      </c>
      <c r="D507" t="inlineStr">
        <is>
          <t>Solar</t>
        </is>
      </c>
      <c r="F507" t="inlineStr">
        <is>
          <t>Open</t>
        </is>
      </c>
      <c r="G507" t="inlineStr">
        <is>
          <t>Rooftop solar excluded</t>
        </is>
      </c>
      <c r="H507" t="inlineStr">
        <is>
          <t>https://www.seci.co.in/tender-details/YmRy</t>
        </is>
      </c>
    </row>
    <row r="508">
      <c r="B508" t="inlineStr">
        <is>
          <t>NTPC REL</t>
        </is>
      </c>
      <c r="D508" t="inlineStr">
        <is>
          <t>Other</t>
        </is>
      </c>
      <c r="F508" t="inlineStr">
        <is>
          <t>Extended</t>
        </is>
      </c>
      <c r="G508" t="inlineStr">
        <is>
          <t>Capacity not confirmed</t>
        </is>
      </c>
      <c r="H508" t="inlineStr">
        <is>
          <t>https://ntpctender.ntpc.co.in/NITDetails/NITs/30221</t>
        </is>
      </c>
    </row>
    <row r="509">
      <c r="B509" t="inlineStr">
        <is>
          <t>NTPC REL</t>
        </is>
      </c>
      <c r="D509" t="inlineStr">
        <is>
          <t>Wind</t>
        </is>
      </c>
      <c r="E509" t="n">
        <v>600</v>
      </c>
      <c r="F509" t="inlineStr">
        <is>
          <t>Corrigendum</t>
        </is>
      </c>
      <c r="G509" t="inlineStr">
        <is>
          <t>Supply / installation excluded</t>
        </is>
      </c>
      <c r="H509" t="inlineStr">
        <is>
          <t>https://ntpctender.ntpc.co.in/NITDetails/NITs/30166</t>
        </is>
      </c>
    </row>
    <row r="510">
      <c r="B510" t="inlineStr">
        <is>
          <t>SJVN</t>
        </is>
      </c>
      <c r="C510" t="inlineStr">
        <is>
          <t>Repair and Maintenance of the Roof of the NJHPS Hospital/Dispensary Building and Construction of a New Shed at Dam Intake for Storage of HSD (High-Spe</t>
        </is>
      </c>
      <c r="D510" t="inlineStr">
        <is>
          <t>Other</t>
        </is>
      </c>
      <c r="F510" t="inlineStr">
        <is>
          <t>Open</t>
        </is>
      </c>
      <c r="G510" t="inlineStr">
        <is>
          <t>Capacity not confirmed</t>
        </is>
      </c>
      <c r="H510" t="inlineStr">
        <is>
          <t>https://sjvn.nic.in/en/tender</t>
        </is>
      </c>
    </row>
    <row r="511">
      <c r="A511" t="inlineStr">
        <is>
          <t>SECI000279</t>
        </is>
      </c>
      <c r="B511" t="inlineStr">
        <is>
          <t>SECI</t>
        </is>
      </c>
      <c r="C511" t="inlineStr">
        <is>
          <t>SECI/C&amp;P/MI/00/05/2026-27</t>
        </is>
      </c>
      <c r="D511" t="inlineStr">
        <is>
          <t>Solar</t>
        </is>
      </c>
      <c r="F511" t="inlineStr">
        <is>
          <t>Open</t>
        </is>
      </c>
      <c r="G511" t="inlineStr">
        <is>
          <t>Capacity not confirmed</t>
        </is>
      </c>
      <c r="H511" t="inlineStr">
        <is>
          <t>https://www.seci.co.in/tender-details/YmV-</t>
        </is>
      </c>
    </row>
    <row r="512">
      <c r="A512" t="inlineStr">
        <is>
          <t>SECI000274</t>
        </is>
      </c>
      <c r="B512" t="inlineStr">
        <is>
          <t>SECI</t>
        </is>
      </c>
      <c r="C512" t="inlineStr">
        <is>
          <t>SECI/C&amp;P/IPP/15/0008/26-27</t>
        </is>
      </c>
      <c r="D512" t="inlineStr">
        <is>
          <t>Other</t>
        </is>
      </c>
      <c r="E512" t="n">
        <v>50</v>
      </c>
      <c r="F512" t="inlineStr">
        <is>
          <t>Open</t>
        </is>
      </c>
      <c r="G512" t="inlineStr">
        <is>
          <t>Capacity below configured minimum</t>
        </is>
      </c>
      <c r="H512" t="inlineStr">
        <is>
          <t>https://www.seci.co.in/tender-details/YmVz</t>
        </is>
      </c>
    </row>
    <row r="513">
      <c r="A513" t="inlineStr">
        <is>
          <t>SECI000276</t>
        </is>
      </c>
      <c r="B513" t="inlineStr">
        <is>
          <t>SECI</t>
        </is>
      </c>
      <c r="C513" t="inlineStr">
        <is>
          <t>SECI/C&amp;P/OP/15/0006/25-26</t>
        </is>
      </c>
      <c r="D513" t="inlineStr">
        <is>
          <t>Solar</t>
        </is>
      </c>
      <c r="F513" t="inlineStr">
        <is>
          <t>Open</t>
        </is>
      </c>
      <c r="G513" t="inlineStr">
        <is>
          <t>Rooftop solar excluded</t>
        </is>
      </c>
      <c r="H513" t="inlineStr">
        <is>
          <t>https://www.seci.co.in/tender-details/YmVx</t>
        </is>
      </c>
    </row>
    <row r="514">
      <c r="A514" t="inlineStr">
        <is>
          <t>SECI000263</t>
        </is>
      </c>
      <c r="B514" t="inlineStr">
        <is>
          <t>SECI</t>
        </is>
      </c>
      <c r="C514" t="inlineStr">
        <is>
          <t>SECI/C&amp;P/OP/11/0003/26-27</t>
        </is>
      </c>
      <c r="D514" t="inlineStr">
        <is>
          <t>Wind</t>
        </is>
      </c>
      <c r="E514" t="n">
        <v>45.6</v>
      </c>
      <c r="F514" t="inlineStr">
        <is>
          <t>Open</t>
        </is>
      </c>
      <c r="G514" t="inlineStr">
        <is>
          <t>Capacity below configured minimum</t>
        </is>
      </c>
      <c r="H514" t="inlineStr">
        <is>
          <t>https://www.seci.co.in/tender-details/YmR0</t>
        </is>
      </c>
    </row>
    <row r="515">
      <c r="A515" t="inlineStr">
        <is>
          <t>SECI000262</t>
        </is>
      </c>
      <c r="B515" t="inlineStr">
        <is>
          <t>SECI</t>
        </is>
      </c>
      <c r="C515" t="inlineStr">
        <is>
          <t>SECI/C&amp;P/OP/11/0002/26-27</t>
        </is>
      </c>
      <c r="D515" t="inlineStr">
        <is>
          <t>Solar + BESS</t>
        </is>
      </c>
      <c r="E515" t="n">
        <v>25</v>
      </c>
      <c r="F515" t="inlineStr">
        <is>
          <t>Open</t>
        </is>
      </c>
      <c r="G515" t="inlineStr">
        <is>
          <t>Capacity below configured minimum</t>
        </is>
      </c>
      <c r="H515" t="inlineStr">
        <is>
          <t>https://www.seci.co.in/tender-details/YmR1</t>
        </is>
      </c>
    </row>
    <row r="516">
      <c r="A516" t="inlineStr">
        <is>
          <t>SECI000252</t>
        </is>
      </c>
      <c r="B516" t="inlineStr">
        <is>
          <t>SECI</t>
        </is>
      </c>
      <c r="C516" t="inlineStr">
        <is>
          <t>SECI/C&amp;P/OP/11/0001/26-27</t>
        </is>
      </c>
      <c r="D516" t="inlineStr">
        <is>
          <t>Solar</t>
        </is>
      </c>
      <c r="E516" t="n">
        <v>88</v>
      </c>
      <c r="F516" t="inlineStr">
        <is>
          <t>Open</t>
        </is>
      </c>
      <c r="G516" t="inlineStr">
        <is>
          <t>EPC / turnkey / BoS excluded</t>
        </is>
      </c>
      <c r="H516" t="inlineStr">
        <is>
          <t>https://www.seci.co.in/tender-details/Ymd1</t>
        </is>
      </c>
    </row>
    <row r="517">
      <c r="A517" t="inlineStr">
        <is>
          <t>SECI000264</t>
        </is>
      </c>
      <c r="B517" t="inlineStr">
        <is>
          <t>SECI</t>
        </is>
      </c>
      <c r="C517" t="inlineStr">
        <is>
          <t>SECI/C&amp;P/EOI/17/0002/26-27</t>
        </is>
      </c>
      <c r="D517" t="inlineStr">
        <is>
          <t>Other</t>
        </is>
      </c>
      <c r="F517" t="inlineStr">
        <is>
          <t>Open</t>
        </is>
      </c>
      <c r="G517" t="inlineStr">
        <is>
          <t>Capacity not confirmed</t>
        </is>
      </c>
      <c r="H517" t="inlineStr">
        <is>
          <t>https://www.seci.co.in/tender-details/YmRz</t>
        </is>
      </c>
    </row>
    <row r="518">
      <c r="A518" t="inlineStr">
        <is>
          <t>SECI000267</t>
        </is>
      </c>
      <c r="B518" t="inlineStr">
        <is>
          <t>SECI</t>
        </is>
      </c>
      <c r="C518" t="inlineStr">
        <is>
          <t>SECI/C&amp;P/MI/00/0001/26-27</t>
        </is>
      </c>
      <c r="D518" t="inlineStr">
        <is>
          <t>Other</t>
        </is>
      </c>
      <c r="F518" t="inlineStr">
        <is>
          <t>Open</t>
        </is>
      </c>
      <c r="G518" t="inlineStr">
        <is>
          <t>Capacity not confirmed</t>
        </is>
      </c>
      <c r="H518" t="inlineStr">
        <is>
          <t>https://www.seci.co.in/tender-details/YmRw</t>
        </is>
      </c>
    </row>
    <row r="519">
      <c r="A519" t="inlineStr">
        <is>
          <t>SECI000270</t>
        </is>
      </c>
      <c r="B519" t="inlineStr">
        <is>
          <t>SECI</t>
        </is>
      </c>
      <c r="C519" t="inlineStr">
        <is>
          <t>SECI/C&amp;P/OP/15/0005/26-27</t>
        </is>
      </c>
      <c r="D519" t="inlineStr">
        <is>
          <t>Solar</t>
        </is>
      </c>
      <c r="F519" t="inlineStr">
        <is>
          <t>Open</t>
        </is>
      </c>
      <c r="G519" t="inlineStr">
        <is>
          <t>Rooftop solar excluded</t>
        </is>
      </c>
      <c r="H519" t="inlineStr">
        <is>
          <t>https://www.seci.co.in/tender-details/YmV3</t>
        </is>
      </c>
    </row>
    <row r="520">
      <c r="A520" t="inlineStr">
        <is>
          <t>SECI000269</t>
        </is>
      </c>
      <c r="B520" t="inlineStr">
        <is>
          <t>SECI</t>
        </is>
      </c>
      <c r="C520" t="inlineStr">
        <is>
          <t>SECI000269</t>
        </is>
      </c>
      <c r="D520" t="inlineStr">
        <is>
          <t>BESS</t>
        </is>
      </c>
      <c r="E520" t="n">
        <v>40</v>
      </c>
      <c r="F520" t="inlineStr">
        <is>
          <t>Open</t>
        </is>
      </c>
      <c r="G520" t="inlineStr">
        <is>
          <t>Capacity below configured minimum</t>
        </is>
      </c>
      <c r="H520" t="inlineStr">
        <is>
          <t>https://www.seci.co.in/tender-details/YmR-</t>
        </is>
      </c>
    </row>
    <row r="521">
      <c r="A521" t="inlineStr">
        <is>
          <t>SECI000265</t>
        </is>
      </c>
      <c r="B521" t="inlineStr">
        <is>
          <t>SECI</t>
        </is>
      </c>
      <c r="C521" t="inlineStr">
        <is>
          <t>SECI/C&amp;P/IPP/11/0007/26-27</t>
        </is>
      </c>
      <c r="D521" t="inlineStr">
        <is>
          <t>Solar</t>
        </is>
      </c>
      <c r="F521" t="inlineStr">
        <is>
          <t>Open</t>
        </is>
      </c>
      <c r="G521" t="inlineStr">
        <is>
          <t>Rooftop solar excluded</t>
        </is>
      </c>
      <c r="H521" t="inlineStr">
        <is>
          <t>https://www.seci.co.in/tender-details/YmRy</t>
        </is>
      </c>
    </row>
    <row r="522">
      <c r="B522" t="inlineStr">
        <is>
          <t>NTPC REL</t>
        </is>
      </c>
      <c r="D522" t="inlineStr">
        <is>
          <t>Other</t>
        </is>
      </c>
      <c r="F522" t="inlineStr">
        <is>
          <t>Extended</t>
        </is>
      </c>
      <c r="G522" t="inlineStr">
        <is>
          <t>Capacity not confirmed</t>
        </is>
      </c>
      <c r="H522" t="inlineStr">
        <is>
          <t>https://ntpctender.ntpc.co.in/NITDetails/NITs/30221</t>
        </is>
      </c>
    </row>
    <row r="523">
      <c r="B523" t="inlineStr">
        <is>
          <t>NTPC REL</t>
        </is>
      </c>
      <c r="D523" t="inlineStr">
        <is>
          <t>Wind</t>
        </is>
      </c>
      <c r="E523" t="n">
        <v>600</v>
      </c>
      <c r="F523" t="inlineStr">
        <is>
          <t>Corrigendum</t>
        </is>
      </c>
      <c r="G523" t="inlineStr">
        <is>
          <t>Supply / installation excluded</t>
        </is>
      </c>
      <c r="H523" t="inlineStr">
        <is>
          <t>https://ntpctender.ntpc.co.in/NITDetails/NITs/30166</t>
        </is>
      </c>
    </row>
    <row r="524">
      <c r="B524" t="inlineStr">
        <is>
          <t>SJVN</t>
        </is>
      </c>
      <c r="C524" t="inlineStr">
        <is>
          <t>Repair and Maintenance of the Roof of the NJHPS Hospital/Dispensary Building and Construction of a New Shed at Dam Intake for Storage of HSD (High-Spe</t>
        </is>
      </c>
      <c r="D524" t="inlineStr">
        <is>
          <t>Other</t>
        </is>
      </c>
      <c r="F524" t="inlineStr">
        <is>
          <t>Open</t>
        </is>
      </c>
      <c r="G524" t="inlineStr">
        <is>
          <t>Capacity not confirmed</t>
        </is>
      </c>
      <c r="H524" t="inlineStr">
        <is>
          <t>https://sjvn.nic.in/en/tender</t>
        </is>
      </c>
    </row>
    <row r="525">
      <c r="A525" t="inlineStr">
        <is>
          <t>SECI000279</t>
        </is>
      </c>
      <c r="B525" t="inlineStr">
        <is>
          <t>SECI</t>
        </is>
      </c>
      <c r="C525" t="inlineStr">
        <is>
          <t>SECI/C&amp;P/MI/00/05/2026-27</t>
        </is>
      </c>
      <c r="D525" t="inlineStr">
        <is>
          <t>Solar</t>
        </is>
      </c>
      <c r="F525" t="inlineStr">
        <is>
          <t>Open</t>
        </is>
      </c>
      <c r="G525" t="inlineStr">
        <is>
          <t>Capacity not confirmed</t>
        </is>
      </c>
      <c r="H525" t="inlineStr">
        <is>
          <t>https://www.seci.co.in/tender-details/YmV-</t>
        </is>
      </c>
    </row>
    <row r="526">
      <c r="A526" t="inlineStr">
        <is>
          <t>SECI000270</t>
        </is>
      </c>
      <c r="B526" t="inlineStr">
        <is>
          <t>SECI</t>
        </is>
      </c>
      <c r="C526" t="inlineStr">
        <is>
          <t>SECI/C&amp;P/OP/15/0005/26-27</t>
        </is>
      </c>
      <c r="D526" t="inlineStr">
        <is>
          <t>Solar</t>
        </is>
      </c>
      <c r="F526" t="inlineStr">
        <is>
          <t>Open</t>
        </is>
      </c>
      <c r="G526" t="inlineStr">
        <is>
          <t>Rooftop solar excluded</t>
        </is>
      </c>
      <c r="H526" t="inlineStr">
        <is>
          <t>https://www.seci.co.in/tender-details/YmV3</t>
        </is>
      </c>
    </row>
    <row r="527">
      <c r="A527" t="inlineStr">
        <is>
          <t>SECI000274</t>
        </is>
      </c>
      <c r="B527" t="inlineStr">
        <is>
          <t>SECI</t>
        </is>
      </c>
      <c r="C527" t="inlineStr">
        <is>
          <t>SECI/C&amp;P/IPP/15/0008/26-27</t>
        </is>
      </c>
      <c r="D527" t="inlineStr">
        <is>
          <t>Other</t>
        </is>
      </c>
      <c r="E527" t="n">
        <v>50</v>
      </c>
      <c r="F527" t="inlineStr">
        <is>
          <t>Open</t>
        </is>
      </c>
      <c r="G527" t="inlineStr">
        <is>
          <t>Capacity below configured minimum</t>
        </is>
      </c>
      <c r="H527" t="inlineStr">
        <is>
          <t>https://www.seci.co.in/tender-details/YmVz</t>
        </is>
      </c>
    </row>
    <row r="528">
      <c r="A528" t="inlineStr">
        <is>
          <t>SECI000276</t>
        </is>
      </c>
      <c r="B528" t="inlineStr">
        <is>
          <t>SECI</t>
        </is>
      </c>
      <c r="C528" t="inlineStr">
        <is>
          <t>SECI/C&amp;P/OP/15/0006/25-26</t>
        </is>
      </c>
      <c r="D528" t="inlineStr">
        <is>
          <t>Solar</t>
        </is>
      </c>
      <c r="F528" t="inlineStr">
        <is>
          <t>Open</t>
        </is>
      </c>
      <c r="G528" t="inlineStr">
        <is>
          <t>Rooftop solar excluded</t>
        </is>
      </c>
      <c r="H528" t="inlineStr">
        <is>
          <t>https://www.seci.co.in/tender-details/YmVx</t>
        </is>
      </c>
    </row>
    <row r="529">
      <c r="A529" t="inlineStr">
        <is>
          <t>SECI000263</t>
        </is>
      </c>
      <c r="B529" t="inlineStr">
        <is>
          <t>SECI</t>
        </is>
      </c>
      <c r="C529" t="inlineStr">
        <is>
          <t>SECI/C&amp;P/OP/11/0003/26-27</t>
        </is>
      </c>
      <c r="D529" t="inlineStr">
        <is>
          <t>Wind</t>
        </is>
      </c>
      <c r="E529" t="n">
        <v>45.6</v>
      </c>
      <c r="F529" t="inlineStr">
        <is>
          <t>Open</t>
        </is>
      </c>
      <c r="G529" t="inlineStr">
        <is>
          <t>Capacity below configured minimum</t>
        </is>
      </c>
      <c r="H529" t="inlineStr">
        <is>
          <t>https://www.seci.co.in/tender-details/YmR0</t>
        </is>
      </c>
    </row>
    <row r="530">
      <c r="A530" t="inlineStr">
        <is>
          <t>SECI000262</t>
        </is>
      </c>
      <c r="B530" t="inlineStr">
        <is>
          <t>SECI</t>
        </is>
      </c>
      <c r="C530" t="inlineStr">
        <is>
          <t>SECI/C&amp;P/OP/11/0002/26-27</t>
        </is>
      </c>
      <c r="D530" t="inlineStr">
        <is>
          <t>Solar + BESS</t>
        </is>
      </c>
      <c r="E530" t="n">
        <v>25</v>
      </c>
      <c r="F530" t="inlineStr">
        <is>
          <t>Open</t>
        </is>
      </c>
      <c r="G530" t="inlineStr">
        <is>
          <t>Capacity below configured minimum</t>
        </is>
      </c>
      <c r="H530" t="inlineStr">
        <is>
          <t>https://www.seci.co.in/tender-details/YmR1</t>
        </is>
      </c>
    </row>
    <row r="531">
      <c r="A531" t="inlineStr">
        <is>
          <t>SECI000252</t>
        </is>
      </c>
      <c r="B531" t="inlineStr">
        <is>
          <t>SECI</t>
        </is>
      </c>
      <c r="C531" t="inlineStr">
        <is>
          <t>SECI/C&amp;P/OP/11/0001/26-27</t>
        </is>
      </c>
      <c r="D531" t="inlineStr">
        <is>
          <t>Solar</t>
        </is>
      </c>
      <c r="E531" t="n">
        <v>88</v>
      </c>
      <c r="F531" t="inlineStr">
        <is>
          <t>Open</t>
        </is>
      </c>
      <c r="G531" t="inlineStr">
        <is>
          <t>EPC / turnkey / BoS excluded</t>
        </is>
      </c>
      <c r="H531" t="inlineStr">
        <is>
          <t>https://www.seci.co.in/tender-details/Ymd1</t>
        </is>
      </c>
    </row>
    <row r="532">
      <c r="A532" t="inlineStr">
        <is>
          <t>SECI000264</t>
        </is>
      </c>
      <c r="B532" t="inlineStr">
        <is>
          <t>SECI</t>
        </is>
      </c>
      <c r="C532" t="inlineStr">
        <is>
          <t>SECI/C&amp;P/EOI/17/0002/26-27</t>
        </is>
      </c>
      <c r="D532" t="inlineStr">
        <is>
          <t>Other</t>
        </is>
      </c>
      <c r="F532" t="inlineStr">
        <is>
          <t>Open</t>
        </is>
      </c>
      <c r="G532" t="inlineStr">
        <is>
          <t>Capacity not confirmed</t>
        </is>
      </c>
      <c r="H532" t="inlineStr">
        <is>
          <t>https://www.seci.co.in/tender-details/YmRz</t>
        </is>
      </c>
    </row>
    <row r="533">
      <c r="A533" t="inlineStr">
        <is>
          <t>SECI000267</t>
        </is>
      </c>
      <c r="B533" t="inlineStr">
        <is>
          <t>SECI</t>
        </is>
      </c>
      <c r="C533" t="inlineStr">
        <is>
          <t>SECI/C&amp;P/MI/00/0001/26-27</t>
        </is>
      </c>
      <c r="D533" t="inlineStr">
        <is>
          <t>Other</t>
        </is>
      </c>
      <c r="F533" t="inlineStr">
        <is>
          <t>Open</t>
        </is>
      </c>
      <c r="G533" t="inlineStr">
        <is>
          <t>Capacity not confirmed</t>
        </is>
      </c>
      <c r="H533" t="inlineStr">
        <is>
          <t>https://www.seci.co.in/tender-details/YmRw</t>
        </is>
      </c>
    </row>
    <row r="534">
      <c r="A534" t="inlineStr">
        <is>
          <t>SECI000269</t>
        </is>
      </c>
      <c r="B534" t="inlineStr">
        <is>
          <t>SECI</t>
        </is>
      </c>
      <c r="C534" t="inlineStr">
        <is>
          <t>SECI000269</t>
        </is>
      </c>
      <c r="D534" t="inlineStr">
        <is>
          <t>BESS</t>
        </is>
      </c>
      <c r="E534" t="n">
        <v>40</v>
      </c>
      <c r="F534" t="inlineStr">
        <is>
          <t>Open</t>
        </is>
      </c>
      <c r="G534" t="inlineStr">
        <is>
          <t>Capacity below configured minimum</t>
        </is>
      </c>
      <c r="H534" t="inlineStr">
        <is>
          <t>https://www.seci.co.in/tender-details/YmR-</t>
        </is>
      </c>
    </row>
    <row r="535">
      <c r="A535" t="inlineStr">
        <is>
          <t>SECI000265</t>
        </is>
      </c>
      <c r="B535" t="inlineStr">
        <is>
          <t>SECI</t>
        </is>
      </c>
      <c r="C535" t="inlineStr">
        <is>
          <t>SECI/C&amp;P/IPP/11/0007/26-27</t>
        </is>
      </c>
      <c r="D535" t="inlineStr">
        <is>
          <t>Solar</t>
        </is>
      </c>
      <c r="F535" t="inlineStr">
        <is>
          <t>Open</t>
        </is>
      </c>
      <c r="G535" t="inlineStr">
        <is>
          <t>Rooftop solar excluded</t>
        </is>
      </c>
      <c r="H535" t="inlineStr">
        <is>
          <t>https://www.seci.co.in/tender-details/YmRy</t>
        </is>
      </c>
    </row>
    <row r="536">
      <c r="B536" t="inlineStr">
        <is>
          <t>NTPC REL</t>
        </is>
      </c>
      <c r="D536" t="inlineStr">
        <is>
          <t>Wind</t>
        </is>
      </c>
      <c r="E536" t="n">
        <v>672</v>
      </c>
      <c r="F536" t="inlineStr">
        <is>
          <t>Corrigendum</t>
        </is>
      </c>
      <c r="G536" t="inlineStr">
        <is>
          <t>Supply / installation excluded</t>
        </is>
      </c>
      <c r="H536" t="inlineStr">
        <is>
          <t>https://ntpctender.ntpc.co.in/NITDetails/NITs/28431</t>
        </is>
      </c>
    </row>
    <row r="537">
      <c r="B537" t="inlineStr">
        <is>
          <t>SJVN</t>
        </is>
      </c>
      <c r="C537" t="inlineStr">
        <is>
          <t>Repair and Maintenance of the Roof of the NJHPS Hospital/Dispensary Building and Construction of a New Shed at Dam Intake for Storage of HSD (High-Spe</t>
        </is>
      </c>
      <c r="D537" t="inlineStr">
        <is>
          <t>Other</t>
        </is>
      </c>
      <c r="F537" t="inlineStr">
        <is>
          <t>Open</t>
        </is>
      </c>
      <c r="G537" t="inlineStr">
        <is>
          <t>Capacity not confirmed</t>
        </is>
      </c>
      <c r="H537" t="inlineStr">
        <is>
          <t>https://sjvn.nic.in/en/tender</t>
        </is>
      </c>
    </row>
    <row r="538">
      <c r="A538" t="inlineStr">
        <is>
          <t>SECI000279</t>
        </is>
      </c>
      <c r="B538" t="inlineStr">
        <is>
          <t>SECI</t>
        </is>
      </c>
      <c r="C538" t="inlineStr">
        <is>
          <t>SECI/C&amp;P/MI/00/05/2026-27</t>
        </is>
      </c>
      <c r="D538" t="inlineStr">
        <is>
          <t>Solar</t>
        </is>
      </c>
      <c r="F538" t="inlineStr">
        <is>
          <t>Open</t>
        </is>
      </c>
      <c r="G538" t="inlineStr">
        <is>
          <t>Capacity not confirmed</t>
        </is>
      </c>
      <c r="H538" t="inlineStr">
        <is>
          <t>https://www.seci.co.in/tender-details/YmV-</t>
        </is>
      </c>
    </row>
    <row r="539">
      <c r="A539" t="inlineStr">
        <is>
          <t>SECI000270</t>
        </is>
      </c>
      <c r="B539" t="inlineStr">
        <is>
          <t>SECI</t>
        </is>
      </c>
      <c r="C539" t="inlineStr">
        <is>
          <t>SECI/C&amp;P/OP/15/0005/26-27</t>
        </is>
      </c>
      <c r="D539" t="inlineStr">
        <is>
          <t>Solar</t>
        </is>
      </c>
      <c r="F539" t="inlineStr">
        <is>
          <t>Open</t>
        </is>
      </c>
      <c r="G539" t="inlineStr">
        <is>
          <t>Rooftop solar excluded</t>
        </is>
      </c>
      <c r="H539" t="inlineStr">
        <is>
          <t>https://www.seci.co.in/tender-details/YmV3</t>
        </is>
      </c>
    </row>
    <row r="540">
      <c r="A540" t="inlineStr">
        <is>
          <t>SECI000262</t>
        </is>
      </c>
      <c r="B540" t="inlineStr">
        <is>
          <t>SECI</t>
        </is>
      </c>
      <c r="C540" t="inlineStr">
        <is>
          <t>SECI/C&amp;P/OP/11/0002/26-27</t>
        </is>
      </c>
      <c r="D540" t="inlineStr">
        <is>
          <t>Solar + BESS</t>
        </is>
      </c>
      <c r="E540" t="n">
        <v>25</v>
      </c>
      <c r="F540" t="inlineStr">
        <is>
          <t>Open</t>
        </is>
      </c>
      <c r="G540" t="inlineStr">
        <is>
          <t>Capacity below configured minimum</t>
        </is>
      </c>
      <c r="H540" t="inlineStr">
        <is>
          <t>https://www.seci.co.in/tender-details/YmR1</t>
        </is>
      </c>
    </row>
    <row r="541">
      <c r="A541" t="inlineStr">
        <is>
          <t>SECI000274</t>
        </is>
      </c>
      <c r="B541" t="inlineStr">
        <is>
          <t>SECI</t>
        </is>
      </c>
      <c r="C541" t="inlineStr">
        <is>
          <t>SECI/C&amp;P/IPP/15/0008/26-27</t>
        </is>
      </c>
      <c r="D541" t="inlineStr">
        <is>
          <t>Other</t>
        </is>
      </c>
      <c r="E541" t="n">
        <v>50</v>
      </c>
      <c r="F541" t="inlineStr">
        <is>
          <t>Open</t>
        </is>
      </c>
      <c r="G541" t="inlineStr">
        <is>
          <t>Capacity below configured minimum</t>
        </is>
      </c>
      <c r="H541" t="inlineStr">
        <is>
          <t>https://www.seci.co.in/tender-details/YmVz</t>
        </is>
      </c>
    </row>
    <row r="542">
      <c r="A542" t="inlineStr">
        <is>
          <t>SECI000276</t>
        </is>
      </c>
      <c r="B542" t="inlineStr">
        <is>
          <t>SECI</t>
        </is>
      </c>
      <c r="C542" t="inlineStr">
        <is>
          <t>SECI/C&amp;P/OP/15/0006/25-26</t>
        </is>
      </c>
      <c r="D542" t="inlineStr">
        <is>
          <t>Solar</t>
        </is>
      </c>
      <c r="F542" t="inlineStr">
        <is>
          <t>Open</t>
        </is>
      </c>
      <c r="G542" t="inlineStr">
        <is>
          <t>Rooftop solar excluded</t>
        </is>
      </c>
      <c r="H542" t="inlineStr">
        <is>
          <t>https://www.seci.co.in/tender-details/YmVx</t>
        </is>
      </c>
    </row>
    <row r="543">
      <c r="A543" t="inlineStr">
        <is>
          <t>SECI000263</t>
        </is>
      </c>
      <c r="B543" t="inlineStr">
        <is>
          <t>SECI</t>
        </is>
      </c>
      <c r="C543" t="inlineStr">
        <is>
          <t>SECI/C&amp;P/OP/11/0003/26-27</t>
        </is>
      </c>
      <c r="D543" t="inlineStr">
        <is>
          <t>Wind</t>
        </is>
      </c>
      <c r="E543" t="n">
        <v>45.6</v>
      </c>
      <c r="F543" t="inlineStr">
        <is>
          <t>Open</t>
        </is>
      </c>
      <c r="G543" t="inlineStr">
        <is>
          <t>Capacity below configured minimum</t>
        </is>
      </c>
      <c r="H543" t="inlineStr">
        <is>
          <t>https://www.seci.co.in/tender-details/YmR0</t>
        </is>
      </c>
    </row>
    <row r="544">
      <c r="A544" t="inlineStr">
        <is>
          <t>SECI000267</t>
        </is>
      </c>
      <c r="B544" t="inlineStr">
        <is>
          <t>SECI</t>
        </is>
      </c>
      <c r="C544" t="inlineStr">
        <is>
          <t>SECI/C&amp;P/MI/00/0001/26-27</t>
        </is>
      </c>
      <c r="D544" t="inlineStr">
        <is>
          <t>Other</t>
        </is>
      </c>
      <c r="F544" t="inlineStr">
        <is>
          <t>Open</t>
        </is>
      </c>
      <c r="G544" t="inlineStr">
        <is>
          <t>Capacity not confirmed</t>
        </is>
      </c>
      <c r="H544" t="inlineStr">
        <is>
          <t>https://www.seci.co.in/tender-details/YmRw</t>
        </is>
      </c>
    </row>
    <row r="545">
      <c r="A545" t="inlineStr">
        <is>
          <t>SECI000252</t>
        </is>
      </c>
      <c r="B545" t="inlineStr">
        <is>
          <t>SECI</t>
        </is>
      </c>
      <c r="C545" t="inlineStr">
        <is>
          <t>SECI/C&amp;P/OP/11/0001/26-27</t>
        </is>
      </c>
      <c r="D545" t="inlineStr">
        <is>
          <t>Solar</t>
        </is>
      </c>
      <c r="E545" t="n">
        <v>88</v>
      </c>
      <c r="F545" t="inlineStr">
        <is>
          <t>Open</t>
        </is>
      </c>
      <c r="G545" t="inlineStr">
        <is>
          <t>EPC / turnkey / BoS excluded</t>
        </is>
      </c>
      <c r="H545" t="inlineStr">
        <is>
          <t>https://www.seci.co.in/tender-details/Ymd1</t>
        </is>
      </c>
    </row>
    <row r="546">
      <c r="A546" t="inlineStr">
        <is>
          <t>SECI000264</t>
        </is>
      </c>
      <c r="B546" t="inlineStr">
        <is>
          <t>SECI</t>
        </is>
      </c>
      <c r="C546" t="inlineStr">
        <is>
          <t>SECI/C&amp;P/EOI/17/0002/26-27</t>
        </is>
      </c>
      <c r="D546" t="inlineStr">
        <is>
          <t>Other</t>
        </is>
      </c>
      <c r="F546" t="inlineStr">
        <is>
          <t>Open</t>
        </is>
      </c>
      <c r="G546" t="inlineStr">
        <is>
          <t>Capacity not confirmed</t>
        </is>
      </c>
      <c r="H546" t="inlineStr">
        <is>
          <t>https://www.seci.co.in/tender-details/YmRz</t>
        </is>
      </c>
    </row>
    <row r="547">
      <c r="A547" t="inlineStr">
        <is>
          <t>SECI000269</t>
        </is>
      </c>
      <c r="B547" t="inlineStr">
        <is>
          <t>SECI</t>
        </is>
      </c>
      <c r="C547" t="inlineStr">
        <is>
          <t>SECI000269</t>
        </is>
      </c>
      <c r="D547" t="inlineStr">
        <is>
          <t>BESS</t>
        </is>
      </c>
      <c r="E547" t="n">
        <v>40</v>
      </c>
      <c r="F547" t="inlineStr">
        <is>
          <t>Open</t>
        </is>
      </c>
      <c r="G547" t="inlineStr">
        <is>
          <t>Capacity below configured minimum</t>
        </is>
      </c>
      <c r="H547" t="inlineStr">
        <is>
          <t>https://www.seci.co.in/tender-details/YmR-</t>
        </is>
      </c>
    </row>
    <row r="548">
      <c r="B548" t="inlineStr">
        <is>
          <t>NTPC REL</t>
        </is>
      </c>
      <c r="D548" t="inlineStr">
        <is>
          <t>Wind</t>
        </is>
      </c>
      <c r="E548" t="n">
        <v>672</v>
      </c>
      <c r="F548" t="inlineStr">
        <is>
          <t>Corrigendum</t>
        </is>
      </c>
      <c r="G548" t="inlineStr">
        <is>
          <t>Supply / installation excluded</t>
        </is>
      </c>
      <c r="H548" t="inlineStr">
        <is>
          <t>https://ntpctender.ntpc.co.in/NITDetails/NITs/28431</t>
        </is>
      </c>
    </row>
    <row r="549">
      <c r="B549" t="inlineStr">
        <is>
          <t>SJVN</t>
        </is>
      </c>
      <c r="C549" t="inlineStr">
        <is>
          <t>Repair and Maintenance of the Roof of the NJHPS Hospital/Dispensary Building and Construction of a New Shed at Dam Intake for Storage of HSD (High-Spe</t>
        </is>
      </c>
      <c r="D549" t="inlineStr">
        <is>
          <t>Other</t>
        </is>
      </c>
      <c r="F549" t="inlineStr">
        <is>
          <t>Open</t>
        </is>
      </c>
      <c r="G549" t="inlineStr">
        <is>
          <t>Capacity not confirmed</t>
        </is>
      </c>
      <c r="H549" t="inlineStr">
        <is>
          <t>https://sjvn.nic.in/en/tender</t>
        </is>
      </c>
    </row>
    <row r="550">
      <c r="A550" t="inlineStr">
        <is>
          <t>SECI000279</t>
        </is>
      </c>
      <c r="B550" t="inlineStr">
        <is>
          <t>SECI</t>
        </is>
      </c>
      <c r="C550" t="inlineStr">
        <is>
          <t>SECI/C&amp;P/MI/00/05/2026-27</t>
        </is>
      </c>
      <c r="D550" t="inlineStr">
        <is>
          <t>Solar</t>
        </is>
      </c>
      <c r="F550" t="inlineStr">
        <is>
          <t>Open</t>
        </is>
      </c>
      <c r="G550" t="inlineStr">
        <is>
          <t>Capacity not confirmed</t>
        </is>
      </c>
      <c r="H550" t="inlineStr">
        <is>
          <t>https://www.seci.co.in/tender-details/YmV-</t>
        </is>
      </c>
    </row>
    <row r="551">
      <c r="A551" t="inlineStr">
        <is>
          <t>SECI000270</t>
        </is>
      </c>
      <c r="B551" t="inlineStr">
        <is>
          <t>SECI</t>
        </is>
      </c>
      <c r="C551" t="inlineStr">
        <is>
          <t>SECI/C&amp;P/OP/15/0005/26-27</t>
        </is>
      </c>
      <c r="D551" t="inlineStr">
        <is>
          <t>Solar</t>
        </is>
      </c>
      <c r="F551" t="inlineStr">
        <is>
          <t>Open</t>
        </is>
      </c>
      <c r="G551" t="inlineStr">
        <is>
          <t>Rooftop solar excluded</t>
        </is>
      </c>
      <c r="H551" t="inlineStr">
        <is>
          <t>https://www.seci.co.in/tender-details/YmV3</t>
        </is>
      </c>
    </row>
    <row r="552">
      <c r="A552" t="inlineStr">
        <is>
          <t>SECI000262</t>
        </is>
      </c>
      <c r="B552" t="inlineStr">
        <is>
          <t>SECI</t>
        </is>
      </c>
      <c r="C552" t="inlineStr">
        <is>
          <t>SECI/C&amp;P/OP/11/0002/26-27</t>
        </is>
      </c>
      <c r="D552" t="inlineStr">
        <is>
          <t>Solar + BESS</t>
        </is>
      </c>
      <c r="E552" t="n">
        <v>25</v>
      </c>
      <c r="F552" t="inlineStr">
        <is>
          <t>Open</t>
        </is>
      </c>
      <c r="G552" t="inlineStr">
        <is>
          <t>Capacity below configured minimum</t>
        </is>
      </c>
      <c r="H552" t="inlineStr">
        <is>
          <t>https://www.seci.co.in/tender-details/YmR1</t>
        </is>
      </c>
    </row>
    <row r="553">
      <c r="A553" t="inlineStr">
        <is>
          <t>SECI000274</t>
        </is>
      </c>
      <c r="B553" t="inlineStr">
        <is>
          <t>SECI</t>
        </is>
      </c>
      <c r="C553" t="inlineStr">
        <is>
          <t>SECI/C&amp;P/IPP/15/0008/26-27</t>
        </is>
      </c>
      <c r="D553" t="inlineStr">
        <is>
          <t>Other</t>
        </is>
      </c>
      <c r="E553" t="n">
        <v>50</v>
      </c>
      <c r="F553" t="inlineStr">
        <is>
          <t>Open</t>
        </is>
      </c>
      <c r="G553" t="inlineStr">
        <is>
          <t>Capacity below configured minimum</t>
        </is>
      </c>
      <c r="H553" t="inlineStr">
        <is>
          <t>https://www.seci.co.in/tender-details/YmVz</t>
        </is>
      </c>
    </row>
    <row r="554">
      <c r="A554" t="inlineStr">
        <is>
          <t>SECI000276</t>
        </is>
      </c>
      <c r="B554" t="inlineStr">
        <is>
          <t>SECI</t>
        </is>
      </c>
      <c r="C554" t="inlineStr">
        <is>
          <t>SECI/C&amp;P/OP/15/0006/25-26</t>
        </is>
      </c>
      <c r="D554" t="inlineStr">
        <is>
          <t>Solar</t>
        </is>
      </c>
      <c r="F554" t="inlineStr">
        <is>
          <t>Open</t>
        </is>
      </c>
      <c r="G554" t="inlineStr">
        <is>
          <t>Rooftop solar excluded</t>
        </is>
      </c>
      <c r="H554" t="inlineStr">
        <is>
          <t>https://www.seci.co.in/tender-details/YmVx</t>
        </is>
      </c>
    </row>
    <row r="555">
      <c r="A555" t="inlineStr">
        <is>
          <t>SECI000263</t>
        </is>
      </c>
      <c r="B555" t="inlineStr">
        <is>
          <t>SECI</t>
        </is>
      </c>
      <c r="C555" t="inlineStr">
        <is>
          <t>SECI/C&amp;P/OP/11/0003/26-27</t>
        </is>
      </c>
      <c r="D555" t="inlineStr">
        <is>
          <t>Wind</t>
        </is>
      </c>
      <c r="E555" t="n">
        <v>45.6</v>
      </c>
      <c r="F555" t="inlineStr">
        <is>
          <t>Open</t>
        </is>
      </c>
      <c r="G555" t="inlineStr">
        <is>
          <t>Capacity below configured minimum</t>
        </is>
      </c>
      <c r="H555" t="inlineStr">
        <is>
          <t>https://www.seci.co.in/tender-details/YmR0</t>
        </is>
      </c>
    </row>
    <row r="556">
      <c r="A556" t="inlineStr">
        <is>
          <t>SECI000267</t>
        </is>
      </c>
      <c r="B556" t="inlineStr">
        <is>
          <t>SECI</t>
        </is>
      </c>
      <c r="C556" t="inlineStr">
        <is>
          <t>SECI/C&amp;P/MI/00/0001/26-27</t>
        </is>
      </c>
      <c r="D556" t="inlineStr">
        <is>
          <t>Other</t>
        </is>
      </c>
      <c r="F556" t="inlineStr">
        <is>
          <t>Open</t>
        </is>
      </c>
      <c r="G556" t="inlineStr">
        <is>
          <t>Capacity not confirmed</t>
        </is>
      </c>
      <c r="H556" t="inlineStr">
        <is>
          <t>https://www.seci.co.in/tender-details/YmRw</t>
        </is>
      </c>
    </row>
    <row r="557">
      <c r="A557" t="inlineStr">
        <is>
          <t>SECI000252</t>
        </is>
      </c>
      <c r="B557" t="inlineStr">
        <is>
          <t>SECI</t>
        </is>
      </c>
      <c r="C557" t="inlineStr">
        <is>
          <t>SECI/C&amp;P/OP/11/0001/26-27</t>
        </is>
      </c>
      <c r="D557" t="inlineStr">
        <is>
          <t>Solar</t>
        </is>
      </c>
      <c r="E557" t="n">
        <v>88</v>
      </c>
      <c r="F557" t="inlineStr">
        <is>
          <t>Open</t>
        </is>
      </c>
      <c r="G557" t="inlineStr">
        <is>
          <t>EPC / turnkey / BoS excluded</t>
        </is>
      </c>
      <c r="H557" t="inlineStr">
        <is>
          <t>https://www.seci.co.in/tender-details/Ymd1</t>
        </is>
      </c>
    </row>
    <row r="558">
      <c r="A558" t="inlineStr">
        <is>
          <t>SECI000264</t>
        </is>
      </c>
      <c r="B558" t="inlineStr">
        <is>
          <t>SECI</t>
        </is>
      </c>
      <c r="C558" t="inlineStr">
        <is>
          <t>SECI/C&amp;P/EOI/17/0002/26-27</t>
        </is>
      </c>
      <c r="D558" t="inlineStr">
        <is>
          <t>Other</t>
        </is>
      </c>
      <c r="F558" t="inlineStr">
        <is>
          <t>Open</t>
        </is>
      </c>
      <c r="G558" t="inlineStr">
        <is>
          <t>Capacity not confirmed</t>
        </is>
      </c>
      <c r="H558" t="inlineStr">
        <is>
          <t>https://www.seci.co.in/tender-details/YmRz</t>
        </is>
      </c>
    </row>
    <row r="559">
      <c r="A559" t="inlineStr">
        <is>
          <t>SECI000269</t>
        </is>
      </c>
      <c r="B559" t="inlineStr">
        <is>
          <t>SECI</t>
        </is>
      </c>
      <c r="C559" t="inlineStr">
        <is>
          <t>SECI000269</t>
        </is>
      </c>
      <c r="D559" t="inlineStr">
        <is>
          <t>BESS</t>
        </is>
      </c>
      <c r="E559" t="n">
        <v>40</v>
      </c>
      <c r="F559" t="inlineStr">
        <is>
          <t>Open</t>
        </is>
      </c>
      <c r="G559" t="inlineStr">
        <is>
          <t>Capacity below configured minimum</t>
        </is>
      </c>
      <c r="H559" t="inlineStr">
        <is>
          <t>https://www.seci.co.in/tender-details/YmR-</t>
        </is>
      </c>
    </row>
    <row r="560">
      <c r="B560" t="inlineStr">
        <is>
          <t>NTPC REL</t>
        </is>
      </c>
      <c r="D560" t="inlineStr">
        <is>
          <t>Other</t>
        </is>
      </c>
      <c r="F560" t="inlineStr">
        <is>
          <t>Open</t>
        </is>
      </c>
      <c r="G560" t="inlineStr">
        <is>
          <t>Capacity not confirmed</t>
        </is>
      </c>
      <c r="H560" t="inlineStr">
        <is>
          <t>https://ntpctender.ntpc.co.in/NITDetails/NITs/30260</t>
        </is>
      </c>
    </row>
    <row r="561">
      <c r="B561" t="inlineStr">
        <is>
          <t>NTPC REL</t>
        </is>
      </c>
      <c r="D561" t="inlineStr">
        <is>
          <t>Wind</t>
        </is>
      </c>
      <c r="E561" t="n">
        <v>672</v>
      </c>
      <c r="F561" t="inlineStr">
        <is>
          <t>Corrigendum</t>
        </is>
      </c>
      <c r="G561" t="inlineStr">
        <is>
          <t>Supply / installation excluded</t>
        </is>
      </c>
      <c r="H561" t="inlineStr">
        <is>
          <t>https://ntpctender.ntpc.co.in/NITDetails/NITs/28431</t>
        </is>
      </c>
    </row>
    <row r="562">
      <c r="B562" t="inlineStr">
        <is>
          <t>RUVNL</t>
        </is>
      </c>
      <c r="C562" t="inlineStr">
        <is>
          <t>Bidder</t>
        </is>
      </c>
      <c r="D562" t="inlineStr">
        <is>
          <t>Solar</t>
        </is>
      </c>
      <c r="F562" t="inlineStr">
        <is>
          <t>Open</t>
        </is>
      </c>
      <c r="G562" t="inlineStr">
        <is>
          <t>Capacity not confirmed</t>
        </is>
      </c>
      <c r="H562" t="inlineStr">
        <is>
          <t>https://eproc.rajasthan.gov.in/nicgep/app?component=%24DirectLink&amp;page=Home&amp;service=direct&amp;session=T&amp;sp=S%2BRLU14YKFOa6pQrLV5Mx0A%3D%3D</t>
        </is>
      </c>
    </row>
    <row r="563">
      <c r="B563" t="inlineStr">
        <is>
          <t>RUVNL</t>
        </is>
      </c>
      <c r="C563" t="inlineStr">
        <is>
          <t>Bidder</t>
        </is>
      </c>
      <c r="D563" t="inlineStr">
        <is>
          <t>Solar</t>
        </is>
      </c>
      <c r="F563" t="inlineStr">
        <is>
          <t>Open</t>
        </is>
      </c>
      <c r="G563" t="inlineStr">
        <is>
          <t>Capacity not confirmed</t>
        </is>
      </c>
      <c r="H563" t="inlineStr">
        <is>
          <t>https://eproc.rajasthan.gov.in/nicgep/app?component=%24DirectLink&amp;page=Home&amp;service=direct&amp;session=T&amp;sp=S%2BRLU14YKFOa6pQrLV5Mx0A%3D%3D</t>
        </is>
      </c>
    </row>
    <row r="564">
      <c r="B564" t="inlineStr">
        <is>
          <t>RUVNL</t>
        </is>
      </c>
      <c r="C564" t="inlineStr">
        <is>
          <t>1. Construction of Solar Pump at GUPS Janiyo ki Basti</t>
        </is>
      </c>
      <c r="D564" t="inlineStr">
        <is>
          <t>Solar</t>
        </is>
      </c>
      <c r="F564" t="inlineStr">
        <is>
          <t>Open</t>
        </is>
      </c>
      <c r="G564" t="inlineStr">
        <is>
          <t>Capacity not confirmed</t>
        </is>
      </c>
      <c r="H564" t="inlineStr">
        <is>
          <t>https://eproc.rajasthan.gov.in/nicgep/app?component=%24DirectLink&amp;page=Home&amp;service=direct&amp;session=T&amp;sp=S%2BRLU14YKFOa6pQrLV5Mx0A%3D%3D</t>
        </is>
      </c>
    </row>
    <row r="565">
      <c r="A565" t="inlineStr">
        <is>
          <t>SECI000279</t>
        </is>
      </c>
      <c r="B565" t="inlineStr">
        <is>
          <t>SECI</t>
        </is>
      </c>
      <c r="C565" t="inlineStr">
        <is>
          <t>SECI/C&amp;P/MI/00/05/2026-27</t>
        </is>
      </c>
      <c r="D565" t="inlineStr">
        <is>
          <t>Solar</t>
        </is>
      </c>
      <c r="F565" t="inlineStr">
        <is>
          <t>Open</t>
        </is>
      </c>
      <c r="G565" t="inlineStr">
        <is>
          <t>Capacity not confirmed</t>
        </is>
      </c>
      <c r="H565" t="inlineStr">
        <is>
          <t>https://www.seci.co.in/tender-details/YmV-</t>
        </is>
      </c>
    </row>
    <row r="566">
      <c r="A566" t="inlineStr">
        <is>
          <t>SECI000270</t>
        </is>
      </c>
      <c r="B566" t="inlineStr">
        <is>
          <t>SECI</t>
        </is>
      </c>
      <c r="C566" t="inlineStr">
        <is>
          <t>SECI/C&amp;P/OP/15/0005/26-27</t>
        </is>
      </c>
      <c r="D566" t="inlineStr">
        <is>
          <t>Solar</t>
        </is>
      </c>
      <c r="F566" t="inlineStr">
        <is>
          <t>Open</t>
        </is>
      </c>
      <c r="G566" t="inlineStr">
        <is>
          <t>Rooftop solar excluded</t>
        </is>
      </c>
      <c r="H566" t="inlineStr">
        <is>
          <t>https://www.seci.co.in/tender-details/YmV3</t>
        </is>
      </c>
    </row>
    <row r="567">
      <c r="A567" t="inlineStr">
        <is>
          <t>SECI000262</t>
        </is>
      </c>
      <c r="B567" t="inlineStr">
        <is>
          <t>SECI</t>
        </is>
      </c>
      <c r="C567" t="inlineStr">
        <is>
          <t>SECI/C&amp;P/OP/11/0002/26-27</t>
        </is>
      </c>
      <c r="D567" t="inlineStr">
        <is>
          <t>Solar + BESS</t>
        </is>
      </c>
      <c r="E567" t="n">
        <v>25</v>
      </c>
      <c r="F567" t="inlineStr">
        <is>
          <t>Open</t>
        </is>
      </c>
      <c r="G567" t="inlineStr">
        <is>
          <t>Capacity below configured minimum</t>
        </is>
      </c>
      <c r="H567" t="inlineStr">
        <is>
          <t>https://www.seci.co.in/tender-details/YmR1</t>
        </is>
      </c>
    </row>
    <row r="568">
      <c r="A568" t="inlineStr">
        <is>
          <t>SECI000274</t>
        </is>
      </c>
      <c r="B568" t="inlineStr">
        <is>
          <t>SECI</t>
        </is>
      </c>
      <c r="C568" t="inlineStr">
        <is>
          <t>SECI/C&amp;P/IPP/15/0008/26-27</t>
        </is>
      </c>
      <c r="D568" t="inlineStr">
        <is>
          <t>Other</t>
        </is>
      </c>
      <c r="E568" t="n">
        <v>50</v>
      </c>
      <c r="F568" t="inlineStr">
        <is>
          <t>Open</t>
        </is>
      </c>
      <c r="G568" t="inlineStr">
        <is>
          <t>Capacity below configured minimum</t>
        </is>
      </c>
      <c r="H568" t="inlineStr">
        <is>
          <t>https://www.seci.co.in/tender-details/YmVz</t>
        </is>
      </c>
    </row>
    <row r="569">
      <c r="A569" t="inlineStr">
        <is>
          <t>SECI000276</t>
        </is>
      </c>
      <c r="B569" t="inlineStr">
        <is>
          <t>SECI</t>
        </is>
      </c>
      <c r="C569" t="inlineStr">
        <is>
          <t>SECI/C&amp;P/OP/15/0006/25-26</t>
        </is>
      </c>
      <c r="D569" t="inlineStr">
        <is>
          <t>Solar</t>
        </is>
      </c>
      <c r="F569" t="inlineStr">
        <is>
          <t>Open</t>
        </is>
      </c>
      <c r="G569" t="inlineStr">
        <is>
          <t>Rooftop solar excluded</t>
        </is>
      </c>
      <c r="H569" t="inlineStr">
        <is>
          <t>https://www.seci.co.in/tender-details/YmVx</t>
        </is>
      </c>
    </row>
    <row r="570">
      <c r="A570" t="inlineStr">
        <is>
          <t>SECI000263</t>
        </is>
      </c>
      <c r="B570" t="inlineStr">
        <is>
          <t>SECI</t>
        </is>
      </c>
      <c r="C570" t="inlineStr">
        <is>
          <t>SECI/C&amp;P/OP/11/0003/26-27</t>
        </is>
      </c>
      <c r="D570" t="inlineStr">
        <is>
          <t>Wind</t>
        </is>
      </c>
      <c r="E570" t="n">
        <v>45.6</v>
      </c>
      <c r="F570" t="inlineStr">
        <is>
          <t>Open</t>
        </is>
      </c>
      <c r="G570" t="inlineStr">
        <is>
          <t>Capacity below configured minimum</t>
        </is>
      </c>
      <c r="H570" t="inlineStr">
        <is>
          <t>https://www.seci.co.in/tender-details/YmR0</t>
        </is>
      </c>
    </row>
    <row r="571">
      <c r="A571" t="inlineStr">
        <is>
          <t>SECI000267</t>
        </is>
      </c>
      <c r="B571" t="inlineStr">
        <is>
          <t>SECI</t>
        </is>
      </c>
      <c r="C571" t="inlineStr">
        <is>
          <t>SECI/C&amp;P/MI/00/0001/26-27</t>
        </is>
      </c>
      <c r="D571" t="inlineStr">
        <is>
          <t>Other</t>
        </is>
      </c>
      <c r="F571" t="inlineStr">
        <is>
          <t>Open</t>
        </is>
      </c>
      <c r="G571" t="inlineStr">
        <is>
          <t>Capacity not confirmed</t>
        </is>
      </c>
      <c r="H571" t="inlineStr">
        <is>
          <t>https://www.seci.co.in/tender-details/YmRw</t>
        </is>
      </c>
    </row>
    <row r="572">
      <c r="A572" t="inlineStr">
        <is>
          <t>SECI000252</t>
        </is>
      </c>
      <c r="B572" t="inlineStr">
        <is>
          <t>SECI</t>
        </is>
      </c>
      <c r="C572" t="inlineStr">
        <is>
          <t>SECI/C&amp;P/OP/11/0001/26-27</t>
        </is>
      </c>
      <c r="D572" t="inlineStr">
        <is>
          <t>Solar</t>
        </is>
      </c>
      <c r="E572" t="n">
        <v>88</v>
      </c>
      <c r="F572" t="inlineStr">
        <is>
          <t>Open</t>
        </is>
      </c>
      <c r="G572" t="inlineStr">
        <is>
          <t>EPC / turnkey / BoS excluded</t>
        </is>
      </c>
      <c r="H572" t="inlineStr">
        <is>
          <t>https://www.seci.co.in/tender-details/Ymd1</t>
        </is>
      </c>
    </row>
    <row r="573">
      <c r="A573" t="inlineStr">
        <is>
          <t>SECI000264</t>
        </is>
      </c>
      <c r="B573" t="inlineStr">
        <is>
          <t>SECI</t>
        </is>
      </c>
      <c r="C573" t="inlineStr">
        <is>
          <t>SECI/C&amp;P/EOI/17/0002/26-27</t>
        </is>
      </c>
      <c r="D573" t="inlineStr">
        <is>
          <t>Other</t>
        </is>
      </c>
      <c r="F573" t="inlineStr">
        <is>
          <t>Open</t>
        </is>
      </c>
      <c r="G573" t="inlineStr">
        <is>
          <t>Capacity not confirmed</t>
        </is>
      </c>
      <c r="H573" t="inlineStr">
        <is>
          <t>https://www.seci.co.in/tender-details/YmRz</t>
        </is>
      </c>
    </row>
    <row r="574">
      <c r="A574" t="inlineStr">
        <is>
          <t>SECI000269</t>
        </is>
      </c>
      <c r="B574" t="inlineStr">
        <is>
          <t>SECI</t>
        </is>
      </c>
      <c r="C574" t="inlineStr">
        <is>
          <t>SECI000269</t>
        </is>
      </c>
      <c r="D574" t="inlineStr">
        <is>
          <t>BESS</t>
        </is>
      </c>
      <c r="E574" t="n">
        <v>40</v>
      </c>
      <c r="F574" t="inlineStr">
        <is>
          <t>Open</t>
        </is>
      </c>
      <c r="G574" t="inlineStr">
        <is>
          <t>Capacity below configured minimum</t>
        </is>
      </c>
      <c r="H574" t="inlineStr">
        <is>
          <t>https://www.seci.co.in/tender-details/YmR-</t>
        </is>
      </c>
    </row>
    <row r="575">
      <c r="B575" t="inlineStr">
        <is>
          <t>NTPC REL</t>
        </is>
      </c>
      <c r="D575" t="inlineStr">
        <is>
          <t>Other</t>
        </is>
      </c>
      <c r="F575" t="inlineStr">
        <is>
          <t>Open</t>
        </is>
      </c>
      <c r="G575" t="inlineStr">
        <is>
          <t>Capacity not confirmed</t>
        </is>
      </c>
      <c r="H575" t="inlineStr">
        <is>
          <t>https://ntpctender.ntpc.co.in/NITDetails/NITs/30260</t>
        </is>
      </c>
    </row>
    <row r="576">
      <c r="B576" t="inlineStr">
        <is>
          <t>NTPC REL</t>
        </is>
      </c>
      <c r="D576" t="inlineStr">
        <is>
          <t>Wind</t>
        </is>
      </c>
      <c r="E576" t="n">
        <v>672</v>
      </c>
      <c r="F576" t="inlineStr">
        <is>
          <t>Corrigendum</t>
        </is>
      </c>
      <c r="G576" t="inlineStr">
        <is>
          <t>Supply / installation excluded</t>
        </is>
      </c>
      <c r="H576" t="inlineStr">
        <is>
          <t>https://ntpctender.ntpc.co.in/NITDetails/NITs/28431</t>
        </is>
      </c>
    </row>
    <row r="577">
      <c r="A577" t="inlineStr">
        <is>
          <t>SECI000281</t>
        </is>
      </c>
      <c r="B577" t="inlineStr">
        <is>
          <t>SECI</t>
        </is>
      </c>
      <c r="C577" t="inlineStr">
        <is>
          <t>SECI/C&amp;P/IPP/11/0008/26-27</t>
        </is>
      </c>
      <c r="D577" t="inlineStr">
        <is>
          <t>Solar</t>
        </is>
      </c>
      <c r="F577" t="inlineStr">
        <is>
          <t>Open</t>
        </is>
      </c>
      <c r="G577" t="inlineStr">
        <is>
          <t>Rooftop solar excluded</t>
        </is>
      </c>
      <c r="H577" t="inlineStr">
        <is>
          <t>https://www.seci.co.in/tender-details/Ymp2</t>
        </is>
      </c>
    </row>
    <row r="578">
      <c r="A578" t="inlineStr">
        <is>
          <t>SECI000279</t>
        </is>
      </c>
      <c r="B578" t="inlineStr">
        <is>
          <t>SECI</t>
        </is>
      </c>
      <c r="C578" t="inlineStr">
        <is>
          <t>SECI/C&amp;P/MI/00/05/2026-27</t>
        </is>
      </c>
      <c r="D578" t="inlineStr">
        <is>
          <t>Solar</t>
        </is>
      </c>
      <c r="F578" t="inlineStr">
        <is>
          <t>Open</t>
        </is>
      </c>
      <c r="G578" t="inlineStr">
        <is>
          <t>Capacity not confirmed</t>
        </is>
      </c>
      <c r="H578" t="inlineStr">
        <is>
          <t>https://www.seci.co.in/tender-details/YmV-</t>
        </is>
      </c>
    </row>
    <row r="579">
      <c r="A579" t="inlineStr">
        <is>
          <t>SECI000270</t>
        </is>
      </c>
      <c r="B579" t="inlineStr">
        <is>
          <t>SECI</t>
        </is>
      </c>
      <c r="C579" t="inlineStr">
        <is>
          <t>SECI/C&amp;P/OP/15/0005/26-27</t>
        </is>
      </c>
      <c r="D579" t="inlineStr">
        <is>
          <t>Solar</t>
        </is>
      </c>
      <c r="F579" t="inlineStr">
        <is>
          <t>Open</t>
        </is>
      </c>
      <c r="G579" t="inlineStr">
        <is>
          <t>Rooftop solar excluded</t>
        </is>
      </c>
      <c r="H579" t="inlineStr">
        <is>
          <t>https://www.seci.co.in/tender-details/YmV3</t>
        </is>
      </c>
    </row>
    <row r="580">
      <c r="A580" t="inlineStr">
        <is>
          <t>SECI000262</t>
        </is>
      </c>
      <c r="B580" t="inlineStr">
        <is>
          <t>SECI</t>
        </is>
      </c>
      <c r="C580" t="inlineStr">
        <is>
          <t>SECI/C&amp;P/OP/11/0002/26-27</t>
        </is>
      </c>
      <c r="D580" t="inlineStr">
        <is>
          <t>Solar + BESS</t>
        </is>
      </c>
      <c r="E580" t="n">
        <v>25</v>
      </c>
      <c r="F580" t="inlineStr">
        <is>
          <t>Open</t>
        </is>
      </c>
      <c r="G580" t="inlineStr">
        <is>
          <t>Capacity below configured minimum</t>
        </is>
      </c>
      <c r="H580" t="inlineStr">
        <is>
          <t>https://www.seci.co.in/tender-details/YmR1</t>
        </is>
      </c>
    </row>
    <row r="581">
      <c r="A581" t="inlineStr">
        <is>
          <t>SECI000274</t>
        </is>
      </c>
      <c r="B581" t="inlineStr">
        <is>
          <t>SECI</t>
        </is>
      </c>
      <c r="C581" t="inlineStr">
        <is>
          <t>SECI/C&amp;P/IPP/15/0008/26-27</t>
        </is>
      </c>
      <c r="D581" t="inlineStr">
        <is>
          <t>Other</t>
        </is>
      </c>
      <c r="E581" t="n">
        <v>50</v>
      </c>
      <c r="F581" t="inlineStr">
        <is>
          <t>Open</t>
        </is>
      </c>
      <c r="G581" t="inlineStr">
        <is>
          <t>Capacity below configured minimum</t>
        </is>
      </c>
      <c r="H581" t="inlineStr">
        <is>
          <t>https://www.seci.co.in/tender-details/YmVz</t>
        </is>
      </c>
    </row>
    <row r="582">
      <c r="A582" t="inlineStr">
        <is>
          <t>SECI000276</t>
        </is>
      </c>
      <c r="B582" t="inlineStr">
        <is>
          <t>SECI</t>
        </is>
      </c>
      <c r="C582" t="inlineStr">
        <is>
          <t>SECI/C&amp;P/OP/15/0006/25-26</t>
        </is>
      </c>
      <c r="D582" t="inlineStr">
        <is>
          <t>Solar</t>
        </is>
      </c>
      <c r="F582" t="inlineStr">
        <is>
          <t>Open</t>
        </is>
      </c>
      <c r="G582" t="inlineStr">
        <is>
          <t>Rooftop solar excluded</t>
        </is>
      </c>
      <c r="H582" t="inlineStr">
        <is>
          <t>https://www.seci.co.in/tender-details/YmVx</t>
        </is>
      </c>
    </row>
    <row r="583">
      <c r="A583" t="inlineStr">
        <is>
          <t>SECI000263</t>
        </is>
      </c>
      <c r="B583" t="inlineStr">
        <is>
          <t>SECI</t>
        </is>
      </c>
      <c r="C583" t="inlineStr">
        <is>
          <t>SECI/C&amp;P/OP/11/0003/26-27</t>
        </is>
      </c>
      <c r="D583" t="inlineStr">
        <is>
          <t>Wind</t>
        </is>
      </c>
      <c r="E583" t="n">
        <v>45.6</v>
      </c>
      <c r="F583" t="inlineStr">
        <is>
          <t>Open</t>
        </is>
      </c>
      <c r="G583" t="inlineStr">
        <is>
          <t>Capacity below configured minimum</t>
        </is>
      </c>
      <c r="H583" t="inlineStr">
        <is>
          <t>https://www.seci.co.in/tender-details/YmR0</t>
        </is>
      </c>
    </row>
    <row r="584">
      <c r="A584" t="inlineStr">
        <is>
          <t>SECI000267</t>
        </is>
      </c>
      <c r="B584" t="inlineStr">
        <is>
          <t>SECI</t>
        </is>
      </c>
      <c r="C584" t="inlineStr">
        <is>
          <t>SECI/C&amp;P/MI/00/0001/26-27</t>
        </is>
      </c>
      <c r="D584" t="inlineStr">
        <is>
          <t>Other</t>
        </is>
      </c>
      <c r="F584" t="inlineStr">
        <is>
          <t>Open</t>
        </is>
      </c>
      <c r="G584" t="inlineStr">
        <is>
          <t>Capacity not confirmed</t>
        </is>
      </c>
      <c r="H584" t="inlineStr">
        <is>
          <t>https://www.seci.co.in/tender-details/YmRw</t>
        </is>
      </c>
    </row>
    <row r="585">
      <c r="A585" t="inlineStr">
        <is>
          <t>SECI000252</t>
        </is>
      </c>
      <c r="B585" t="inlineStr">
        <is>
          <t>SECI</t>
        </is>
      </c>
      <c r="C585" t="inlineStr">
        <is>
          <t>SECI/C&amp;P/OP/11/0001/26-27</t>
        </is>
      </c>
      <c r="D585" t="inlineStr">
        <is>
          <t>Solar</t>
        </is>
      </c>
      <c r="E585" t="n">
        <v>88</v>
      </c>
      <c r="F585" t="inlineStr">
        <is>
          <t>Open</t>
        </is>
      </c>
      <c r="G585" t="inlineStr">
        <is>
          <t>EPC / turnkey / BoS excluded</t>
        </is>
      </c>
      <c r="H585" t="inlineStr">
        <is>
          <t>https://www.seci.co.in/tender-details/Ymd1</t>
        </is>
      </c>
    </row>
    <row r="586">
      <c r="A586" t="inlineStr">
        <is>
          <t>SECI000264</t>
        </is>
      </c>
      <c r="B586" t="inlineStr">
        <is>
          <t>SECI</t>
        </is>
      </c>
      <c r="C586" t="inlineStr">
        <is>
          <t>SECI/C&amp;P/EOI/17/0002/26-27</t>
        </is>
      </c>
      <c r="D586" t="inlineStr">
        <is>
          <t>Other</t>
        </is>
      </c>
      <c r="F586" t="inlineStr">
        <is>
          <t>Open</t>
        </is>
      </c>
      <c r="G586" t="inlineStr">
        <is>
          <t>Capacity not confirmed</t>
        </is>
      </c>
      <c r="H586" t="inlineStr">
        <is>
          <t>https://www.seci.co.in/tender-details/YmRz</t>
        </is>
      </c>
    </row>
    <row r="587">
      <c r="B587" t="inlineStr">
        <is>
          <t>NTPC REL</t>
        </is>
      </c>
      <c r="D587" t="inlineStr">
        <is>
          <t>Other</t>
        </is>
      </c>
      <c r="F587" t="inlineStr">
        <is>
          <t>Open</t>
        </is>
      </c>
      <c r="G587" t="inlineStr">
        <is>
          <t>Capacity not confirmed</t>
        </is>
      </c>
      <c r="H587" t="inlineStr">
        <is>
          <t>https://ntpctender.ntpc.co.in/NITDetails/NITs/30260</t>
        </is>
      </c>
    </row>
    <row r="588">
      <c r="B588" t="inlineStr">
        <is>
          <t>NTPC REL</t>
        </is>
      </c>
      <c r="D588" t="inlineStr">
        <is>
          <t>Wind</t>
        </is>
      </c>
      <c r="E588" t="n">
        <v>672</v>
      </c>
      <c r="F588" t="inlineStr">
        <is>
          <t>Corrigendum</t>
        </is>
      </c>
      <c r="G588" t="inlineStr">
        <is>
          <t>Supply / installation excluded</t>
        </is>
      </c>
      <c r="H588" t="inlineStr">
        <is>
          <t>https://ntpctender.ntpc.co.in/NITDetails/NITs/28431</t>
        </is>
      </c>
    </row>
    <row r="589">
      <c r="B589" t="inlineStr">
        <is>
          <t>MPUVNL</t>
        </is>
      </c>
      <c r="C589" t="inlineStr">
        <is>
          <t>Corrigendum Title Reference No Closing Date Bid Opening Date 1. 2nd extension 1660 25-Sep-2026 03:30 PM 30-Sep-2026 03:30 PM 2. 10th Extension 966/MM-</t>
        </is>
      </c>
      <c r="D589" t="inlineStr">
        <is>
          <t>Solar</t>
        </is>
      </c>
      <c r="F589" t="inlineStr">
        <is>
          <t>Corrigendum</t>
        </is>
      </c>
      <c r="G589" t="inlineStr">
        <is>
          <t>Capacity not confirmed</t>
        </is>
      </c>
      <c r="H589" t="inlineStr">
        <is>
          <t>https://mptenders.gov.in/nicgep/app?component=%24DirectLink_0&amp;page=Home&amp;service=direct&amp;session=T&amp;sp=SMscx0iAWRsOhSq2g2JzV4Q%3D%3D</t>
        </is>
      </c>
    </row>
    <row r="590">
      <c r="B590" t="inlineStr">
        <is>
          <t>MPUVNL</t>
        </is>
      </c>
      <c r="C590" t="inlineStr">
        <is>
          <t>1. 2nd extension 1660 25-Sep-2026 03:30 PM 30-Sep-2026 03:30 PM 2. 10th Extension 966/MM-III 29-Sep-2026 03:00 PM 01-Oct-2026 03:30 PM 3. Second Exten</t>
        </is>
      </c>
      <c r="D590" t="inlineStr">
        <is>
          <t>Solar</t>
        </is>
      </c>
      <c r="F590" t="inlineStr">
        <is>
          <t>Corrigendum</t>
        </is>
      </c>
      <c r="G590" t="inlineStr">
        <is>
          <t>Capacity not confirmed</t>
        </is>
      </c>
      <c r="H590" t="inlineStr">
        <is>
          <t>https://mptenders.gov.in/nicgep/app?component=%24DirectLink_0&amp;page=Home&amp;service=direct&amp;session=T&amp;sp=SMscx0iAWRsOhSq2g2JzV4Q%3D%3D</t>
        </is>
      </c>
    </row>
    <row r="591">
      <c r="B591" t="inlineStr">
        <is>
          <t>MPUVNL</t>
        </is>
      </c>
      <c r="C591" t="inlineStr">
        <is>
          <t>6. Corrigendum 8 for ISB Format</t>
        </is>
      </c>
      <c r="D591" t="inlineStr">
        <is>
          <t>Solar</t>
        </is>
      </c>
      <c r="F591" t="inlineStr">
        <is>
          <t>Corrigendum</t>
        </is>
      </c>
      <c r="G591" t="inlineStr">
        <is>
          <t>Capacity not confirmed</t>
        </is>
      </c>
      <c r="H591" t="inlineStr">
        <is>
          <t>https://mptenders.gov.in/nicgep/app?component=%24DirectLink_0&amp;page=Home&amp;service=direct&amp;session=T&amp;sp=SQ4jF2yiRE%2BpLeVsn0XR3BA%3D%3D</t>
        </is>
      </c>
    </row>
    <row r="592">
      <c r="A592" t="inlineStr">
        <is>
          <t>SECI000281</t>
        </is>
      </c>
      <c r="B592" t="inlineStr">
        <is>
          <t>SECI</t>
        </is>
      </c>
      <c r="C592" t="inlineStr">
        <is>
          <t>SECI/C&amp;P/IPP/11/0008/26-27</t>
        </is>
      </c>
      <c r="D592" t="inlineStr">
        <is>
          <t>Solar</t>
        </is>
      </c>
      <c r="F592" t="inlineStr">
        <is>
          <t>Open</t>
        </is>
      </c>
      <c r="G592" t="inlineStr">
        <is>
          <t>Rooftop solar excluded</t>
        </is>
      </c>
      <c r="H592" t="inlineStr">
        <is>
          <t>https://www.seci.co.in/tender-details/Ymp2</t>
        </is>
      </c>
    </row>
    <row r="593">
      <c r="A593" t="inlineStr">
        <is>
          <t>SECI000279</t>
        </is>
      </c>
      <c r="B593" t="inlineStr">
        <is>
          <t>SECI</t>
        </is>
      </c>
      <c r="C593" t="inlineStr">
        <is>
          <t>SECI/C&amp;P/MI/00/05/2026-27</t>
        </is>
      </c>
      <c r="D593" t="inlineStr">
        <is>
          <t>Solar</t>
        </is>
      </c>
      <c r="F593" t="inlineStr">
        <is>
          <t>Open</t>
        </is>
      </c>
      <c r="G593" t="inlineStr">
        <is>
          <t>Capacity not confirmed</t>
        </is>
      </c>
      <c r="H593" t="inlineStr">
        <is>
          <t>https://www.seci.co.in/tender-details/YmV-</t>
        </is>
      </c>
    </row>
    <row r="594">
      <c r="A594" t="inlineStr">
        <is>
          <t>SECI000270</t>
        </is>
      </c>
      <c r="B594" t="inlineStr">
        <is>
          <t>SECI</t>
        </is>
      </c>
      <c r="C594" t="inlineStr">
        <is>
          <t>SECI/C&amp;P/OP/15/0005/26-27</t>
        </is>
      </c>
      <c r="D594" t="inlineStr">
        <is>
          <t>Solar</t>
        </is>
      </c>
      <c r="F594" t="inlineStr">
        <is>
          <t>Open</t>
        </is>
      </c>
      <c r="G594" t="inlineStr">
        <is>
          <t>Rooftop solar excluded</t>
        </is>
      </c>
      <c r="H594" t="inlineStr">
        <is>
          <t>https://www.seci.co.in/tender-details/YmV3</t>
        </is>
      </c>
    </row>
    <row r="595">
      <c r="A595" t="inlineStr">
        <is>
          <t>SECI000262</t>
        </is>
      </c>
      <c r="B595" t="inlineStr">
        <is>
          <t>SECI</t>
        </is>
      </c>
      <c r="C595" t="inlineStr">
        <is>
          <t>SECI/C&amp;P/OP/11/0002/26-27</t>
        </is>
      </c>
      <c r="D595" t="inlineStr">
        <is>
          <t>Solar + BESS</t>
        </is>
      </c>
      <c r="E595" t="n">
        <v>25</v>
      </c>
      <c r="F595" t="inlineStr">
        <is>
          <t>Open</t>
        </is>
      </c>
      <c r="G595" t="inlineStr">
        <is>
          <t>Capacity below configured minimum</t>
        </is>
      </c>
      <c r="H595" t="inlineStr">
        <is>
          <t>https://www.seci.co.in/tender-details/YmR1</t>
        </is>
      </c>
    </row>
    <row r="596">
      <c r="A596" t="inlineStr">
        <is>
          <t>SECI000274</t>
        </is>
      </c>
      <c r="B596" t="inlineStr">
        <is>
          <t>SECI</t>
        </is>
      </c>
      <c r="C596" t="inlineStr">
        <is>
          <t>SECI/C&amp;P/IPP/15/0008/26-27</t>
        </is>
      </c>
      <c r="D596" t="inlineStr">
        <is>
          <t>Other</t>
        </is>
      </c>
      <c r="E596" t="n">
        <v>50</v>
      </c>
      <c r="F596" t="inlineStr">
        <is>
          <t>Open</t>
        </is>
      </c>
      <c r="G596" t="inlineStr">
        <is>
          <t>Capacity below configured minimum</t>
        </is>
      </c>
      <c r="H596" t="inlineStr">
        <is>
          <t>https://www.seci.co.in/tender-details/YmVz</t>
        </is>
      </c>
    </row>
    <row r="597">
      <c r="A597" t="inlineStr">
        <is>
          <t>SECI000276</t>
        </is>
      </c>
      <c r="B597" t="inlineStr">
        <is>
          <t>SECI</t>
        </is>
      </c>
      <c r="C597" t="inlineStr">
        <is>
          <t>SECI/C&amp;P/OP/15/0006/25-26</t>
        </is>
      </c>
      <c r="D597" t="inlineStr">
        <is>
          <t>Solar</t>
        </is>
      </c>
      <c r="F597" t="inlineStr">
        <is>
          <t>Open</t>
        </is>
      </c>
      <c r="G597" t="inlineStr">
        <is>
          <t>Rooftop solar excluded</t>
        </is>
      </c>
      <c r="H597" t="inlineStr">
        <is>
          <t>https://www.seci.co.in/tender-details/YmVx</t>
        </is>
      </c>
    </row>
    <row r="598">
      <c r="A598" t="inlineStr">
        <is>
          <t>SECI000263</t>
        </is>
      </c>
      <c r="B598" t="inlineStr">
        <is>
          <t>SECI</t>
        </is>
      </c>
      <c r="C598" t="inlineStr">
        <is>
          <t>SECI/C&amp;P/OP/11/0003/26-27</t>
        </is>
      </c>
      <c r="D598" t="inlineStr">
        <is>
          <t>Wind</t>
        </is>
      </c>
      <c r="E598" t="n">
        <v>45.6</v>
      </c>
      <c r="F598" t="inlineStr">
        <is>
          <t>Open</t>
        </is>
      </c>
      <c r="G598" t="inlineStr">
        <is>
          <t>Capacity below configured minimum</t>
        </is>
      </c>
      <c r="H598" t="inlineStr">
        <is>
          <t>https://www.seci.co.in/tender-details/YmR0</t>
        </is>
      </c>
    </row>
    <row r="599">
      <c r="A599" t="inlineStr">
        <is>
          <t>SECI000267</t>
        </is>
      </c>
      <c r="B599" t="inlineStr">
        <is>
          <t>SECI</t>
        </is>
      </c>
      <c r="C599" t="inlineStr">
        <is>
          <t>SECI/C&amp;P/MI/00/0001/26-27</t>
        </is>
      </c>
      <c r="D599" t="inlineStr">
        <is>
          <t>Other</t>
        </is>
      </c>
      <c r="F599" t="inlineStr">
        <is>
          <t>Open</t>
        </is>
      </c>
      <c r="G599" t="inlineStr">
        <is>
          <t>Capacity not confirmed</t>
        </is>
      </c>
      <c r="H599" t="inlineStr">
        <is>
          <t>https://www.seci.co.in/tender-details/YmRw</t>
        </is>
      </c>
    </row>
    <row r="600">
      <c r="A600" t="inlineStr">
        <is>
          <t>SECI000252</t>
        </is>
      </c>
      <c r="B600" t="inlineStr">
        <is>
          <t>SECI</t>
        </is>
      </c>
      <c r="C600" t="inlineStr">
        <is>
          <t>SECI/C&amp;P/OP/11/0001/26-27</t>
        </is>
      </c>
      <c r="D600" t="inlineStr">
        <is>
          <t>Solar</t>
        </is>
      </c>
      <c r="E600" t="n">
        <v>88</v>
      </c>
      <c r="F600" t="inlineStr">
        <is>
          <t>Open</t>
        </is>
      </c>
      <c r="G600" t="inlineStr">
        <is>
          <t>EPC / turnkey / BoS excluded</t>
        </is>
      </c>
      <c r="H600" t="inlineStr">
        <is>
          <t>https://www.seci.co.in/tender-details/Ymd1</t>
        </is>
      </c>
    </row>
    <row r="601">
      <c r="A601" t="inlineStr">
        <is>
          <t>SECI000264</t>
        </is>
      </c>
      <c r="B601" t="inlineStr">
        <is>
          <t>SECI</t>
        </is>
      </c>
      <c r="C601" t="inlineStr">
        <is>
          <t>SECI/C&amp;P/EOI/17/0002/26-27</t>
        </is>
      </c>
      <c r="D601" t="inlineStr">
        <is>
          <t>Other</t>
        </is>
      </c>
      <c r="F601" t="inlineStr">
        <is>
          <t>Open</t>
        </is>
      </c>
      <c r="G601" t="inlineStr">
        <is>
          <t>Capacity not confirmed</t>
        </is>
      </c>
      <c r="H601" t="inlineStr">
        <is>
          <t>https://www.seci.co.in/tender-details/YmRz</t>
        </is>
      </c>
    </row>
    <row r="602">
      <c r="B602" t="inlineStr">
        <is>
          <t>NTPC REL</t>
        </is>
      </c>
      <c r="D602" t="inlineStr">
        <is>
          <t>Other</t>
        </is>
      </c>
      <c r="F602" t="inlineStr">
        <is>
          <t>Open</t>
        </is>
      </c>
      <c r="G602" t="inlineStr">
        <is>
          <t>Capacity not confirmed</t>
        </is>
      </c>
      <c r="H602" t="inlineStr">
        <is>
          <t>https://ntpctender.ntpc.co.in/NITDetails/NITs/30260</t>
        </is>
      </c>
    </row>
    <row r="603">
      <c r="B603" t="inlineStr">
        <is>
          <t>NTPC REL</t>
        </is>
      </c>
      <c r="D603" t="inlineStr">
        <is>
          <t>Wind</t>
        </is>
      </c>
      <c r="E603" t="n">
        <v>672</v>
      </c>
      <c r="F603" t="inlineStr">
        <is>
          <t>Corrigendum</t>
        </is>
      </c>
      <c r="G603" t="inlineStr">
        <is>
          <t>Supply / installation excluded</t>
        </is>
      </c>
      <c r="H603" t="inlineStr">
        <is>
          <t>https://ntpctender.ntpc.co.in/NITDetails/NITs/28431</t>
        </is>
      </c>
    </row>
    <row r="604">
      <c r="A604" t="inlineStr">
        <is>
          <t>SECI000281</t>
        </is>
      </c>
      <c r="B604" t="inlineStr">
        <is>
          <t>SECI</t>
        </is>
      </c>
      <c r="C604" t="inlineStr">
        <is>
          <t>SECI/C&amp;P/IPP/11/0008/26-27</t>
        </is>
      </c>
      <c r="D604" t="inlineStr">
        <is>
          <t>Solar</t>
        </is>
      </c>
      <c r="F604" t="inlineStr">
        <is>
          <t>Open</t>
        </is>
      </c>
      <c r="G604" t="inlineStr">
        <is>
          <t>Rooftop solar excluded</t>
        </is>
      </c>
      <c r="H604" t="inlineStr">
        <is>
          <t>https://www.seci.co.in/tender-details/Ymp2</t>
        </is>
      </c>
    </row>
    <row r="605">
      <c r="A605" t="inlineStr">
        <is>
          <t>SECI000279</t>
        </is>
      </c>
      <c r="B605" t="inlineStr">
        <is>
          <t>SECI</t>
        </is>
      </c>
      <c r="C605" t="inlineStr">
        <is>
          <t>SECI/C&amp;P/MI/00/05/2026-27</t>
        </is>
      </c>
      <c r="D605" t="inlineStr">
        <is>
          <t>Solar</t>
        </is>
      </c>
      <c r="F605" t="inlineStr">
        <is>
          <t>Open</t>
        </is>
      </c>
      <c r="G605" t="inlineStr">
        <is>
          <t>Capacity not confirmed</t>
        </is>
      </c>
      <c r="H605" t="inlineStr">
        <is>
          <t>https://www.seci.co.in/tender-details/YmV-</t>
        </is>
      </c>
    </row>
    <row r="606">
      <c r="A606" t="inlineStr">
        <is>
          <t>SECI000270</t>
        </is>
      </c>
      <c r="B606" t="inlineStr">
        <is>
          <t>SECI</t>
        </is>
      </c>
      <c r="C606" t="inlineStr">
        <is>
          <t>SECI/C&amp;P/OP/15/0005/26-27</t>
        </is>
      </c>
      <c r="D606" t="inlineStr">
        <is>
          <t>Solar</t>
        </is>
      </c>
      <c r="F606" t="inlineStr">
        <is>
          <t>Open</t>
        </is>
      </c>
      <c r="G606" t="inlineStr">
        <is>
          <t>Rooftop solar excluded</t>
        </is>
      </c>
      <c r="H606" t="inlineStr">
        <is>
          <t>https://www.seci.co.in/tender-details/YmV3</t>
        </is>
      </c>
    </row>
    <row r="607">
      <c r="A607" t="inlineStr">
        <is>
          <t>SECI000262</t>
        </is>
      </c>
      <c r="B607" t="inlineStr">
        <is>
          <t>SECI</t>
        </is>
      </c>
      <c r="C607" t="inlineStr">
        <is>
          <t>SECI/C&amp;P/OP/11/0002/26-27</t>
        </is>
      </c>
      <c r="D607" t="inlineStr">
        <is>
          <t>Solar + BESS</t>
        </is>
      </c>
      <c r="E607" t="n">
        <v>25</v>
      </c>
      <c r="F607" t="inlineStr">
        <is>
          <t>Open</t>
        </is>
      </c>
      <c r="G607" t="inlineStr">
        <is>
          <t>Capacity below configured minimum</t>
        </is>
      </c>
      <c r="H607" t="inlineStr">
        <is>
          <t>https://www.seci.co.in/tender-details/YmR1</t>
        </is>
      </c>
    </row>
    <row r="608">
      <c r="A608" t="inlineStr">
        <is>
          <t>SECI000274</t>
        </is>
      </c>
      <c r="B608" t="inlineStr">
        <is>
          <t>SECI</t>
        </is>
      </c>
      <c r="C608" t="inlineStr">
        <is>
          <t>SECI/C&amp;P/IPP/15/0008/26-27</t>
        </is>
      </c>
      <c r="D608" t="inlineStr">
        <is>
          <t>Other</t>
        </is>
      </c>
      <c r="E608" t="n">
        <v>50</v>
      </c>
      <c r="F608" t="inlineStr">
        <is>
          <t>Open</t>
        </is>
      </c>
      <c r="G608" t="inlineStr">
        <is>
          <t>Capacity below configured minimum</t>
        </is>
      </c>
      <c r="H608" t="inlineStr">
        <is>
          <t>https://www.seci.co.in/tender-details/YmVz</t>
        </is>
      </c>
    </row>
    <row r="609">
      <c r="A609" t="inlineStr">
        <is>
          <t>SECI000276</t>
        </is>
      </c>
      <c r="B609" t="inlineStr">
        <is>
          <t>SECI</t>
        </is>
      </c>
      <c r="C609" t="inlineStr">
        <is>
          <t>SECI/C&amp;P/OP/15/0006/25-26</t>
        </is>
      </c>
      <c r="D609" t="inlineStr">
        <is>
          <t>Solar</t>
        </is>
      </c>
      <c r="F609" t="inlineStr">
        <is>
          <t>Open</t>
        </is>
      </c>
      <c r="G609" t="inlineStr">
        <is>
          <t>Rooftop solar excluded</t>
        </is>
      </c>
      <c r="H609" t="inlineStr">
        <is>
          <t>https://www.seci.co.in/tender-details/YmVx</t>
        </is>
      </c>
    </row>
    <row r="610">
      <c r="A610" t="inlineStr">
        <is>
          <t>SECI000263</t>
        </is>
      </c>
      <c r="B610" t="inlineStr">
        <is>
          <t>SECI</t>
        </is>
      </c>
      <c r="C610" t="inlineStr">
        <is>
          <t>SECI/C&amp;P/OP/11/0003/26-27</t>
        </is>
      </c>
      <c r="D610" t="inlineStr">
        <is>
          <t>Wind</t>
        </is>
      </c>
      <c r="E610" t="n">
        <v>45.6</v>
      </c>
      <c r="F610" t="inlineStr">
        <is>
          <t>Open</t>
        </is>
      </c>
      <c r="G610" t="inlineStr">
        <is>
          <t>Capacity below configured minimum</t>
        </is>
      </c>
      <c r="H610" t="inlineStr">
        <is>
          <t>https://www.seci.co.in/tender-details/YmR0</t>
        </is>
      </c>
    </row>
    <row r="611">
      <c r="A611" t="inlineStr">
        <is>
          <t>SECI000267</t>
        </is>
      </c>
      <c r="B611" t="inlineStr">
        <is>
          <t>SECI</t>
        </is>
      </c>
      <c r="C611" t="inlineStr">
        <is>
          <t>SECI/C&amp;P/MI/00/0001/26-27</t>
        </is>
      </c>
      <c r="D611" t="inlineStr">
        <is>
          <t>Other</t>
        </is>
      </c>
      <c r="F611" t="inlineStr">
        <is>
          <t>Open</t>
        </is>
      </c>
      <c r="G611" t="inlineStr">
        <is>
          <t>Capacity not confirmed</t>
        </is>
      </c>
      <c r="H611" t="inlineStr">
        <is>
          <t>https://www.seci.co.in/tender-details/YmRw</t>
        </is>
      </c>
    </row>
    <row r="612">
      <c r="A612" t="inlineStr">
        <is>
          <t>SECI000252</t>
        </is>
      </c>
      <c r="B612" t="inlineStr">
        <is>
          <t>SECI</t>
        </is>
      </c>
      <c r="C612" t="inlineStr">
        <is>
          <t>SECI/C&amp;P/OP/11/0001/26-27</t>
        </is>
      </c>
      <c r="D612" t="inlineStr">
        <is>
          <t>Solar</t>
        </is>
      </c>
      <c r="E612" t="n">
        <v>88</v>
      </c>
      <c r="F612" t="inlineStr">
        <is>
          <t>Open</t>
        </is>
      </c>
      <c r="G612" t="inlineStr">
        <is>
          <t>EPC / turnkey / BoS excluded</t>
        </is>
      </c>
      <c r="H612" t="inlineStr">
        <is>
          <t>https://www.seci.co.in/tender-details/Ymd1</t>
        </is>
      </c>
    </row>
    <row r="613">
      <c r="A613" t="inlineStr">
        <is>
          <t>SECI000264</t>
        </is>
      </c>
      <c r="B613" t="inlineStr">
        <is>
          <t>SECI</t>
        </is>
      </c>
      <c r="C613" t="inlineStr">
        <is>
          <t>SECI/C&amp;P/EOI/17/0002/26-27</t>
        </is>
      </c>
      <c r="D613" t="inlineStr">
        <is>
          <t>Other</t>
        </is>
      </c>
      <c r="F613" t="inlineStr">
        <is>
          <t>Open</t>
        </is>
      </c>
      <c r="G613" t="inlineStr">
        <is>
          <t>Capacity not confirmed</t>
        </is>
      </c>
      <c r="H613" t="inlineStr">
        <is>
          <t>https://www.seci.co.in/tender-details/YmRz</t>
        </is>
      </c>
    </row>
    <row r="614">
      <c r="B614" t="inlineStr">
        <is>
          <t>NTPC REL</t>
        </is>
      </c>
      <c r="D614" t="inlineStr">
        <is>
          <t>Other</t>
        </is>
      </c>
      <c r="F614" t="inlineStr">
        <is>
          <t>Open</t>
        </is>
      </c>
      <c r="G614" t="inlineStr">
        <is>
          <t>Capacity not confirmed</t>
        </is>
      </c>
      <c r="H614" t="inlineStr">
        <is>
          <t>https://ntpctender.ntpc.co.in/NITDetails/NITs/30260</t>
        </is>
      </c>
    </row>
    <row r="615">
      <c r="B615" t="inlineStr">
        <is>
          <t>NTPC REL</t>
        </is>
      </c>
      <c r="D615" t="inlineStr">
        <is>
          <t>Wind</t>
        </is>
      </c>
      <c r="E615" t="n">
        <v>672</v>
      </c>
      <c r="F615" t="inlineStr">
        <is>
          <t>Corrigendum</t>
        </is>
      </c>
      <c r="G615" t="inlineStr">
        <is>
          <t>Supply / installation excluded</t>
        </is>
      </c>
      <c r="H615" t="inlineStr">
        <is>
          <t>https://ntpctender.ntpc.co.in/NITDetails/NITs/28431</t>
        </is>
      </c>
    </row>
    <row r="616">
      <c r="A616" t="inlineStr">
        <is>
          <t>SECI000281</t>
        </is>
      </c>
      <c r="B616" t="inlineStr">
        <is>
          <t>SECI</t>
        </is>
      </c>
      <c r="C616" t="inlineStr">
        <is>
          <t>SECI/C&amp;P/IPP/11/0008/26-27</t>
        </is>
      </c>
      <c r="D616" t="inlineStr">
        <is>
          <t>Solar</t>
        </is>
      </c>
      <c r="F616" t="inlineStr">
        <is>
          <t>Open</t>
        </is>
      </c>
      <c r="G616" t="inlineStr">
        <is>
          <t>Rooftop solar excluded</t>
        </is>
      </c>
      <c r="H616" t="inlineStr">
        <is>
          <t>https://www.seci.co.in/tender-details/Ymp2</t>
        </is>
      </c>
    </row>
    <row r="617">
      <c r="A617" t="inlineStr">
        <is>
          <t>SECI000279</t>
        </is>
      </c>
      <c r="B617" t="inlineStr">
        <is>
          <t>SECI</t>
        </is>
      </c>
      <c r="C617" t="inlineStr">
        <is>
          <t>SECI/C&amp;P/MI/00/05/2026-27</t>
        </is>
      </c>
      <c r="D617" t="inlineStr">
        <is>
          <t>Solar</t>
        </is>
      </c>
      <c r="F617" t="inlineStr">
        <is>
          <t>Open</t>
        </is>
      </c>
      <c r="G617" t="inlineStr">
        <is>
          <t>Capacity not confirmed</t>
        </is>
      </c>
      <c r="H617" t="inlineStr">
        <is>
          <t>https://www.seci.co.in/tender-details/YmV-</t>
        </is>
      </c>
    </row>
    <row r="618">
      <c r="A618" t="inlineStr">
        <is>
          <t>SECI000270</t>
        </is>
      </c>
      <c r="B618" t="inlineStr">
        <is>
          <t>SECI</t>
        </is>
      </c>
      <c r="C618" t="inlineStr">
        <is>
          <t>SECI/C&amp;P/OP/15/0005/26-27</t>
        </is>
      </c>
      <c r="D618" t="inlineStr">
        <is>
          <t>Solar</t>
        </is>
      </c>
      <c r="F618" t="inlineStr">
        <is>
          <t>Open</t>
        </is>
      </c>
      <c r="G618" t="inlineStr">
        <is>
          <t>Rooftop solar excluded</t>
        </is>
      </c>
      <c r="H618" t="inlineStr">
        <is>
          <t>https://www.seci.co.in/tender-details/YmV3</t>
        </is>
      </c>
    </row>
    <row r="619">
      <c r="A619" t="inlineStr">
        <is>
          <t>SECI000262</t>
        </is>
      </c>
      <c r="B619" t="inlineStr">
        <is>
          <t>SECI</t>
        </is>
      </c>
      <c r="C619" t="inlineStr">
        <is>
          <t>SECI/C&amp;P/OP/11/0002/26-27</t>
        </is>
      </c>
      <c r="D619" t="inlineStr">
        <is>
          <t>Solar + BESS</t>
        </is>
      </c>
      <c r="E619" t="n">
        <v>25</v>
      </c>
      <c r="F619" t="inlineStr">
        <is>
          <t>Open</t>
        </is>
      </c>
      <c r="G619" t="inlineStr">
        <is>
          <t>Capacity below configured minimum</t>
        </is>
      </c>
      <c r="H619" t="inlineStr">
        <is>
          <t>https://www.seci.co.in/tender-details/YmR1</t>
        </is>
      </c>
    </row>
    <row r="620">
      <c r="A620" t="inlineStr">
        <is>
          <t>SECI000274</t>
        </is>
      </c>
      <c r="B620" t="inlineStr">
        <is>
          <t>SECI</t>
        </is>
      </c>
      <c r="C620" t="inlineStr">
        <is>
          <t>SECI/C&amp;P/IPP/15/0008/26-27</t>
        </is>
      </c>
      <c r="D620" t="inlineStr">
        <is>
          <t>Other</t>
        </is>
      </c>
      <c r="E620" t="n">
        <v>50</v>
      </c>
      <c r="F620" t="inlineStr">
        <is>
          <t>Open</t>
        </is>
      </c>
      <c r="G620" t="inlineStr">
        <is>
          <t>Capacity below configured minimum</t>
        </is>
      </c>
      <c r="H620" t="inlineStr">
        <is>
          <t>https://www.seci.co.in/tender-details/YmVz</t>
        </is>
      </c>
    </row>
    <row r="621">
      <c r="A621" t="inlineStr">
        <is>
          <t>SECI000276</t>
        </is>
      </c>
      <c r="B621" t="inlineStr">
        <is>
          <t>SECI</t>
        </is>
      </c>
      <c r="C621" t="inlineStr">
        <is>
          <t>SECI/C&amp;P/OP/15/0006/25-26</t>
        </is>
      </c>
      <c r="D621" t="inlineStr">
        <is>
          <t>Solar</t>
        </is>
      </c>
      <c r="F621" t="inlineStr">
        <is>
          <t>Open</t>
        </is>
      </c>
      <c r="G621" t="inlineStr">
        <is>
          <t>Rooftop solar excluded</t>
        </is>
      </c>
      <c r="H621" t="inlineStr">
        <is>
          <t>https://www.seci.co.in/tender-details/YmVx</t>
        </is>
      </c>
    </row>
    <row r="622">
      <c r="A622" t="inlineStr">
        <is>
          <t>SECI000263</t>
        </is>
      </c>
      <c r="B622" t="inlineStr">
        <is>
          <t>SECI</t>
        </is>
      </c>
      <c r="C622" t="inlineStr">
        <is>
          <t>SECI/C&amp;P/OP/11/0003/26-27</t>
        </is>
      </c>
      <c r="D622" t="inlineStr">
        <is>
          <t>Wind</t>
        </is>
      </c>
      <c r="E622" t="n">
        <v>45.6</v>
      </c>
      <c r="F622" t="inlineStr">
        <is>
          <t>Open</t>
        </is>
      </c>
      <c r="G622" t="inlineStr">
        <is>
          <t>Capacity below configured minimum</t>
        </is>
      </c>
      <c r="H622" t="inlineStr">
        <is>
          <t>https://www.seci.co.in/tender-details/YmR0</t>
        </is>
      </c>
    </row>
    <row r="623">
      <c r="A623" t="inlineStr">
        <is>
          <t>SECI000267</t>
        </is>
      </c>
      <c r="B623" t="inlineStr">
        <is>
          <t>SECI</t>
        </is>
      </c>
      <c r="C623" t="inlineStr">
        <is>
          <t>SECI/C&amp;P/MI/00/0001/26-27</t>
        </is>
      </c>
      <c r="D623" t="inlineStr">
        <is>
          <t>Other</t>
        </is>
      </c>
      <c r="F623" t="inlineStr">
        <is>
          <t>Open</t>
        </is>
      </c>
      <c r="G623" t="inlineStr">
        <is>
          <t>Capacity not confirmed</t>
        </is>
      </c>
      <c r="H623" t="inlineStr">
        <is>
          <t>https://www.seci.co.in/tender-details/YmRw</t>
        </is>
      </c>
    </row>
    <row r="624">
      <c r="A624" t="inlineStr">
        <is>
          <t>SECI000252</t>
        </is>
      </c>
      <c r="B624" t="inlineStr">
        <is>
          <t>SECI</t>
        </is>
      </c>
      <c r="C624" t="inlineStr">
        <is>
          <t>SECI/C&amp;P/OP/11/0001/26-27</t>
        </is>
      </c>
      <c r="D624" t="inlineStr">
        <is>
          <t>Solar</t>
        </is>
      </c>
      <c r="E624" t="n">
        <v>88</v>
      </c>
      <c r="F624" t="inlineStr">
        <is>
          <t>Open</t>
        </is>
      </c>
      <c r="G624" t="inlineStr">
        <is>
          <t>EPC / turnkey / BoS excluded</t>
        </is>
      </c>
      <c r="H624" t="inlineStr">
        <is>
          <t>https://www.seci.co.in/tender-details/Ymd1</t>
        </is>
      </c>
    </row>
    <row r="625">
      <c r="A625" t="inlineStr">
        <is>
          <t>SECI000264</t>
        </is>
      </c>
      <c r="B625" t="inlineStr">
        <is>
          <t>SECI</t>
        </is>
      </c>
      <c r="C625" t="inlineStr">
        <is>
          <t>SECI/C&amp;P/EOI/17/0002/26-27</t>
        </is>
      </c>
      <c r="D625" t="inlineStr">
        <is>
          <t>Other</t>
        </is>
      </c>
      <c r="F625" t="inlineStr">
        <is>
          <t>Open</t>
        </is>
      </c>
      <c r="G625" t="inlineStr">
        <is>
          <t>Capacity not confirmed</t>
        </is>
      </c>
      <c r="H625" t="inlineStr">
        <is>
          <t>https://www.seci.co.in/tender-details/YmRz</t>
        </is>
      </c>
    </row>
    <row r="626">
      <c r="B626" t="inlineStr">
        <is>
          <t>NTPC REL</t>
        </is>
      </c>
      <c r="D626" t="inlineStr">
        <is>
          <t>Wind</t>
        </is>
      </c>
      <c r="F626" t="inlineStr">
        <is>
          <t>Open</t>
        </is>
      </c>
      <c r="G626" t="inlineStr">
        <is>
          <t>Capacity not confirmed</t>
        </is>
      </c>
      <c r="H626" t="inlineStr">
        <is>
          <t>https://ntpctender.ntpc.co.in/NITDetails/NITs/30281</t>
        </is>
      </c>
    </row>
    <row r="627">
      <c r="B627" t="inlineStr">
        <is>
          <t>NTPC REL</t>
        </is>
      </c>
      <c r="D627" t="inlineStr">
        <is>
          <t>Wind</t>
        </is>
      </c>
      <c r="E627" t="n">
        <v>600</v>
      </c>
      <c r="F627" t="inlineStr">
        <is>
          <t>Open</t>
        </is>
      </c>
      <c r="G627" t="inlineStr">
        <is>
          <t>Supply / installation excluded</t>
        </is>
      </c>
      <c r="H627" t="inlineStr">
        <is>
          <t>https://ntpctender.ntpc.co.in/NITDetails/NITs/30277</t>
        </is>
      </c>
    </row>
    <row r="628">
      <c r="B628" t="inlineStr">
        <is>
          <t>NTPC REL</t>
        </is>
      </c>
      <c r="D628" t="inlineStr">
        <is>
          <t>Other</t>
        </is>
      </c>
      <c r="F628" t="inlineStr">
        <is>
          <t>Open</t>
        </is>
      </c>
      <c r="G628" t="inlineStr">
        <is>
          <t>Capacity not confirmed</t>
        </is>
      </c>
      <c r="H628" t="inlineStr">
        <is>
          <t>https://ntpctender.ntpc.co.in/NITDetails/NITs/30260</t>
        </is>
      </c>
    </row>
    <row r="629">
      <c r="A629" t="inlineStr">
        <is>
          <t>SECI000281</t>
        </is>
      </c>
      <c r="B629" t="inlineStr">
        <is>
          <t>SECI</t>
        </is>
      </c>
      <c r="C629" t="inlineStr">
        <is>
          <t>SECI/C&amp;P/IPP/11/0008/26-27</t>
        </is>
      </c>
      <c r="D629" t="inlineStr">
        <is>
          <t>Solar</t>
        </is>
      </c>
      <c r="F629" t="inlineStr">
        <is>
          <t>Open</t>
        </is>
      </c>
      <c r="G629" t="inlineStr">
        <is>
          <t>Rooftop solar excluded</t>
        </is>
      </c>
      <c r="H629" t="inlineStr">
        <is>
          <t>https://www.seci.co.in/tender-details/Ymp2</t>
        </is>
      </c>
    </row>
    <row r="630">
      <c r="A630" t="inlineStr">
        <is>
          <t>SECI000279</t>
        </is>
      </c>
      <c r="B630" t="inlineStr">
        <is>
          <t>SECI</t>
        </is>
      </c>
      <c r="C630" t="inlineStr">
        <is>
          <t>SECI/C&amp;P/MI/00/05/2026-27</t>
        </is>
      </c>
      <c r="D630" t="inlineStr">
        <is>
          <t>Solar</t>
        </is>
      </c>
      <c r="F630" t="inlineStr">
        <is>
          <t>Open</t>
        </is>
      </c>
      <c r="G630" t="inlineStr">
        <is>
          <t>Capacity not confirmed</t>
        </is>
      </c>
      <c r="H630" t="inlineStr">
        <is>
          <t>https://www.seci.co.in/tender-details/YmV-</t>
        </is>
      </c>
    </row>
    <row r="631">
      <c r="A631" t="inlineStr">
        <is>
          <t>SECI000270</t>
        </is>
      </c>
      <c r="B631" t="inlineStr">
        <is>
          <t>SECI</t>
        </is>
      </c>
      <c r="C631" t="inlineStr">
        <is>
          <t>SECI/C&amp;P/OP/15/0005/26-27</t>
        </is>
      </c>
      <c r="D631" t="inlineStr">
        <is>
          <t>Solar</t>
        </is>
      </c>
      <c r="F631" t="inlineStr">
        <is>
          <t>Open</t>
        </is>
      </c>
      <c r="G631" t="inlineStr">
        <is>
          <t>Rooftop solar excluded</t>
        </is>
      </c>
      <c r="H631" t="inlineStr">
        <is>
          <t>https://www.seci.co.in/tender-details/YmV3</t>
        </is>
      </c>
    </row>
    <row r="632">
      <c r="A632" t="inlineStr">
        <is>
          <t>SECI000262</t>
        </is>
      </c>
      <c r="B632" t="inlineStr">
        <is>
          <t>SECI</t>
        </is>
      </c>
      <c r="C632" t="inlineStr">
        <is>
          <t>SECI/C&amp;P/OP/11/0002/26-27</t>
        </is>
      </c>
      <c r="D632" t="inlineStr">
        <is>
          <t>Solar + BESS</t>
        </is>
      </c>
      <c r="E632" t="n">
        <v>25</v>
      </c>
      <c r="F632" t="inlineStr">
        <is>
          <t>Open</t>
        </is>
      </c>
      <c r="G632" t="inlineStr">
        <is>
          <t>Capacity below configured minimum</t>
        </is>
      </c>
      <c r="H632" t="inlineStr">
        <is>
          <t>https://www.seci.co.in/tender-details/YmR1</t>
        </is>
      </c>
    </row>
    <row r="633">
      <c r="A633" t="inlineStr">
        <is>
          <t>SECI000274</t>
        </is>
      </c>
      <c r="B633" t="inlineStr">
        <is>
          <t>SECI</t>
        </is>
      </c>
      <c r="C633" t="inlineStr">
        <is>
          <t>SECI/C&amp;P/IPP/15/0008/26-27</t>
        </is>
      </c>
      <c r="D633" t="inlineStr">
        <is>
          <t>Other</t>
        </is>
      </c>
      <c r="E633" t="n">
        <v>50</v>
      </c>
      <c r="F633" t="inlineStr">
        <is>
          <t>Open</t>
        </is>
      </c>
      <c r="G633" t="inlineStr">
        <is>
          <t>Capacity below configured minimum</t>
        </is>
      </c>
      <c r="H633" t="inlineStr">
        <is>
          <t>https://www.seci.co.in/tender-details/YmVz</t>
        </is>
      </c>
    </row>
    <row r="634">
      <c r="A634" t="inlineStr">
        <is>
          <t>SECI000276</t>
        </is>
      </c>
      <c r="B634" t="inlineStr">
        <is>
          <t>SECI</t>
        </is>
      </c>
      <c r="C634" t="inlineStr">
        <is>
          <t>SECI/C&amp;P/OP/15/0006/25-26</t>
        </is>
      </c>
      <c r="D634" t="inlineStr">
        <is>
          <t>Solar</t>
        </is>
      </c>
      <c r="F634" t="inlineStr">
        <is>
          <t>Open</t>
        </is>
      </c>
      <c r="G634" t="inlineStr">
        <is>
          <t>Rooftop solar excluded</t>
        </is>
      </c>
      <c r="H634" t="inlineStr">
        <is>
          <t>https://www.seci.co.in/tender-details/YmVx</t>
        </is>
      </c>
    </row>
    <row r="635">
      <c r="A635" t="inlineStr">
        <is>
          <t>SECI000267</t>
        </is>
      </c>
      <c r="B635" t="inlineStr">
        <is>
          <t>SECI</t>
        </is>
      </c>
      <c r="C635" t="inlineStr">
        <is>
          <t>SECI/C&amp;P/MI/00/0001/26-27</t>
        </is>
      </c>
      <c r="D635" t="inlineStr">
        <is>
          <t>Other</t>
        </is>
      </c>
      <c r="F635" t="inlineStr">
        <is>
          <t>Open</t>
        </is>
      </c>
      <c r="G635" t="inlineStr">
        <is>
          <t>Capacity not confirmed</t>
        </is>
      </c>
      <c r="H635" t="inlineStr">
        <is>
          <t>https://www.seci.co.in/tender-details/YmRw</t>
        </is>
      </c>
    </row>
    <row r="636">
      <c r="A636" t="inlineStr">
        <is>
          <t>SECI000263</t>
        </is>
      </c>
      <c r="B636" t="inlineStr">
        <is>
          <t>SECI</t>
        </is>
      </c>
      <c r="C636" t="inlineStr">
        <is>
          <t>SECI/C&amp;P/OP/11/0003/26-27</t>
        </is>
      </c>
      <c r="D636" t="inlineStr">
        <is>
          <t>Wind</t>
        </is>
      </c>
      <c r="E636" t="n">
        <v>45.6</v>
      </c>
      <c r="F636" t="inlineStr">
        <is>
          <t>Open</t>
        </is>
      </c>
      <c r="G636" t="inlineStr">
        <is>
          <t>Capacity below configured minimum</t>
        </is>
      </c>
      <c r="H636" t="inlineStr">
        <is>
          <t>https://www.seci.co.in/tender-details/YmR0</t>
        </is>
      </c>
    </row>
    <row r="637">
      <c r="A637" t="inlineStr">
        <is>
          <t>SECI000252</t>
        </is>
      </c>
      <c r="B637" t="inlineStr">
        <is>
          <t>SECI</t>
        </is>
      </c>
      <c r="C637" t="inlineStr">
        <is>
          <t>SECI/C&amp;P/OP/11/0001/26-27</t>
        </is>
      </c>
      <c r="D637" t="inlineStr">
        <is>
          <t>Solar</t>
        </is>
      </c>
      <c r="E637" t="n">
        <v>88</v>
      </c>
      <c r="F637" t="inlineStr">
        <is>
          <t>Open</t>
        </is>
      </c>
      <c r="G637" t="inlineStr">
        <is>
          <t>EPC / turnkey / BoS excluded</t>
        </is>
      </c>
      <c r="H637" t="inlineStr">
        <is>
          <t>https://www.seci.co.in/tender-details/Ymd1</t>
        </is>
      </c>
    </row>
    <row r="638">
      <c r="A638" t="inlineStr">
        <is>
          <t>SECI000264</t>
        </is>
      </c>
      <c r="B638" t="inlineStr">
        <is>
          <t>SECI</t>
        </is>
      </c>
      <c r="C638" t="inlineStr">
        <is>
          <t>SECI/C&amp;P/EOI/17/0002/26-27</t>
        </is>
      </c>
      <c r="D638" t="inlineStr">
        <is>
          <t>Other</t>
        </is>
      </c>
      <c r="F638" t="inlineStr">
        <is>
          <t>Open</t>
        </is>
      </c>
      <c r="G638" t="inlineStr">
        <is>
          <t>Capacity not confirmed</t>
        </is>
      </c>
      <c r="H638" t="inlineStr">
        <is>
          <t>https://www.seci.co.in/tender-details/YmRz</t>
        </is>
      </c>
    </row>
    <row r="639">
      <c r="A639" t="inlineStr">
        <is>
          <t>SECI000269</t>
        </is>
      </c>
      <c r="B639" t="inlineStr">
        <is>
          <t>SECI</t>
        </is>
      </c>
      <c r="C639" t="inlineStr">
        <is>
          <t>SECI000269</t>
        </is>
      </c>
      <c r="D639" t="inlineStr">
        <is>
          <t>BESS</t>
        </is>
      </c>
      <c r="E639" t="n">
        <v>40</v>
      </c>
      <c r="F639" t="inlineStr">
        <is>
          <t>Open</t>
        </is>
      </c>
      <c r="G639" t="inlineStr">
        <is>
          <t>Capacity below configured minimum</t>
        </is>
      </c>
      <c r="H639" t="inlineStr">
        <is>
          <t>https://www.seci.co.in/tender-details/YmR-</t>
        </is>
      </c>
    </row>
    <row r="640">
      <c r="B640" t="inlineStr">
        <is>
          <t>NTPC REL</t>
        </is>
      </c>
      <c r="D640" t="inlineStr">
        <is>
          <t>Wind</t>
        </is>
      </c>
      <c r="F640" t="inlineStr">
        <is>
          <t>Open</t>
        </is>
      </c>
      <c r="G640" t="inlineStr">
        <is>
          <t>Capacity not confirmed</t>
        </is>
      </c>
      <c r="H640" t="inlineStr">
        <is>
          <t>https://ntpctender.ntpc.co.in/NITDetails/NITs/30281</t>
        </is>
      </c>
    </row>
    <row r="641">
      <c r="B641" t="inlineStr">
        <is>
          <t>NTPC REL</t>
        </is>
      </c>
      <c r="D641" t="inlineStr">
        <is>
          <t>Wind</t>
        </is>
      </c>
      <c r="E641" t="n">
        <v>600</v>
      </c>
      <c r="F641" t="inlineStr">
        <is>
          <t>Open</t>
        </is>
      </c>
      <c r="G641" t="inlineStr">
        <is>
          <t>Supply / installation excluded</t>
        </is>
      </c>
      <c r="H641" t="inlineStr">
        <is>
          <t>https://ntpctender.ntpc.co.in/NITDetails/NITs/30277</t>
        </is>
      </c>
    </row>
    <row r="642">
      <c r="B642" t="inlineStr">
        <is>
          <t>NTPC REL</t>
        </is>
      </c>
      <c r="D642" t="inlineStr">
        <is>
          <t>Other</t>
        </is>
      </c>
      <c r="F642" t="inlineStr">
        <is>
          <t>Open</t>
        </is>
      </c>
      <c r="G642" t="inlineStr">
        <is>
          <t>Capacity not confirmed</t>
        </is>
      </c>
      <c r="H642" t="inlineStr">
        <is>
          <t>https://ntpctender.ntpc.co.in/NITDetails/NITs/30260</t>
        </is>
      </c>
    </row>
    <row r="643">
      <c r="A643" t="inlineStr">
        <is>
          <t>SECI000281</t>
        </is>
      </c>
      <c r="B643" t="inlineStr">
        <is>
          <t>SECI</t>
        </is>
      </c>
      <c r="C643" t="inlineStr">
        <is>
          <t>SECI/C&amp;P/IPP/11/0008/26-27</t>
        </is>
      </c>
      <c r="D643" t="inlineStr">
        <is>
          <t>Solar</t>
        </is>
      </c>
      <c r="F643" t="inlineStr">
        <is>
          <t>Open</t>
        </is>
      </c>
      <c r="G643" t="inlineStr">
        <is>
          <t>Rooftop solar excluded</t>
        </is>
      </c>
      <c r="H643" t="inlineStr">
        <is>
          <t>https://www.seci.co.in/tender-details/Ymp2</t>
        </is>
      </c>
    </row>
    <row r="644">
      <c r="A644" t="inlineStr">
        <is>
          <t>SECI000279</t>
        </is>
      </c>
      <c r="B644" t="inlineStr">
        <is>
          <t>SECI</t>
        </is>
      </c>
      <c r="C644" t="inlineStr">
        <is>
          <t>SECI/C&amp;P/MI/00/05/2026-27</t>
        </is>
      </c>
      <c r="D644" t="inlineStr">
        <is>
          <t>Solar</t>
        </is>
      </c>
      <c r="F644" t="inlineStr">
        <is>
          <t>Open</t>
        </is>
      </c>
      <c r="G644" t="inlineStr">
        <is>
          <t>Capacity not confirmed</t>
        </is>
      </c>
      <c r="H644" t="inlineStr">
        <is>
          <t>https://www.seci.co.in/tender-details/YmV-</t>
        </is>
      </c>
    </row>
    <row r="645">
      <c r="A645" t="inlineStr">
        <is>
          <t>SECI000270</t>
        </is>
      </c>
      <c r="B645" t="inlineStr">
        <is>
          <t>SECI</t>
        </is>
      </c>
      <c r="C645" t="inlineStr">
        <is>
          <t>SECI/C&amp;P/OP/15/0005/26-27</t>
        </is>
      </c>
      <c r="D645" t="inlineStr">
        <is>
          <t>Solar</t>
        </is>
      </c>
      <c r="F645" t="inlineStr">
        <is>
          <t>Open</t>
        </is>
      </c>
      <c r="G645" t="inlineStr">
        <is>
          <t>Rooftop solar excluded</t>
        </is>
      </c>
      <c r="H645" t="inlineStr">
        <is>
          <t>https://www.seci.co.in/tender-details/YmV3</t>
        </is>
      </c>
    </row>
    <row r="646">
      <c r="A646" t="inlineStr">
        <is>
          <t>SECI000262</t>
        </is>
      </c>
      <c r="B646" t="inlineStr">
        <is>
          <t>SECI</t>
        </is>
      </c>
      <c r="C646" t="inlineStr">
        <is>
          <t>SECI/C&amp;P/OP/11/0002/26-27</t>
        </is>
      </c>
      <c r="D646" t="inlineStr">
        <is>
          <t>Solar + BESS</t>
        </is>
      </c>
      <c r="E646" t="n">
        <v>25</v>
      </c>
      <c r="F646" t="inlineStr">
        <is>
          <t>Open</t>
        </is>
      </c>
      <c r="G646" t="inlineStr">
        <is>
          <t>Capacity below configured minimum</t>
        </is>
      </c>
      <c r="H646" t="inlineStr">
        <is>
          <t>https://www.seci.co.in/tender-details/YmR1</t>
        </is>
      </c>
    </row>
    <row r="647">
      <c r="A647" t="inlineStr">
        <is>
          <t>SECI000274</t>
        </is>
      </c>
      <c r="B647" t="inlineStr">
        <is>
          <t>SECI</t>
        </is>
      </c>
      <c r="C647" t="inlineStr">
        <is>
          <t>SECI/C&amp;P/IPP/15/0008/26-27</t>
        </is>
      </c>
      <c r="D647" t="inlineStr">
        <is>
          <t>Other</t>
        </is>
      </c>
      <c r="E647" t="n">
        <v>50</v>
      </c>
      <c r="F647" t="inlineStr">
        <is>
          <t>Open</t>
        </is>
      </c>
      <c r="G647" t="inlineStr">
        <is>
          <t>Capacity below configured minimum</t>
        </is>
      </c>
      <c r="H647" t="inlineStr">
        <is>
          <t>https://www.seci.co.in/tender-details/YmVz</t>
        </is>
      </c>
    </row>
    <row r="648">
      <c r="A648" t="inlineStr">
        <is>
          <t>SECI000276</t>
        </is>
      </c>
      <c r="B648" t="inlineStr">
        <is>
          <t>SECI</t>
        </is>
      </c>
      <c r="C648" t="inlineStr">
        <is>
          <t>SECI/C&amp;P/OP/15/0006/25-26</t>
        </is>
      </c>
      <c r="D648" t="inlineStr">
        <is>
          <t>Solar</t>
        </is>
      </c>
      <c r="F648" t="inlineStr">
        <is>
          <t>Open</t>
        </is>
      </c>
      <c r="G648" t="inlineStr">
        <is>
          <t>Rooftop solar excluded</t>
        </is>
      </c>
      <c r="H648" t="inlineStr">
        <is>
          <t>https://www.seci.co.in/tender-details/YmVx</t>
        </is>
      </c>
    </row>
    <row r="649">
      <c r="A649" t="inlineStr">
        <is>
          <t>SECI000267</t>
        </is>
      </c>
      <c r="B649" t="inlineStr">
        <is>
          <t>SECI</t>
        </is>
      </c>
      <c r="C649" t="inlineStr">
        <is>
          <t>SECI/C&amp;P/MI/00/0001/26-27</t>
        </is>
      </c>
      <c r="D649" t="inlineStr">
        <is>
          <t>Other</t>
        </is>
      </c>
      <c r="F649" t="inlineStr">
        <is>
          <t>Open</t>
        </is>
      </c>
      <c r="G649" t="inlineStr">
        <is>
          <t>Capacity not confirmed</t>
        </is>
      </c>
      <c r="H649" t="inlineStr">
        <is>
          <t>https://www.seci.co.in/tender-details/YmRw</t>
        </is>
      </c>
    </row>
    <row r="650">
      <c r="A650" t="inlineStr">
        <is>
          <t>SECI000263</t>
        </is>
      </c>
      <c r="B650" t="inlineStr">
        <is>
          <t>SECI</t>
        </is>
      </c>
      <c r="C650" t="inlineStr">
        <is>
          <t>SECI/C&amp;P/OP/11/0003/26-27</t>
        </is>
      </c>
      <c r="D650" t="inlineStr">
        <is>
          <t>Wind</t>
        </is>
      </c>
      <c r="E650" t="n">
        <v>45.6</v>
      </c>
      <c r="F650" t="inlineStr">
        <is>
          <t>Open</t>
        </is>
      </c>
      <c r="G650" t="inlineStr">
        <is>
          <t>Capacity below configured minimum</t>
        </is>
      </c>
      <c r="H650" t="inlineStr">
        <is>
          <t>https://www.seci.co.in/tender-details/YmR0</t>
        </is>
      </c>
    </row>
    <row r="651">
      <c r="A651" t="inlineStr">
        <is>
          <t>SECI000252</t>
        </is>
      </c>
      <c r="B651" t="inlineStr">
        <is>
          <t>SECI</t>
        </is>
      </c>
      <c r="C651" t="inlineStr">
        <is>
          <t>SECI/C&amp;P/OP/11/0001/26-27</t>
        </is>
      </c>
      <c r="D651" t="inlineStr">
        <is>
          <t>Solar</t>
        </is>
      </c>
      <c r="E651" t="n">
        <v>88</v>
      </c>
      <c r="F651" t="inlineStr">
        <is>
          <t>Open</t>
        </is>
      </c>
      <c r="G651" t="inlineStr">
        <is>
          <t>EPC / turnkey / BoS excluded</t>
        </is>
      </c>
      <c r="H651" t="inlineStr">
        <is>
          <t>https://www.seci.co.in/tender-details/Ymd1</t>
        </is>
      </c>
    </row>
    <row r="652">
      <c r="A652" t="inlineStr">
        <is>
          <t>SECI000264</t>
        </is>
      </c>
      <c r="B652" t="inlineStr">
        <is>
          <t>SECI</t>
        </is>
      </c>
      <c r="C652" t="inlineStr">
        <is>
          <t>SECI/C&amp;P/EOI/17/0002/26-27</t>
        </is>
      </c>
      <c r="D652" t="inlineStr">
        <is>
          <t>Other</t>
        </is>
      </c>
      <c r="F652" t="inlineStr">
        <is>
          <t>Open</t>
        </is>
      </c>
      <c r="G652" t="inlineStr">
        <is>
          <t>Capacity not confirmed</t>
        </is>
      </c>
      <c r="H652" t="inlineStr">
        <is>
          <t>https://www.seci.co.in/tender-details/YmRz</t>
        </is>
      </c>
    </row>
    <row r="653">
      <c r="A653" t="inlineStr">
        <is>
          <t>SECI000269</t>
        </is>
      </c>
      <c r="B653" t="inlineStr">
        <is>
          <t>SECI</t>
        </is>
      </c>
      <c r="C653" t="inlineStr">
        <is>
          <t>SECI000269</t>
        </is>
      </c>
      <c r="D653" t="inlineStr">
        <is>
          <t>BESS</t>
        </is>
      </c>
      <c r="E653" t="n">
        <v>40</v>
      </c>
      <c r="F653" t="inlineStr">
        <is>
          <t>Open</t>
        </is>
      </c>
      <c r="G653" t="inlineStr">
        <is>
          <t>Capacity below configured minimum</t>
        </is>
      </c>
      <c r="H653" t="inlineStr">
        <is>
          <t>https://www.seci.co.in/tender-details/YmR-</t>
        </is>
      </c>
    </row>
    <row r="654">
      <c r="B654" t="inlineStr">
        <is>
          <t>NTPC REL</t>
        </is>
      </c>
      <c r="D654" t="inlineStr">
        <is>
          <t>Other</t>
        </is>
      </c>
      <c r="F654" t="inlineStr">
        <is>
          <t>Open</t>
        </is>
      </c>
      <c r="G654" t="inlineStr">
        <is>
          <t>Capacity not confirmed</t>
        </is>
      </c>
      <c r="H654" t="inlineStr">
        <is>
          <t>https://ntpctender.ntpc.co.in/NITDetails/NITs/30290</t>
        </is>
      </c>
    </row>
    <row r="655">
      <c r="B655" t="inlineStr">
        <is>
          <t>NTPC REL</t>
        </is>
      </c>
      <c r="D655" t="inlineStr">
        <is>
          <t>Wind</t>
        </is>
      </c>
      <c r="F655" t="inlineStr">
        <is>
          <t>Open</t>
        </is>
      </c>
      <c r="G655" t="inlineStr">
        <is>
          <t>Capacity not confirmed</t>
        </is>
      </c>
      <c r="H655" t="inlineStr">
        <is>
          <t>https://ntpctender.ntpc.co.in/NITDetails/NITs/30281</t>
        </is>
      </c>
    </row>
    <row r="656">
      <c r="B656" t="inlineStr">
        <is>
          <t>NTPC REL</t>
        </is>
      </c>
      <c r="D656" t="inlineStr">
        <is>
          <t>Wind</t>
        </is>
      </c>
      <c r="E656" t="n">
        <v>600</v>
      </c>
      <c r="F656" t="inlineStr">
        <is>
          <t>Open</t>
        </is>
      </c>
      <c r="G656" t="inlineStr">
        <is>
          <t>Supply / installation excluded</t>
        </is>
      </c>
      <c r="H656" t="inlineStr">
        <is>
          <t>https://ntpctender.ntpc.co.in/NITDetails/NITs/30277</t>
        </is>
      </c>
    </row>
    <row r="657">
      <c r="B657" t="inlineStr">
        <is>
          <t>NTPC REL</t>
        </is>
      </c>
      <c r="D657" t="inlineStr">
        <is>
          <t>Other</t>
        </is>
      </c>
      <c r="F657" t="inlineStr">
        <is>
          <t>Open</t>
        </is>
      </c>
      <c r="G657" t="inlineStr">
        <is>
          <t>Capacity not confirmed</t>
        </is>
      </c>
      <c r="H657" t="inlineStr">
        <is>
          <t>https://ntpctender.ntpc.co.in/NITDetails/NITs/30260</t>
        </is>
      </c>
    </row>
    <row r="658">
      <c r="B658" t="inlineStr">
        <is>
          <t>SJVN</t>
        </is>
      </c>
      <c r="C658" t="inlineStr">
        <is>
          <t>“Supply, installation&amp; commissioning with change-over provision for both Hydel &amp; Solar supply system at Bhima Kali Temple Distt. Shimla H.P.-172102 [P</t>
        </is>
      </c>
      <c r="D658" t="inlineStr">
        <is>
          <t>Solar</t>
        </is>
      </c>
      <c r="F658" t="inlineStr">
        <is>
          <t>Open</t>
        </is>
      </c>
      <c r="G658" t="inlineStr">
        <is>
          <t>Capacity not confirmed</t>
        </is>
      </c>
      <c r="H658" t="inlineStr">
        <is>
          <t>https://sjvn.nic.in/en/tender</t>
        </is>
      </c>
    </row>
    <row r="659">
      <c r="B659" t="inlineStr">
        <is>
          <t>GRIDCO</t>
        </is>
      </c>
      <c r="C659" t="inlineStr">
        <is>
          <t>Issuing Authority : Director (Trading &amp; Business Development) Start Date of Selling Tender Paper : 09/23/2026 05:00 PM Scope of Work : NOTICE FOR EXPR</t>
        </is>
      </c>
      <c r="D659" t="inlineStr">
        <is>
          <t>Other</t>
        </is>
      </c>
      <c r="F659" t="inlineStr">
        <is>
          <t>Open</t>
        </is>
      </c>
      <c r="G659" t="inlineStr">
        <is>
          <t>Capacity not confirmed</t>
        </is>
      </c>
      <c r="H659" t="inlineStr">
        <is>
          <t>https://www.gridco.co.in/tender.aspx</t>
        </is>
      </c>
    </row>
    <row r="660">
      <c r="B660" t="inlineStr">
        <is>
          <t>GRIDCO</t>
        </is>
      </c>
      <c r="C660" t="inlineStr">
        <is>
          <t>Scope of Work :</t>
        </is>
      </c>
      <c r="D660" t="inlineStr">
        <is>
          <t>Other</t>
        </is>
      </c>
      <c r="F660" t="inlineStr">
        <is>
          <t>Open</t>
        </is>
      </c>
      <c r="G660" t="inlineStr">
        <is>
          <t>Capacity not confirmed</t>
        </is>
      </c>
      <c r="H660" t="inlineStr">
        <is>
          <t>https://www.gridco.co.in/tender.aspx</t>
        </is>
      </c>
    </row>
    <row r="661">
      <c r="B661" t="inlineStr">
        <is>
          <t>GRIDCO</t>
        </is>
      </c>
      <c r="C661" t="inlineStr">
        <is>
          <t>Tender Description :</t>
        </is>
      </c>
      <c r="D661" t="inlineStr">
        <is>
          <t>Other</t>
        </is>
      </c>
      <c r="F661" t="inlineStr">
        <is>
          <t>Open</t>
        </is>
      </c>
      <c r="G661" t="inlineStr">
        <is>
          <t>Capacity not confirmed</t>
        </is>
      </c>
      <c r="H661" t="inlineStr">
        <is>
          <t>https://www.gridco.co.in/tender.aspx</t>
        </is>
      </c>
    </row>
    <row r="662">
      <c r="A662" t="inlineStr">
        <is>
          <t>SECI000281</t>
        </is>
      </c>
      <c r="B662" t="inlineStr">
        <is>
          <t>SECI</t>
        </is>
      </c>
      <c r="C662" t="inlineStr">
        <is>
          <t>SECI/C&amp;P/IPP/11/0008/26-27</t>
        </is>
      </c>
      <c r="D662" t="inlineStr">
        <is>
          <t>Solar</t>
        </is>
      </c>
      <c r="F662" t="inlineStr">
        <is>
          <t>Open</t>
        </is>
      </c>
      <c r="G662" t="inlineStr">
        <is>
          <t>Rooftop solar excluded</t>
        </is>
      </c>
      <c r="H662" t="inlineStr">
        <is>
          <t>https://www.seci.co.in/tender-details/Ymp2</t>
        </is>
      </c>
    </row>
    <row r="663">
      <c r="A663" t="inlineStr">
        <is>
          <t>SECI000279</t>
        </is>
      </c>
      <c r="B663" t="inlineStr">
        <is>
          <t>SECI</t>
        </is>
      </c>
      <c r="C663" t="inlineStr">
        <is>
          <t>SECI/C&amp;P/MI/00/05/2026-27</t>
        </is>
      </c>
      <c r="D663" t="inlineStr">
        <is>
          <t>Solar</t>
        </is>
      </c>
      <c r="F663" t="inlineStr">
        <is>
          <t>Open</t>
        </is>
      </c>
      <c r="G663" t="inlineStr">
        <is>
          <t>Capacity not confirmed</t>
        </is>
      </c>
      <c r="H663" t="inlineStr">
        <is>
          <t>https://www.seci.co.in/tender-details/YmV-</t>
        </is>
      </c>
    </row>
    <row r="664">
      <c r="A664" t="inlineStr">
        <is>
          <t>SECI000270</t>
        </is>
      </c>
      <c r="B664" t="inlineStr">
        <is>
          <t>SECI</t>
        </is>
      </c>
      <c r="C664" t="inlineStr">
        <is>
          <t>SECI/C&amp;P/OP/15/0005/26-27</t>
        </is>
      </c>
      <c r="D664" t="inlineStr">
        <is>
          <t>Solar</t>
        </is>
      </c>
      <c r="F664" t="inlineStr">
        <is>
          <t>Open</t>
        </is>
      </c>
      <c r="G664" t="inlineStr">
        <is>
          <t>Rooftop solar excluded</t>
        </is>
      </c>
      <c r="H664" t="inlineStr">
        <is>
          <t>https://www.seci.co.in/tender-details/YmV3</t>
        </is>
      </c>
    </row>
    <row r="665">
      <c r="A665" t="inlineStr">
        <is>
          <t>SECI000262</t>
        </is>
      </c>
      <c r="B665" t="inlineStr">
        <is>
          <t>SECI</t>
        </is>
      </c>
      <c r="C665" t="inlineStr">
        <is>
          <t>SECI/C&amp;P/OP/11/0002/26-27</t>
        </is>
      </c>
      <c r="D665" t="inlineStr">
        <is>
          <t>Solar + BESS</t>
        </is>
      </c>
      <c r="E665" t="n">
        <v>25</v>
      </c>
      <c r="F665" t="inlineStr">
        <is>
          <t>Open</t>
        </is>
      </c>
      <c r="G665" t="inlineStr">
        <is>
          <t>Capacity below configured minimum</t>
        </is>
      </c>
      <c r="H665" t="inlineStr">
        <is>
          <t>https://www.seci.co.in/tender-details/YmR1</t>
        </is>
      </c>
    </row>
    <row r="666">
      <c r="A666" t="inlineStr">
        <is>
          <t>SECI000274</t>
        </is>
      </c>
      <c r="B666" t="inlineStr">
        <is>
          <t>SECI</t>
        </is>
      </c>
      <c r="C666" t="inlineStr">
        <is>
          <t>SECI/C&amp;P/IPP/15/0008/26-27</t>
        </is>
      </c>
      <c r="D666" t="inlineStr">
        <is>
          <t>Other</t>
        </is>
      </c>
      <c r="E666" t="n">
        <v>50</v>
      </c>
      <c r="F666" t="inlineStr">
        <is>
          <t>Open</t>
        </is>
      </c>
      <c r="G666" t="inlineStr">
        <is>
          <t>Capacity below configured minimum</t>
        </is>
      </c>
      <c r="H666" t="inlineStr">
        <is>
          <t>https://www.seci.co.in/tender-details/YmVz</t>
        </is>
      </c>
    </row>
    <row r="667">
      <c r="A667" t="inlineStr">
        <is>
          <t>SECI000276</t>
        </is>
      </c>
      <c r="B667" t="inlineStr">
        <is>
          <t>SECI</t>
        </is>
      </c>
      <c r="C667" t="inlineStr">
        <is>
          <t>SECI/C&amp;P/OP/15/0006/25-26</t>
        </is>
      </c>
      <c r="D667" t="inlineStr">
        <is>
          <t>Solar</t>
        </is>
      </c>
      <c r="F667" t="inlineStr">
        <is>
          <t>Open</t>
        </is>
      </c>
      <c r="G667" t="inlineStr">
        <is>
          <t>Rooftop solar excluded</t>
        </is>
      </c>
      <c r="H667" t="inlineStr">
        <is>
          <t>https://www.seci.co.in/tender-details/YmVx</t>
        </is>
      </c>
    </row>
    <row r="668">
      <c r="A668" t="inlineStr">
        <is>
          <t>SECI000267</t>
        </is>
      </c>
      <c r="B668" t="inlineStr">
        <is>
          <t>SECI</t>
        </is>
      </c>
      <c r="C668" t="inlineStr">
        <is>
          <t>SECI/C&amp;P/MI/00/0001/26-27</t>
        </is>
      </c>
      <c r="D668" t="inlineStr">
        <is>
          <t>Other</t>
        </is>
      </c>
      <c r="F668" t="inlineStr">
        <is>
          <t>Open</t>
        </is>
      </c>
      <c r="G668" t="inlineStr">
        <is>
          <t>Capacity not confirmed</t>
        </is>
      </c>
      <c r="H668" t="inlineStr">
        <is>
          <t>https://www.seci.co.in/tender-details/YmRw</t>
        </is>
      </c>
    </row>
    <row r="669">
      <c r="A669" t="inlineStr">
        <is>
          <t>SECI000263</t>
        </is>
      </c>
      <c r="B669" t="inlineStr">
        <is>
          <t>SECI</t>
        </is>
      </c>
      <c r="C669" t="inlineStr">
        <is>
          <t>SECI/C&amp;P/OP/11/0003/26-27</t>
        </is>
      </c>
      <c r="D669" t="inlineStr">
        <is>
          <t>Wind</t>
        </is>
      </c>
      <c r="E669" t="n">
        <v>45.6</v>
      </c>
      <c r="F669" t="inlineStr">
        <is>
          <t>Open</t>
        </is>
      </c>
      <c r="G669" t="inlineStr">
        <is>
          <t>Capacity below configured minimum</t>
        </is>
      </c>
      <c r="H669" t="inlineStr">
        <is>
          <t>https://www.seci.co.in/tender-details/YmR0</t>
        </is>
      </c>
    </row>
    <row r="670">
      <c r="A670" t="inlineStr">
        <is>
          <t>SECI000252</t>
        </is>
      </c>
      <c r="B670" t="inlineStr">
        <is>
          <t>SECI</t>
        </is>
      </c>
      <c r="C670" t="inlineStr">
        <is>
          <t>SECI/C&amp;P/OP/11/0001/26-27</t>
        </is>
      </c>
      <c r="D670" t="inlineStr">
        <is>
          <t>Solar</t>
        </is>
      </c>
      <c r="E670" t="n">
        <v>88</v>
      </c>
      <c r="F670" t="inlineStr">
        <is>
          <t>Open</t>
        </is>
      </c>
      <c r="G670" t="inlineStr">
        <is>
          <t>EPC / turnkey / BoS excluded</t>
        </is>
      </c>
      <c r="H670" t="inlineStr">
        <is>
          <t>https://www.seci.co.in/tender-details/Ymd1</t>
        </is>
      </c>
    </row>
    <row r="671">
      <c r="A671" t="inlineStr">
        <is>
          <t>SECI000264</t>
        </is>
      </c>
      <c r="B671" t="inlineStr">
        <is>
          <t>SECI</t>
        </is>
      </c>
      <c r="C671" t="inlineStr">
        <is>
          <t>SECI/C&amp;P/EOI/17/0002/26-27</t>
        </is>
      </c>
      <c r="D671" t="inlineStr">
        <is>
          <t>Other</t>
        </is>
      </c>
      <c r="F671" t="inlineStr">
        <is>
          <t>Open</t>
        </is>
      </c>
      <c r="G671" t="inlineStr">
        <is>
          <t>Capacity not confirmed</t>
        </is>
      </c>
      <c r="H671" t="inlineStr">
        <is>
          <t>https://www.seci.co.in/tender-details/YmRz</t>
        </is>
      </c>
    </row>
    <row r="672">
      <c r="A672" t="inlineStr">
        <is>
          <t>SECI000269</t>
        </is>
      </c>
      <c r="B672" t="inlineStr">
        <is>
          <t>SECI</t>
        </is>
      </c>
      <c r="C672" t="inlineStr">
        <is>
          <t>SECI000269</t>
        </is>
      </c>
      <c r="D672" t="inlineStr">
        <is>
          <t>BESS</t>
        </is>
      </c>
      <c r="E672" t="n">
        <v>40</v>
      </c>
      <c r="F672" t="inlineStr">
        <is>
          <t>Open</t>
        </is>
      </c>
      <c r="G672" t="inlineStr">
        <is>
          <t>Capacity below configured minimum</t>
        </is>
      </c>
      <c r="H672" t="inlineStr">
        <is>
          <t>https://www.seci.co.in/tender-details/YmR-</t>
        </is>
      </c>
    </row>
    <row r="673">
      <c r="B673" t="inlineStr">
        <is>
          <t>NTPC REL</t>
        </is>
      </c>
      <c r="D673" t="inlineStr">
        <is>
          <t>Other</t>
        </is>
      </c>
      <c r="F673" t="inlineStr">
        <is>
          <t>Open</t>
        </is>
      </c>
      <c r="G673" t="inlineStr">
        <is>
          <t>Capacity not confirmed</t>
        </is>
      </c>
      <c r="H673" t="inlineStr">
        <is>
          <t>https://ntpctender.ntpc.co.in/NITDetails/NITs/30290</t>
        </is>
      </c>
    </row>
    <row r="674">
      <c r="B674" t="inlineStr">
        <is>
          <t>NTPC REL</t>
        </is>
      </c>
      <c r="D674" t="inlineStr">
        <is>
          <t>Wind</t>
        </is>
      </c>
      <c r="F674" t="inlineStr">
        <is>
          <t>Open</t>
        </is>
      </c>
      <c r="G674" t="inlineStr">
        <is>
          <t>Capacity not confirmed</t>
        </is>
      </c>
      <c r="H674" t="inlineStr">
        <is>
          <t>https://ntpctender.ntpc.co.in/NITDetails/NITs/30281</t>
        </is>
      </c>
    </row>
    <row r="675">
      <c r="B675" t="inlineStr">
        <is>
          <t>NTPC REL</t>
        </is>
      </c>
      <c r="D675" t="inlineStr">
        <is>
          <t>Wind</t>
        </is>
      </c>
      <c r="E675" t="n">
        <v>600</v>
      </c>
      <c r="F675" t="inlineStr">
        <is>
          <t>Open</t>
        </is>
      </c>
      <c r="G675" t="inlineStr">
        <is>
          <t>Supply / installation excluded</t>
        </is>
      </c>
      <c r="H675" t="inlineStr">
        <is>
          <t>https://ntpctender.ntpc.co.in/NITDetails/NITs/30277</t>
        </is>
      </c>
    </row>
    <row r="676">
      <c r="B676" t="inlineStr">
        <is>
          <t>NTPC REL</t>
        </is>
      </c>
      <c r="D676" t="inlineStr">
        <is>
          <t>Other</t>
        </is>
      </c>
      <c r="F676" t="inlineStr">
        <is>
          <t>Open</t>
        </is>
      </c>
      <c r="G676" t="inlineStr">
        <is>
          <t>Capacity not confirmed</t>
        </is>
      </c>
      <c r="H676" t="inlineStr">
        <is>
          <t>https://ntpctender.ntpc.co.in/NITDetails/NITs/30260</t>
        </is>
      </c>
    </row>
    <row r="677">
      <c r="B677" t="inlineStr">
        <is>
          <t>SJVN</t>
        </is>
      </c>
      <c r="C677" t="inlineStr">
        <is>
          <t>“Supply, installation&amp; commissioning with change-over provision for both Hydel &amp; Solar supply system at Bhima Kali Temple Distt. Shimla H.P.-172102 [P</t>
        </is>
      </c>
      <c r="D677" t="inlineStr">
        <is>
          <t>Solar</t>
        </is>
      </c>
      <c r="F677" t="inlineStr">
        <is>
          <t>Open</t>
        </is>
      </c>
      <c r="G677" t="inlineStr">
        <is>
          <t>Capacity not confirmed</t>
        </is>
      </c>
      <c r="H677" t="inlineStr">
        <is>
          <t>https://sjvn.nic.in/en/tender</t>
        </is>
      </c>
    </row>
    <row r="678">
      <c r="B678" t="inlineStr">
        <is>
          <t>GRIDCO</t>
        </is>
      </c>
      <c r="C678" t="inlineStr">
        <is>
          <t>Issuing Authority : Director (Trading &amp; Business Development) Start Date of Selling Tender Paper : 09/23/2026 05:00 PM Scope of Work : NOTICE FOR EXPR</t>
        </is>
      </c>
      <c r="D678" t="inlineStr">
        <is>
          <t>Other</t>
        </is>
      </c>
      <c r="F678" t="inlineStr">
        <is>
          <t>Open</t>
        </is>
      </c>
      <c r="G678" t="inlineStr">
        <is>
          <t>Capacity not confirmed</t>
        </is>
      </c>
      <c r="H678" t="inlineStr">
        <is>
          <t>https://www.gridco.co.in/tender.aspx</t>
        </is>
      </c>
    </row>
    <row r="679">
      <c r="B679" t="inlineStr">
        <is>
          <t>GRIDCO</t>
        </is>
      </c>
      <c r="C679" t="inlineStr">
        <is>
          <t>Scope of Work :</t>
        </is>
      </c>
      <c r="D679" t="inlineStr">
        <is>
          <t>Other</t>
        </is>
      </c>
      <c r="F679" t="inlineStr">
        <is>
          <t>Open</t>
        </is>
      </c>
      <c r="G679" t="inlineStr">
        <is>
          <t>Capacity not confirmed</t>
        </is>
      </c>
      <c r="H679" t="inlineStr">
        <is>
          <t>https://www.gridco.co.in/tender.aspx</t>
        </is>
      </c>
    </row>
    <row r="680">
      <c r="B680" t="inlineStr">
        <is>
          <t>GRIDCO</t>
        </is>
      </c>
      <c r="C680" t="inlineStr">
        <is>
          <t>Tender Description :</t>
        </is>
      </c>
      <c r="D680" t="inlineStr">
        <is>
          <t>Other</t>
        </is>
      </c>
      <c r="F680" t="inlineStr">
        <is>
          <t>Open</t>
        </is>
      </c>
      <c r="G680" t="inlineStr">
        <is>
          <t>Capacity not confirmed</t>
        </is>
      </c>
      <c r="H680" t="inlineStr">
        <is>
          <t>https://www.gridco.co.in/tender.aspx</t>
        </is>
      </c>
    </row>
    <row r="681">
      <c r="A681" t="inlineStr">
        <is>
          <t>SECI000281</t>
        </is>
      </c>
      <c r="B681" t="inlineStr">
        <is>
          <t>SECI</t>
        </is>
      </c>
      <c r="C681" t="inlineStr">
        <is>
          <t>SECI/C&amp;P/IPP/11/0008/26-27</t>
        </is>
      </c>
      <c r="D681" t="inlineStr">
        <is>
          <t>Solar</t>
        </is>
      </c>
      <c r="F681" t="inlineStr">
        <is>
          <t>Open</t>
        </is>
      </c>
      <c r="G681" t="inlineStr">
        <is>
          <t>Rooftop solar excluded</t>
        </is>
      </c>
      <c r="H681" t="inlineStr">
        <is>
          <t>https://www.seci.co.in/tender-details/Ymp2</t>
        </is>
      </c>
    </row>
    <row r="682">
      <c r="A682" t="inlineStr">
        <is>
          <t>SECI000279</t>
        </is>
      </c>
      <c r="B682" t="inlineStr">
        <is>
          <t>SECI</t>
        </is>
      </c>
      <c r="C682" t="inlineStr">
        <is>
          <t>SECI/C&amp;P/MI/00/05/2026-27</t>
        </is>
      </c>
      <c r="D682" t="inlineStr">
        <is>
          <t>Solar</t>
        </is>
      </c>
      <c r="F682" t="inlineStr">
        <is>
          <t>Open</t>
        </is>
      </c>
      <c r="G682" t="inlineStr">
        <is>
          <t>Capacity not confirmed</t>
        </is>
      </c>
      <c r="H682" t="inlineStr">
        <is>
          <t>https://www.seci.co.in/tender-details/YmV-</t>
        </is>
      </c>
    </row>
    <row r="683">
      <c r="A683" t="inlineStr">
        <is>
          <t>SECI000270</t>
        </is>
      </c>
      <c r="B683" t="inlineStr">
        <is>
          <t>SECI</t>
        </is>
      </c>
      <c r="C683" t="inlineStr">
        <is>
          <t>SECI/C&amp;P/OP/15/0005/26-27</t>
        </is>
      </c>
      <c r="D683" t="inlineStr">
        <is>
          <t>Solar</t>
        </is>
      </c>
      <c r="F683" t="inlineStr">
        <is>
          <t>Open</t>
        </is>
      </c>
      <c r="G683" t="inlineStr">
        <is>
          <t>Rooftop solar excluded</t>
        </is>
      </c>
      <c r="H683" t="inlineStr">
        <is>
          <t>https://www.seci.co.in/tender-details/YmV3</t>
        </is>
      </c>
    </row>
    <row r="684">
      <c r="A684" t="inlineStr">
        <is>
          <t>SECI000262</t>
        </is>
      </c>
      <c r="B684" t="inlineStr">
        <is>
          <t>SECI</t>
        </is>
      </c>
      <c r="C684" t="inlineStr">
        <is>
          <t>SECI/C&amp;P/OP/11/0002/26-27</t>
        </is>
      </c>
      <c r="D684" t="inlineStr">
        <is>
          <t>Solar + BESS</t>
        </is>
      </c>
      <c r="E684" t="n">
        <v>25</v>
      </c>
      <c r="F684" t="inlineStr">
        <is>
          <t>Open</t>
        </is>
      </c>
      <c r="G684" t="inlineStr">
        <is>
          <t>Capacity below configured minimum</t>
        </is>
      </c>
      <c r="H684" t="inlineStr">
        <is>
          <t>https://www.seci.co.in/tender-details/YmR1</t>
        </is>
      </c>
    </row>
    <row r="685">
      <c r="A685" t="inlineStr">
        <is>
          <t>SECI000274</t>
        </is>
      </c>
      <c r="B685" t="inlineStr">
        <is>
          <t>SECI</t>
        </is>
      </c>
      <c r="C685" t="inlineStr">
        <is>
          <t>SECI/C&amp;P/IPP/15/0008/26-27</t>
        </is>
      </c>
      <c r="D685" t="inlineStr">
        <is>
          <t>Other</t>
        </is>
      </c>
      <c r="E685" t="n">
        <v>50</v>
      </c>
      <c r="F685" t="inlineStr">
        <is>
          <t>Open</t>
        </is>
      </c>
      <c r="G685" t="inlineStr">
        <is>
          <t>Capacity below configured minimum</t>
        </is>
      </c>
      <c r="H685" t="inlineStr">
        <is>
          <t>https://www.seci.co.in/tender-details/YmVz</t>
        </is>
      </c>
    </row>
    <row r="686">
      <c r="A686" t="inlineStr">
        <is>
          <t>SECI000276</t>
        </is>
      </c>
      <c r="B686" t="inlineStr">
        <is>
          <t>SECI</t>
        </is>
      </c>
      <c r="C686" t="inlineStr">
        <is>
          <t>SECI/C&amp;P/OP/15/0006/25-26</t>
        </is>
      </c>
      <c r="D686" t="inlineStr">
        <is>
          <t>Solar</t>
        </is>
      </c>
      <c r="F686" t="inlineStr">
        <is>
          <t>Open</t>
        </is>
      </c>
      <c r="G686" t="inlineStr">
        <is>
          <t>Rooftop solar excluded</t>
        </is>
      </c>
      <c r="H686" t="inlineStr">
        <is>
          <t>https://www.seci.co.in/tender-details/YmVx</t>
        </is>
      </c>
    </row>
    <row r="687">
      <c r="A687" t="inlineStr">
        <is>
          <t>SECI000267</t>
        </is>
      </c>
      <c r="B687" t="inlineStr">
        <is>
          <t>SECI</t>
        </is>
      </c>
      <c r="C687" t="inlineStr">
        <is>
          <t>SECI/C&amp;P/MI/00/0001/26-27</t>
        </is>
      </c>
      <c r="D687" t="inlineStr">
        <is>
          <t>Other</t>
        </is>
      </c>
      <c r="F687" t="inlineStr">
        <is>
          <t>Open</t>
        </is>
      </c>
      <c r="G687" t="inlineStr">
        <is>
          <t>Capacity not confirmed</t>
        </is>
      </c>
      <c r="H687" t="inlineStr">
        <is>
          <t>https://www.seci.co.in/tender-details/YmRw</t>
        </is>
      </c>
    </row>
    <row r="688">
      <c r="A688" t="inlineStr">
        <is>
          <t>SECI000263</t>
        </is>
      </c>
      <c r="B688" t="inlineStr">
        <is>
          <t>SECI</t>
        </is>
      </c>
      <c r="C688" t="inlineStr">
        <is>
          <t>SECI/C&amp;P/OP/11/0003/26-27</t>
        </is>
      </c>
      <c r="D688" t="inlineStr">
        <is>
          <t>Wind</t>
        </is>
      </c>
      <c r="E688" t="n">
        <v>45.6</v>
      </c>
      <c r="F688" t="inlineStr">
        <is>
          <t>Open</t>
        </is>
      </c>
      <c r="G688" t="inlineStr">
        <is>
          <t>Capacity below configured minimum</t>
        </is>
      </c>
      <c r="H688" t="inlineStr">
        <is>
          <t>https://www.seci.co.in/tender-details/YmR0</t>
        </is>
      </c>
    </row>
    <row r="689">
      <c r="A689" t="inlineStr">
        <is>
          <t>SECI000252</t>
        </is>
      </c>
      <c r="B689" t="inlineStr">
        <is>
          <t>SECI</t>
        </is>
      </c>
      <c r="C689" t="inlineStr">
        <is>
          <t>SECI/C&amp;P/OP/11/0001/26-27</t>
        </is>
      </c>
      <c r="D689" t="inlineStr">
        <is>
          <t>Solar</t>
        </is>
      </c>
      <c r="E689" t="n">
        <v>88</v>
      </c>
      <c r="F689" t="inlineStr">
        <is>
          <t>Open</t>
        </is>
      </c>
      <c r="G689" t="inlineStr">
        <is>
          <t>EPC / turnkey / BoS excluded</t>
        </is>
      </c>
      <c r="H689" t="inlineStr">
        <is>
          <t>https://www.seci.co.in/tender-details/Ymd1</t>
        </is>
      </c>
    </row>
    <row r="690">
      <c r="A690" t="inlineStr">
        <is>
          <t>SECI000264</t>
        </is>
      </c>
      <c r="B690" t="inlineStr">
        <is>
          <t>SECI</t>
        </is>
      </c>
      <c r="C690" t="inlineStr">
        <is>
          <t>SECI/C&amp;P/EOI/17/0002/26-27</t>
        </is>
      </c>
      <c r="D690" t="inlineStr">
        <is>
          <t>Other</t>
        </is>
      </c>
      <c r="F690" t="inlineStr">
        <is>
          <t>Open</t>
        </is>
      </c>
      <c r="G690" t="inlineStr">
        <is>
          <t>Capacity not confirmed</t>
        </is>
      </c>
      <c r="H690" t="inlineStr">
        <is>
          <t>https://www.seci.co.in/tender-details/YmRz</t>
        </is>
      </c>
    </row>
    <row r="691">
      <c r="B691" t="inlineStr">
        <is>
          <t>NTPC REL</t>
        </is>
      </c>
      <c r="D691" t="inlineStr">
        <is>
          <t>Other</t>
        </is>
      </c>
      <c r="F691" t="inlineStr">
        <is>
          <t>Open</t>
        </is>
      </c>
      <c r="G691" t="inlineStr">
        <is>
          <t>Capacity not confirmed</t>
        </is>
      </c>
      <c r="H691" t="inlineStr">
        <is>
          <t>https://ntpctender.ntpc.co.in/NITDetails/NITs/30290</t>
        </is>
      </c>
    </row>
    <row r="692">
      <c r="B692" t="inlineStr">
        <is>
          <t>NTPC REL</t>
        </is>
      </c>
      <c r="D692" t="inlineStr">
        <is>
          <t>Wind</t>
        </is>
      </c>
      <c r="F692" t="inlineStr">
        <is>
          <t>Open</t>
        </is>
      </c>
      <c r="G692" t="inlineStr">
        <is>
          <t>Capacity not confirmed</t>
        </is>
      </c>
      <c r="H692" t="inlineStr">
        <is>
          <t>https://ntpctender.ntpc.co.in/NITDetails/NITs/30281</t>
        </is>
      </c>
    </row>
    <row r="693">
      <c r="B693" t="inlineStr">
        <is>
          <t>NTPC REL</t>
        </is>
      </c>
      <c r="D693" t="inlineStr">
        <is>
          <t>Wind</t>
        </is>
      </c>
      <c r="E693" t="n">
        <v>600</v>
      </c>
      <c r="F693" t="inlineStr">
        <is>
          <t>Open</t>
        </is>
      </c>
      <c r="G693" t="inlineStr">
        <is>
          <t>Supply / installation excluded</t>
        </is>
      </c>
      <c r="H693" t="inlineStr">
        <is>
          <t>https://ntpctender.ntpc.co.in/NITDetails/NITs/30277</t>
        </is>
      </c>
    </row>
    <row r="694">
      <c r="B694" t="inlineStr">
        <is>
          <t>NTPC REL</t>
        </is>
      </c>
      <c r="D694" t="inlineStr">
        <is>
          <t>Other</t>
        </is>
      </c>
      <c r="F694" t="inlineStr">
        <is>
          <t>Open</t>
        </is>
      </c>
      <c r="G694" t="inlineStr">
        <is>
          <t>Capacity not confirmed</t>
        </is>
      </c>
      <c r="H694" t="inlineStr">
        <is>
          <t>https://ntpctender.ntpc.co.in/NITDetails/NITs/30260</t>
        </is>
      </c>
    </row>
    <row r="695">
      <c r="B695" t="inlineStr">
        <is>
          <t>SJVN</t>
        </is>
      </c>
      <c r="C695" t="inlineStr">
        <is>
          <t>“Supply, installation&amp; commissioning with change-over provision for both Hydel &amp; Solar supply system at Bhima Kali Temple Distt. Shimla H.P.-172102 [P</t>
        </is>
      </c>
      <c r="D695" t="inlineStr">
        <is>
          <t>Solar</t>
        </is>
      </c>
      <c r="F695" t="inlineStr">
        <is>
          <t>Open</t>
        </is>
      </c>
      <c r="G695" t="inlineStr">
        <is>
          <t>Capacity not confirmed</t>
        </is>
      </c>
      <c r="H695" t="inlineStr">
        <is>
          <t>https://sjvn.nic.in/en/tender</t>
        </is>
      </c>
    </row>
    <row r="696">
      <c r="B696" t="inlineStr">
        <is>
          <t>GRIDCO</t>
        </is>
      </c>
      <c r="C696" t="inlineStr">
        <is>
          <t>Issuing Authority : Director (Trading &amp; Business Development) Start Date of Selling Tender Paper : 09/23/2026 05:00 PM Scope of Work : NOTICE FOR EXPR</t>
        </is>
      </c>
      <c r="D696" t="inlineStr">
        <is>
          <t>Other</t>
        </is>
      </c>
      <c r="F696" t="inlineStr">
        <is>
          <t>Open</t>
        </is>
      </c>
      <c r="G696" t="inlineStr">
        <is>
          <t>Capacity not confirmed</t>
        </is>
      </c>
      <c r="H696" t="inlineStr">
        <is>
          <t>https://www.gridco.co.in/tender.aspx</t>
        </is>
      </c>
    </row>
    <row r="697">
      <c r="B697" t="inlineStr">
        <is>
          <t>GRIDCO</t>
        </is>
      </c>
      <c r="C697" t="inlineStr">
        <is>
          <t>Scope of Work :</t>
        </is>
      </c>
      <c r="D697" t="inlineStr">
        <is>
          <t>Other</t>
        </is>
      </c>
      <c r="F697" t="inlineStr">
        <is>
          <t>Open</t>
        </is>
      </c>
      <c r="G697" t="inlineStr">
        <is>
          <t>Capacity not confirmed</t>
        </is>
      </c>
      <c r="H697" t="inlineStr">
        <is>
          <t>https://www.gridco.co.in/tender.aspx</t>
        </is>
      </c>
    </row>
    <row r="698">
      <c r="B698" t="inlineStr">
        <is>
          <t>GRIDCO</t>
        </is>
      </c>
      <c r="C698" t="inlineStr">
        <is>
          <t>Tender Description :</t>
        </is>
      </c>
      <c r="D698" t="inlineStr">
        <is>
          <t>Other</t>
        </is>
      </c>
      <c r="F698" t="inlineStr">
        <is>
          <t>Open</t>
        </is>
      </c>
      <c r="G698" t="inlineStr">
        <is>
          <t>Capacity not confirmed</t>
        </is>
      </c>
      <c r="H698" t="inlineStr">
        <is>
          <t>https://www.gridco.co.in/tender.aspx</t>
        </is>
      </c>
    </row>
    <row r="699">
      <c r="A699" t="inlineStr">
        <is>
          <t>SECI000281</t>
        </is>
      </c>
      <c r="B699" t="inlineStr">
        <is>
          <t>SECI</t>
        </is>
      </c>
      <c r="C699" t="inlineStr">
        <is>
          <t>SECI/C&amp;P/IPP/11/0008/26-27</t>
        </is>
      </c>
      <c r="D699" t="inlineStr">
        <is>
          <t>Solar</t>
        </is>
      </c>
      <c r="F699" t="inlineStr">
        <is>
          <t>Open</t>
        </is>
      </c>
      <c r="G699" t="inlineStr">
        <is>
          <t>Rooftop solar excluded</t>
        </is>
      </c>
      <c r="H699" t="inlineStr">
        <is>
          <t>https://www.seci.co.in/tender-details/Ymp2</t>
        </is>
      </c>
    </row>
    <row r="700">
      <c r="A700" t="inlineStr">
        <is>
          <t>SECI000279</t>
        </is>
      </c>
      <c r="B700" t="inlineStr">
        <is>
          <t>SECI</t>
        </is>
      </c>
      <c r="C700" t="inlineStr">
        <is>
          <t>SECI/C&amp;P/MI/00/05/2026-27</t>
        </is>
      </c>
      <c r="D700" t="inlineStr">
        <is>
          <t>Solar</t>
        </is>
      </c>
      <c r="F700" t="inlineStr">
        <is>
          <t>Open</t>
        </is>
      </c>
      <c r="G700" t="inlineStr">
        <is>
          <t>Capacity not confirmed</t>
        </is>
      </c>
      <c r="H700" t="inlineStr">
        <is>
          <t>https://www.seci.co.in/tender-details/YmV-</t>
        </is>
      </c>
    </row>
    <row r="701">
      <c r="A701" t="inlineStr">
        <is>
          <t>SECI000270</t>
        </is>
      </c>
      <c r="B701" t="inlineStr">
        <is>
          <t>SECI</t>
        </is>
      </c>
      <c r="C701" t="inlineStr">
        <is>
          <t>SECI/C&amp;P/OP/15/0005/26-27</t>
        </is>
      </c>
      <c r="D701" t="inlineStr">
        <is>
          <t>Solar</t>
        </is>
      </c>
      <c r="F701" t="inlineStr">
        <is>
          <t>Open</t>
        </is>
      </c>
      <c r="G701" t="inlineStr">
        <is>
          <t>Rooftop solar excluded</t>
        </is>
      </c>
      <c r="H701" t="inlineStr">
        <is>
          <t>https://www.seci.co.in/tender-details/YmV3</t>
        </is>
      </c>
    </row>
    <row r="702">
      <c r="A702" t="inlineStr">
        <is>
          <t>SECI000262</t>
        </is>
      </c>
      <c r="B702" t="inlineStr">
        <is>
          <t>SECI</t>
        </is>
      </c>
      <c r="C702" t="inlineStr">
        <is>
          <t>SECI/C&amp;P/OP/11/0002/26-27</t>
        </is>
      </c>
      <c r="D702" t="inlineStr">
        <is>
          <t>Solar + BESS</t>
        </is>
      </c>
      <c r="E702" t="n">
        <v>25</v>
      </c>
      <c r="F702" t="inlineStr">
        <is>
          <t>Open</t>
        </is>
      </c>
      <c r="G702" t="inlineStr">
        <is>
          <t>Capacity below configured minimum</t>
        </is>
      </c>
      <c r="H702" t="inlineStr">
        <is>
          <t>https://www.seci.co.in/tender-details/YmR1</t>
        </is>
      </c>
    </row>
    <row r="703">
      <c r="A703" t="inlineStr">
        <is>
          <t>SECI000274</t>
        </is>
      </c>
      <c r="B703" t="inlineStr">
        <is>
          <t>SECI</t>
        </is>
      </c>
      <c r="C703" t="inlineStr">
        <is>
          <t>SECI/C&amp;P/IPP/15/0008/26-27</t>
        </is>
      </c>
      <c r="D703" t="inlineStr">
        <is>
          <t>Other</t>
        </is>
      </c>
      <c r="E703" t="n">
        <v>50</v>
      </c>
      <c r="F703" t="inlineStr">
        <is>
          <t>Open</t>
        </is>
      </c>
      <c r="G703" t="inlineStr">
        <is>
          <t>Capacity below configured minimum</t>
        </is>
      </c>
      <c r="H703" t="inlineStr">
        <is>
          <t>https://www.seci.co.in/tender-details/YmVz</t>
        </is>
      </c>
    </row>
    <row r="704">
      <c r="A704" t="inlineStr">
        <is>
          <t>SECI000276</t>
        </is>
      </c>
      <c r="B704" t="inlineStr">
        <is>
          <t>SECI</t>
        </is>
      </c>
      <c r="C704" t="inlineStr">
        <is>
          <t>SECI/C&amp;P/OP/15/0006/25-26</t>
        </is>
      </c>
      <c r="D704" t="inlineStr">
        <is>
          <t>Solar</t>
        </is>
      </c>
      <c r="F704" t="inlineStr">
        <is>
          <t>Open</t>
        </is>
      </c>
      <c r="G704" t="inlineStr">
        <is>
          <t>Rooftop solar excluded</t>
        </is>
      </c>
      <c r="H704" t="inlineStr">
        <is>
          <t>https://www.seci.co.in/tender-details/YmVx</t>
        </is>
      </c>
    </row>
    <row r="705">
      <c r="A705" t="inlineStr">
        <is>
          <t>SECI000267</t>
        </is>
      </c>
      <c r="B705" t="inlineStr">
        <is>
          <t>SECI</t>
        </is>
      </c>
      <c r="C705" t="inlineStr">
        <is>
          <t>SECI/C&amp;P/MI/00/0001/26-27</t>
        </is>
      </c>
      <c r="D705" t="inlineStr">
        <is>
          <t>Other</t>
        </is>
      </c>
      <c r="F705" t="inlineStr">
        <is>
          <t>Open</t>
        </is>
      </c>
      <c r="G705" t="inlineStr">
        <is>
          <t>Capacity not confirmed</t>
        </is>
      </c>
      <c r="H705" t="inlineStr">
        <is>
          <t>https://www.seci.co.in/tender-details/YmRw</t>
        </is>
      </c>
    </row>
    <row r="706">
      <c r="A706" t="inlineStr">
        <is>
          <t>SECI000263</t>
        </is>
      </c>
      <c r="B706" t="inlineStr">
        <is>
          <t>SECI</t>
        </is>
      </c>
      <c r="C706" t="inlineStr">
        <is>
          <t>SECI/C&amp;P/OP/11/0003/26-27</t>
        </is>
      </c>
      <c r="D706" t="inlineStr">
        <is>
          <t>Wind</t>
        </is>
      </c>
      <c r="E706" t="n">
        <v>45.6</v>
      </c>
      <c r="F706" t="inlineStr">
        <is>
          <t>Open</t>
        </is>
      </c>
      <c r="G706" t="inlineStr">
        <is>
          <t>Capacity below configured minimum</t>
        </is>
      </c>
      <c r="H706" t="inlineStr">
        <is>
          <t>https://www.seci.co.in/tender-details/YmR0</t>
        </is>
      </c>
    </row>
    <row r="707">
      <c r="A707" t="inlineStr">
        <is>
          <t>SECI000252</t>
        </is>
      </c>
      <c r="B707" t="inlineStr">
        <is>
          <t>SECI</t>
        </is>
      </c>
      <c r="C707" t="inlineStr">
        <is>
          <t>SECI/C&amp;P/OP/11/0001/26-27</t>
        </is>
      </c>
      <c r="D707" t="inlineStr">
        <is>
          <t>Solar</t>
        </is>
      </c>
      <c r="E707" t="n">
        <v>88</v>
      </c>
      <c r="F707" t="inlineStr">
        <is>
          <t>Open</t>
        </is>
      </c>
      <c r="G707" t="inlineStr">
        <is>
          <t>EPC / turnkey / BoS excluded</t>
        </is>
      </c>
      <c r="H707" t="inlineStr">
        <is>
          <t>https://www.seci.co.in/tender-details/Ymd1</t>
        </is>
      </c>
    </row>
    <row r="708">
      <c r="A708" t="inlineStr">
        <is>
          <t>SECI000264</t>
        </is>
      </c>
      <c r="B708" t="inlineStr">
        <is>
          <t>SECI</t>
        </is>
      </c>
      <c r="C708" t="inlineStr">
        <is>
          <t>SECI/C&amp;P/EOI/17/0002/26-27</t>
        </is>
      </c>
      <c r="D708" t="inlineStr">
        <is>
          <t>Other</t>
        </is>
      </c>
      <c r="F708" t="inlineStr">
        <is>
          <t>Open</t>
        </is>
      </c>
      <c r="G708" t="inlineStr">
        <is>
          <t>Capacity not confirmed</t>
        </is>
      </c>
      <c r="H708" t="inlineStr">
        <is>
          <t>https://www.seci.co.in/tender-details/YmRz</t>
        </is>
      </c>
    </row>
    <row r="709">
      <c r="B709" t="inlineStr">
        <is>
          <t>NTPC REL</t>
        </is>
      </c>
      <c r="D709" t="inlineStr">
        <is>
          <t>Other</t>
        </is>
      </c>
      <c r="F709" t="inlineStr">
        <is>
          <t>Open</t>
        </is>
      </c>
      <c r="G709" t="inlineStr">
        <is>
          <t>Capacity not confirmed</t>
        </is>
      </c>
      <c r="H709" t="inlineStr">
        <is>
          <t>https://ntpctender.ntpc.co.in/NITDetails/NITs/30290</t>
        </is>
      </c>
    </row>
    <row r="710">
      <c r="B710" t="inlineStr">
        <is>
          <t>NTPC REL</t>
        </is>
      </c>
      <c r="D710" t="inlineStr">
        <is>
          <t>Wind</t>
        </is>
      </c>
      <c r="F710" t="inlineStr">
        <is>
          <t>Open</t>
        </is>
      </c>
      <c r="G710" t="inlineStr">
        <is>
          <t>Capacity not confirmed</t>
        </is>
      </c>
      <c r="H710" t="inlineStr">
        <is>
          <t>https://ntpctender.ntpc.co.in/NITDetails/NITs/30281</t>
        </is>
      </c>
    </row>
    <row r="711">
      <c r="B711" t="inlineStr">
        <is>
          <t>NTPC REL</t>
        </is>
      </c>
      <c r="D711" t="inlineStr">
        <is>
          <t>Wind</t>
        </is>
      </c>
      <c r="E711" t="n">
        <v>600</v>
      </c>
      <c r="F711" t="inlineStr">
        <is>
          <t>Open</t>
        </is>
      </c>
      <c r="G711" t="inlineStr">
        <is>
          <t>Supply / installation excluded</t>
        </is>
      </c>
      <c r="H711" t="inlineStr">
        <is>
          <t>https://ntpctender.ntpc.co.in/NITDetails/NITs/30277</t>
        </is>
      </c>
    </row>
    <row r="712">
      <c r="B712" t="inlineStr">
        <is>
          <t>NTPC REL</t>
        </is>
      </c>
      <c r="D712" t="inlineStr">
        <is>
          <t>Other</t>
        </is>
      </c>
      <c r="F712" t="inlineStr">
        <is>
          <t>Open</t>
        </is>
      </c>
      <c r="G712" t="inlineStr">
        <is>
          <t>Capacity not confirmed</t>
        </is>
      </c>
      <c r="H712" t="inlineStr">
        <is>
          <t>https://ntpctender.ntpc.co.in/NITDetails/NITs/30260</t>
        </is>
      </c>
    </row>
    <row r="713">
      <c r="B713" t="inlineStr">
        <is>
          <t>SJVN</t>
        </is>
      </c>
      <c r="C713" t="inlineStr">
        <is>
          <t>“Supply, installation&amp; commissioning with change-over provision for both Hydel &amp; Solar supply system at Bhima Kali Temple Distt. Shimla H.P.-172102 [P</t>
        </is>
      </c>
      <c r="D713" t="inlineStr">
        <is>
          <t>Solar</t>
        </is>
      </c>
      <c r="F713" t="inlineStr">
        <is>
          <t>Open</t>
        </is>
      </c>
      <c r="G713" t="inlineStr">
        <is>
          <t>Capacity not confirmed</t>
        </is>
      </c>
      <c r="H713" t="inlineStr">
        <is>
          <t>https://sjvn.nic.in/en/tender</t>
        </is>
      </c>
    </row>
    <row r="714">
      <c r="B714" t="inlineStr">
        <is>
          <t>GRIDCO</t>
        </is>
      </c>
      <c r="C714" t="inlineStr">
        <is>
          <t>Issuing Authority : Director (Trading &amp; Business Development) Start Date of Selling Tender Paper : 09/23/2026 05:00 PM Scope of Work : NOTICE FOR EXPR</t>
        </is>
      </c>
      <c r="D714" t="inlineStr">
        <is>
          <t>Other</t>
        </is>
      </c>
      <c r="F714" t="inlineStr">
        <is>
          <t>Open</t>
        </is>
      </c>
      <c r="G714" t="inlineStr">
        <is>
          <t>Capacity not confirmed</t>
        </is>
      </c>
      <c r="H714" t="inlineStr">
        <is>
          <t>https://www.gridco.co.in/tender.aspx</t>
        </is>
      </c>
    </row>
    <row r="715">
      <c r="B715" t="inlineStr">
        <is>
          <t>GRIDCO</t>
        </is>
      </c>
      <c r="C715" t="inlineStr">
        <is>
          <t>Scope of Work :</t>
        </is>
      </c>
      <c r="D715" t="inlineStr">
        <is>
          <t>Other</t>
        </is>
      </c>
      <c r="F715" t="inlineStr">
        <is>
          <t>Open</t>
        </is>
      </c>
      <c r="G715" t="inlineStr">
        <is>
          <t>Capacity not confirmed</t>
        </is>
      </c>
      <c r="H715" t="inlineStr">
        <is>
          <t>https://www.gridco.co.in/tender.aspx</t>
        </is>
      </c>
    </row>
    <row r="716">
      <c r="B716" t="inlineStr">
        <is>
          <t>GRIDCO</t>
        </is>
      </c>
      <c r="C716" t="inlineStr">
        <is>
          <t>Tender Description :</t>
        </is>
      </c>
      <c r="D716" t="inlineStr">
        <is>
          <t>Other</t>
        </is>
      </c>
      <c r="F716" t="inlineStr">
        <is>
          <t>Open</t>
        </is>
      </c>
      <c r="G716" t="inlineStr">
        <is>
          <t>Capacity not confirmed</t>
        </is>
      </c>
      <c r="H716" t="inlineStr">
        <is>
          <t>https://www.gridco.co.in/tender.aspx</t>
        </is>
      </c>
    </row>
    <row r="717">
      <c r="A717" t="inlineStr">
        <is>
          <t>SECI000281</t>
        </is>
      </c>
      <c r="B717" t="inlineStr">
        <is>
          <t>SECI</t>
        </is>
      </c>
      <c r="C717" t="inlineStr">
        <is>
          <t>SECI/C&amp;P/IPP/11/0008/26-27</t>
        </is>
      </c>
      <c r="D717" t="inlineStr">
        <is>
          <t>Solar</t>
        </is>
      </c>
      <c r="F717" t="inlineStr">
        <is>
          <t>Open</t>
        </is>
      </c>
      <c r="G717" t="inlineStr">
        <is>
          <t>Rooftop solar excluded</t>
        </is>
      </c>
      <c r="H717" t="inlineStr">
        <is>
          <t>https://www.seci.co.in/tender-details/Ymp2</t>
        </is>
      </c>
    </row>
    <row r="718">
      <c r="A718" t="inlineStr">
        <is>
          <t>SECI000279</t>
        </is>
      </c>
      <c r="B718" t="inlineStr">
        <is>
          <t>SECI</t>
        </is>
      </c>
      <c r="C718" t="inlineStr">
        <is>
          <t>SECI/C&amp;P/MI/00/05/2026-27</t>
        </is>
      </c>
      <c r="D718" t="inlineStr">
        <is>
          <t>Solar</t>
        </is>
      </c>
      <c r="F718" t="inlineStr">
        <is>
          <t>Open</t>
        </is>
      </c>
      <c r="G718" t="inlineStr">
        <is>
          <t>Capacity not confirmed</t>
        </is>
      </c>
      <c r="H718" t="inlineStr">
        <is>
          <t>https://www.seci.co.in/tender-details/YmV-</t>
        </is>
      </c>
    </row>
    <row r="719">
      <c r="A719" t="inlineStr">
        <is>
          <t>SECI000270</t>
        </is>
      </c>
      <c r="B719" t="inlineStr">
        <is>
          <t>SECI</t>
        </is>
      </c>
      <c r="C719" t="inlineStr">
        <is>
          <t>SECI/C&amp;P/OP/15/0005/26-27</t>
        </is>
      </c>
      <c r="D719" t="inlineStr">
        <is>
          <t>Solar</t>
        </is>
      </c>
      <c r="F719" t="inlineStr">
        <is>
          <t>Open</t>
        </is>
      </c>
      <c r="G719" t="inlineStr">
        <is>
          <t>Rooftop solar excluded</t>
        </is>
      </c>
      <c r="H719" t="inlineStr">
        <is>
          <t>https://www.seci.co.in/tender-details/YmV3</t>
        </is>
      </c>
    </row>
    <row r="720">
      <c r="A720" t="inlineStr">
        <is>
          <t>SECI000262</t>
        </is>
      </c>
      <c r="B720" t="inlineStr">
        <is>
          <t>SECI</t>
        </is>
      </c>
      <c r="C720" t="inlineStr">
        <is>
          <t>SECI/C&amp;P/OP/11/0002/26-27</t>
        </is>
      </c>
      <c r="D720" t="inlineStr">
        <is>
          <t>Solar + BESS</t>
        </is>
      </c>
      <c r="E720" t="n">
        <v>25</v>
      </c>
      <c r="F720" t="inlineStr">
        <is>
          <t>Open</t>
        </is>
      </c>
      <c r="G720" t="inlineStr">
        <is>
          <t>Capacity below configured minimum</t>
        </is>
      </c>
      <c r="H720" t="inlineStr">
        <is>
          <t>https://www.seci.co.in/tender-details/YmR1</t>
        </is>
      </c>
    </row>
    <row r="721">
      <c r="A721" t="inlineStr">
        <is>
          <t>SECI000274</t>
        </is>
      </c>
      <c r="B721" t="inlineStr">
        <is>
          <t>SECI</t>
        </is>
      </c>
      <c r="C721" t="inlineStr">
        <is>
          <t>SECI/C&amp;P/IPP/15/0008/26-27</t>
        </is>
      </c>
      <c r="D721" t="inlineStr">
        <is>
          <t>Other</t>
        </is>
      </c>
      <c r="E721" t="n">
        <v>50</v>
      </c>
      <c r="F721" t="inlineStr">
        <is>
          <t>Open</t>
        </is>
      </c>
      <c r="G721" t="inlineStr">
        <is>
          <t>Capacity below configured minimum</t>
        </is>
      </c>
      <c r="H721" t="inlineStr">
        <is>
          <t>https://www.seci.co.in/tender-details/YmVz</t>
        </is>
      </c>
    </row>
    <row r="722">
      <c r="A722" t="inlineStr">
        <is>
          <t>SECI000276</t>
        </is>
      </c>
      <c r="B722" t="inlineStr">
        <is>
          <t>SECI</t>
        </is>
      </c>
      <c r="C722" t="inlineStr">
        <is>
          <t>SECI/C&amp;P/OP/15/0006/25-26</t>
        </is>
      </c>
      <c r="D722" t="inlineStr">
        <is>
          <t>Solar</t>
        </is>
      </c>
      <c r="F722" t="inlineStr">
        <is>
          <t>Open</t>
        </is>
      </c>
      <c r="G722" t="inlineStr">
        <is>
          <t>Rooftop solar excluded</t>
        </is>
      </c>
      <c r="H722" t="inlineStr">
        <is>
          <t>https://www.seci.co.in/tender-details/YmVx</t>
        </is>
      </c>
    </row>
    <row r="723">
      <c r="A723" t="inlineStr">
        <is>
          <t>SECI000267</t>
        </is>
      </c>
      <c r="B723" t="inlineStr">
        <is>
          <t>SECI</t>
        </is>
      </c>
      <c r="C723" t="inlineStr">
        <is>
          <t>SECI/C&amp;P/MI/00/0001/26-27</t>
        </is>
      </c>
      <c r="D723" t="inlineStr">
        <is>
          <t>Other</t>
        </is>
      </c>
      <c r="F723" t="inlineStr">
        <is>
          <t>Open</t>
        </is>
      </c>
      <c r="G723" t="inlineStr">
        <is>
          <t>Capacity not confirmed</t>
        </is>
      </c>
      <c r="H723" t="inlineStr">
        <is>
          <t>https://www.seci.co.in/tender-details/YmRw</t>
        </is>
      </c>
    </row>
    <row r="724">
      <c r="A724" t="inlineStr">
        <is>
          <t>SECI000263</t>
        </is>
      </c>
      <c r="B724" t="inlineStr">
        <is>
          <t>SECI</t>
        </is>
      </c>
      <c r="C724" t="inlineStr">
        <is>
          <t>SECI/C&amp;P/OP/11/0003/26-27</t>
        </is>
      </c>
      <c r="D724" t="inlineStr">
        <is>
          <t>Wind</t>
        </is>
      </c>
      <c r="E724" t="n">
        <v>45.6</v>
      </c>
      <c r="F724" t="inlineStr">
        <is>
          <t>Open</t>
        </is>
      </c>
      <c r="G724" t="inlineStr">
        <is>
          <t>Capacity below configured minimum</t>
        </is>
      </c>
      <c r="H724" t="inlineStr">
        <is>
          <t>https://www.seci.co.in/tender-details/YmR0</t>
        </is>
      </c>
    </row>
    <row r="725">
      <c r="A725" t="inlineStr">
        <is>
          <t>SECI000252</t>
        </is>
      </c>
      <c r="B725" t="inlineStr">
        <is>
          <t>SECI</t>
        </is>
      </c>
      <c r="C725" t="inlineStr">
        <is>
          <t>SECI/C&amp;P/OP/11/0001/26-27</t>
        </is>
      </c>
      <c r="D725" t="inlineStr">
        <is>
          <t>Solar</t>
        </is>
      </c>
      <c r="E725" t="n">
        <v>88</v>
      </c>
      <c r="F725" t="inlineStr">
        <is>
          <t>Open</t>
        </is>
      </c>
      <c r="G725" t="inlineStr">
        <is>
          <t>EPC / turnkey / BoS excluded</t>
        </is>
      </c>
      <c r="H725" t="inlineStr">
        <is>
          <t>https://www.seci.co.in/tender-details/Ymd1</t>
        </is>
      </c>
    </row>
    <row r="726">
      <c r="A726" t="inlineStr">
        <is>
          <t>SECI000264</t>
        </is>
      </c>
      <c r="B726" t="inlineStr">
        <is>
          <t>SECI</t>
        </is>
      </c>
      <c r="C726" t="inlineStr">
        <is>
          <t>SECI/C&amp;P/EOI/17/0002/26-27</t>
        </is>
      </c>
      <c r="D726" t="inlineStr">
        <is>
          <t>Other</t>
        </is>
      </c>
      <c r="F726" t="inlineStr">
        <is>
          <t>Open</t>
        </is>
      </c>
      <c r="G726" t="inlineStr">
        <is>
          <t>Capacity not confirmed</t>
        </is>
      </c>
      <c r="H726" t="inlineStr">
        <is>
          <t>https://www.seci.co.in/tender-details/YmRz</t>
        </is>
      </c>
    </row>
    <row r="727">
      <c r="B727" t="inlineStr">
        <is>
          <t>NTPC REL</t>
        </is>
      </c>
      <c r="D727" t="inlineStr">
        <is>
          <t>Other</t>
        </is>
      </c>
      <c r="F727" t="inlineStr">
        <is>
          <t>Open</t>
        </is>
      </c>
      <c r="G727" t="inlineStr">
        <is>
          <t>Capacity not confirmed</t>
        </is>
      </c>
      <c r="H727" t="inlineStr">
        <is>
          <t>https://ntpctender.ntpc.co.in/NITDetails/NITs/30290</t>
        </is>
      </c>
    </row>
    <row r="728">
      <c r="B728" t="inlineStr">
        <is>
          <t>NTPC REL</t>
        </is>
      </c>
      <c r="D728" t="inlineStr">
        <is>
          <t>Wind</t>
        </is>
      </c>
      <c r="F728" t="inlineStr">
        <is>
          <t>Open</t>
        </is>
      </c>
      <c r="G728" t="inlineStr">
        <is>
          <t>Capacity not confirmed</t>
        </is>
      </c>
      <c r="H728" t="inlineStr">
        <is>
          <t>https://ntpctender.ntpc.co.in/NITDetails/NITs/30281</t>
        </is>
      </c>
    </row>
    <row r="729">
      <c r="B729" t="inlineStr">
        <is>
          <t>NTPC REL</t>
        </is>
      </c>
      <c r="D729" t="inlineStr">
        <is>
          <t>Wind</t>
        </is>
      </c>
      <c r="E729" t="n">
        <v>600</v>
      </c>
      <c r="F729" t="inlineStr">
        <is>
          <t>Open</t>
        </is>
      </c>
      <c r="G729" t="inlineStr">
        <is>
          <t>Supply / installation excluded</t>
        </is>
      </c>
      <c r="H729" t="inlineStr">
        <is>
          <t>https://ntpctender.ntpc.co.in/NITDetails/NITs/30277</t>
        </is>
      </c>
    </row>
    <row r="730">
      <c r="B730" t="inlineStr">
        <is>
          <t>NTPC REL</t>
        </is>
      </c>
      <c r="D730" t="inlineStr">
        <is>
          <t>Other</t>
        </is>
      </c>
      <c r="F730" t="inlineStr">
        <is>
          <t>Open</t>
        </is>
      </c>
      <c r="G730" t="inlineStr">
        <is>
          <t>Capacity not confirmed</t>
        </is>
      </c>
      <c r="H730" t="inlineStr">
        <is>
          <t>https://ntpctender.ntpc.co.in/NITDetails/NITs/30260</t>
        </is>
      </c>
    </row>
    <row r="731">
      <c r="B731" t="inlineStr">
        <is>
          <t>SJVN</t>
        </is>
      </c>
      <c r="C731" t="inlineStr">
        <is>
          <t>“Supply, installation&amp; commissioning with change-over provision for both Hydel &amp; Solar supply system at Bhima Kali Temple Distt. Shimla H.P.-172102 [P</t>
        </is>
      </c>
      <c r="D731" t="inlineStr">
        <is>
          <t>Solar</t>
        </is>
      </c>
      <c r="F731" t="inlineStr">
        <is>
          <t>Open</t>
        </is>
      </c>
      <c r="G731" t="inlineStr">
        <is>
          <t>Capacity not confirmed</t>
        </is>
      </c>
      <c r="H731" t="inlineStr">
        <is>
          <t>https://sjvn.nic.in/en/tender</t>
        </is>
      </c>
    </row>
    <row r="732">
      <c r="B732" t="inlineStr">
        <is>
          <t>GRIDCO</t>
        </is>
      </c>
      <c r="C732" t="inlineStr">
        <is>
          <t>Issuing Authority : Director (Trading &amp; Business Development) Start Date of Selling Tender Paper : 09/23/2026 05:00 PM Scope of Work : NOTICE FOR EXPR</t>
        </is>
      </c>
      <c r="D732" t="inlineStr">
        <is>
          <t>Other</t>
        </is>
      </c>
      <c r="F732" t="inlineStr">
        <is>
          <t>Open</t>
        </is>
      </c>
      <c r="G732" t="inlineStr">
        <is>
          <t>Capacity not confirmed</t>
        </is>
      </c>
      <c r="H732" t="inlineStr">
        <is>
          <t>https://www.gridco.co.in/tender.aspx</t>
        </is>
      </c>
    </row>
    <row r="733">
      <c r="B733" t="inlineStr">
        <is>
          <t>GRIDCO</t>
        </is>
      </c>
      <c r="C733" t="inlineStr">
        <is>
          <t>Scope of Work :</t>
        </is>
      </c>
      <c r="D733" t="inlineStr">
        <is>
          <t>Other</t>
        </is>
      </c>
      <c r="F733" t="inlineStr">
        <is>
          <t>Open</t>
        </is>
      </c>
      <c r="G733" t="inlineStr">
        <is>
          <t>Capacity not confirmed</t>
        </is>
      </c>
      <c r="H733" t="inlineStr">
        <is>
          <t>https://www.gridco.co.in/tender.aspx</t>
        </is>
      </c>
    </row>
    <row r="734">
      <c r="B734" t="inlineStr">
        <is>
          <t>GRIDCO</t>
        </is>
      </c>
      <c r="C734" t="inlineStr">
        <is>
          <t>Tender Description :</t>
        </is>
      </c>
      <c r="D734" t="inlineStr">
        <is>
          <t>Other</t>
        </is>
      </c>
      <c r="F734" t="inlineStr">
        <is>
          <t>Open</t>
        </is>
      </c>
      <c r="G734" t="inlineStr">
        <is>
          <t>Capacity not confirmed</t>
        </is>
      </c>
      <c r="H734" t="inlineStr">
        <is>
          <t>https://www.gridco.co.in/tender.aspx</t>
        </is>
      </c>
    </row>
    <row r="735">
      <c r="A735" t="inlineStr">
        <is>
          <t>SECI000281</t>
        </is>
      </c>
      <c r="B735" t="inlineStr">
        <is>
          <t>SECI</t>
        </is>
      </c>
      <c r="C735" t="inlineStr">
        <is>
          <t>SECI/C&amp;P/IPP/11/0008/26-27</t>
        </is>
      </c>
      <c r="D735" t="inlineStr">
        <is>
          <t>Solar</t>
        </is>
      </c>
      <c r="F735" t="inlineStr">
        <is>
          <t>Open</t>
        </is>
      </c>
      <c r="G735" t="inlineStr">
        <is>
          <t>Rooftop solar excluded</t>
        </is>
      </c>
      <c r="H735" t="inlineStr">
        <is>
          <t>https://www.seci.co.in/tender-details/Ymp2</t>
        </is>
      </c>
    </row>
    <row r="736">
      <c r="A736" t="inlineStr">
        <is>
          <t>SECI000263</t>
        </is>
      </c>
      <c r="B736" t="inlineStr">
        <is>
          <t>SECI</t>
        </is>
      </c>
      <c r="C736" t="inlineStr">
        <is>
          <t>SECI/C&amp;P/OP/11/0003/26-27</t>
        </is>
      </c>
      <c r="D736" t="inlineStr">
        <is>
          <t>Wind</t>
        </is>
      </c>
      <c r="E736" t="n">
        <v>45.6</v>
      </c>
      <c r="F736" t="inlineStr">
        <is>
          <t>Open</t>
        </is>
      </c>
      <c r="G736" t="inlineStr">
        <is>
          <t>Capacity below configured minimum</t>
        </is>
      </c>
      <c r="H736" t="inlineStr">
        <is>
          <t>https://www.seci.co.in/tender-details/YmR0</t>
        </is>
      </c>
    </row>
    <row r="737">
      <c r="A737" t="inlineStr">
        <is>
          <t>SECI000279</t>
        </is>
      </c>
      <c r="B737" t="inlineStr">
        <is>
          <t>SECI</t>
        </is>
      </c>
      <c r="C737" t="inlineStr">
        <is>
          <t>SECI/C&amp;P/MI/00/05/2026-27</t>
        </is>
      </c>
      <c r="D737" t="inlineStr">
        <is>
          <t>Solar</t>
        </is>
      </c>
      <c r="F737" t="inlineStr">
        <is>
          <t>Open</t>
        </is>
      </c>
      <c r="G737" t="inlineStr">
        <is>
          <t>Capacity not confirmed</t>
        </is>
      </c>
      <c r="H737" t="inlineStr">
        <is>
          <t>https://www.seci.co.in/tender-details/YmV-</t>
        </is>
      </c>
    </row>
    <row r="738">
      <c r="A738" t="inlineStr">
        <is>
          <t>SECI000270</t>
        </is>
      </c>
      <c r="B738" t="inlineStr">
        <is>
          <t>SECI</t>
        </is>
      </c>
      <c r="C738" t="inlineStr">
        <is>
          <t>SECI/C&amp;P/OP/15/0005/26-27</t>
        </is>
      </c>
      <c r="D738" t="inlineStr">
        <is>
          <t>Solar</t>
        </is>
      </c>
      <c r="F738" t="inlineStr">
        <is>
          <t>Open</t>
        </is>
      </c>
      <c r="G738" t="inlineStr">
        <is>
          <t>Rooftop solar excluded</t>
        </is>
      </c>
      <c r="H738" t="inlineStr">
        <is>
          <t>https://www.seci.co.in/tender-details/YmV3</t>
        </is>
      </c>
    </row>
    <row r="739">
      <c r="A739" t="inlineStr">
        <is>
          <t>SECI000262</t>
        </is>
      </c>
      <c r="B739" t="inlineStr">
        <is>
          <t>SECI</t>
        </is>
      </c>
      <c r="C739" t="inlineStr">
        <is>
          <t>SECI/C&amp;P/OP/11/0002/26-27</t>
        </is>
      </c>
      <c r="D739" t="inlineStr">
        <is>
          <t>Solar + BESS</t>
        </is>
      </c>
      <c r="E739" t="n">
        <v>25</v>
      </c>
      <c r="F739" t="inlineStr">
        <is>
          <t>Open</t>
        </is>
      </c>
      <c r="G739" t="inlineStr">
        <is>
          <t>Capacity below configured minimum</t>
        </is>
      </c>
      <c r="H739" t="inlineStr">
        <is>
          <t>https://www.seci.co.in/tender-details/YmR1</t>
        </is>
      </c>
    </row>
    <row r="740">
      <c r="A740" t="inlineStr">
        <is>
          <t>SECI000274</t>
        </is>
      </c>
      <c r="B740" t="inlineStr">
        <is>
          <t>SECI</t>
        </is>
      </c>
      <c r="C740" t="inlineStr">
        <is>
          <t>SECI/C&amp;P/IPP/15/0008/26-27</t>
        </is>
      </c>
      <c r="D740" t="inlineStr">
        <is>
          <t>Other</t>
        </is>
      </c>
      <c r="E740" t="n">
        <v>50</v>
      </c>
      <c r="F740" t="inlineStr">
        <is>
          <t>Open</t>
        </is>
      </c>
      <c r="G740" t="inlineStr">
        <is>
          <t>Capacity below configured minimum</t>
        </is>
      </c>
      <c r="H740" t="inlineStr">
        <is>
          <t>https://www.seci.co.in/tender-details/YmVz</t>
        </is>
      </c>
    </row>
    <row r="741">
      <c r="A741" t="inlineStr">
        <is>
          <t>SECI000276</t>
        </is>
      </c>
      <c r="B741" t="inlineStr">
        <is>
          <t>SECI</t>
        </is>
      </c>
      <c r="C741" t="inlineStr">
        <is>
          <t>SECI/C&amp;P/OP/15/0006/25-26</t>
        </is>
      </c>
      <c r="D741" t="inlineStr">
        <is>
          <t>Solar</t>
        </is>
      </c>
      <c r="F741" t="inlineStr">
        <is>
          <t>Open</t>
        </is>
      </c>
      <c r="G741" t="inlineStr">
        <is>
          <t>Rooftop solar excluded</t>
        </is>
      </c>
      <c r="H741" t="inlineStr">
        <is>
          <t>https://www.seci.co.in/tender-details/YmVx</t>
        </is>
      </c>
    </row>
    <row r="742">
      <c r="A742" t="inlineStr">
        <is>
          <t>SECI000267</t>
        </is>
      </c>
      <c r="B742" t="inlineStr">
        <is>
          <t>SECI</t>
        </is>
      </c>
      <c r="C742" t="inlineStr">
        <is>
          <t>SECI/C&amp;P/MI/00/0001/26-27</t>
        </is>
      </c>
      <c r="D742" t="inlineStr">
        <is>
          <t>Other</t>
        </is>
      </c>
      <c r="F742" t="inlineStr">
        <is>
          <t>Open</t>
        </is>
      </c>
      <c r="G742" t="inlineStr">
        <is>
          <t>Capacity not confirmed</t>
        </is>
      </c>
      <c r="H742" t="inlineStr">
        <is>
          <t>https://www.seci.co.in/tender-details/YmRw</t>
        </is>
      </c>
    </row>
    <row r="743">
      <c r="A743" t="inlineStr">
        <is>
          <t>SECI000252</t>
        </is>
      </c>
      <c r="B743" t="inlineStr">
        <is>
          <t>SECI</t>
        </is>
      </c>
      <c r="C743" t="inlineStr">
        <is>
          <t>SECI/C&amp;P/OP/11/0001/26-27</t>
        </is>
      </c>
      <c r="D743" t="inlineStr">
        <is>
          <t>Solar</t>
        </is>
      </c>
      <c r="E743" t="n">
        <v>88</v>
      </c>
      <c r="F743" t="inlineStr">
        <is>
          <t>Open</t>
        </is>
      </c>
      <c r="G743" t="inlineStr">
        <is>
          <t>EPC / turnkey / BoS excluded</t>
        </is>
      </c>
      <c r="H743" t="inlineStr">
        <is>
          <t>https://www.seci.co.in/tender-details/Ymd1</t>
        </is>
      </c>
    </row>
    <row r="744">
      <c r="A744" t="inlineStr">
        <is>
          <t>SECI000264</t>
        </is>
      </c>
      <c r="B744" t="inlineStr">
        <is>
          <t>SECI</t>
        </is>
      </c>
      <c r="C744" t="inlineStr">
        <is>
          <t>SECI/C&amp;P/EOI/17/0002/26-27</t>
        </is>
      </c>
      <c r="D744" t="inlineStr">
        <is>
          <t>Other</t>
        </is>
      </c>
      <c r="F744" t="inlineStr">
        <is>
          <t>Open</t>
        </is>
      </c>
      <c r="G744" t="inlineStr">
        <is>
          <t>Capacity not confirmed</t>
        </is>
      </c>
      <c r="H744" t="inlineStr">
        <is>
          <t>https://www.seci.co.in/tender-details/YmRz</t>
        </is>
      </c>
    </row>
    <row r="745">
      <c r="B745" t="inlineStr">
        <is>
          <t>NTPC REL</t>
        </is>
      </c>
      <c r="D745" t="inlineStr">
        <is>
          <t>Other</t>
        </is>
      </c>
      <c r="F745" t="inlineStr">
        <is>
          <t>Open</t>
        </is>
      </c>
      <c r="G745" t="inlineStr">
        <is>
          <t>Capacity not confirmed</t>
        </is>
      </c>
      <c r="H745" t="inlineStr">
        <is>
          <t>https://ntpctender.ntpc.co.in/NITDetails/NITs/30290</t>
        </is>
      </c>
    </row>
    <row r="746">
      <c r="B746" t="inlineStr">
        <is>
          <t>NTPC REL</t>
        </is>
      </c>
      <c r="D746" t="inlineStr">
        <is>
          <t>Wind</t>
        </is>
      </c>
      <c r="F746" t="inlineStr">
        <is>
          <t>Open</t>
        </is>
      </c>
      <c r="G746" t="inlineStr">
        <is>
          <t>Capacity not confirmed</t>
        </is>
      </c>
      <c r="H746" t="inlineStr">
        <is>
          <t>https://ntpctender.ntpc.co.in/NITDetails/NITs/30281</t>
        </is>
      </c>
    </row>
    <row r="747">
      <c r="B747" t="inlineStr">
        <is>
          <t>NTPC REL</t>
        </is>
      </c>
      <c r="D747" t="inlineStr">
        <is>
          <t>Wind</t>
        </is>
      </c>
      <c r="E747" t="n">
        <v>600</v>
      </c>
      <c r="F747" t="inlineStr">
        <is>
          <t>Open</t>
        </is>
      </c>
      <c r="G747" t="inlineStr">
        <is>
          <t>Supply / installation excluded</t>
        </is>
      </c>
      <c r="H747" t="inlineStr">
        <is>
          <t>https://ntpctender.ntpc.co.in/NITDetails/NITs/30277</t>
        </is>
      </c>
    </row>
    <row r="748">
      <c r="B748" t="inlineStr">
        <is>
          <t>SJVN</t>
        </is>
      </c>
      <c r="C748" t="inlineStr">
        <is>
          <t>“Supply, installation&amp; commissioning with change-over provision for both Hydel &amp; Solar supply system at Bhima Kali Temple Distt. Shimla H.P.-172102 [P</t>
        </is>
      </c>
      <c r="D748" t="inlineStr">
        <is>
          <t>Solar</t>
        </is>
      </c>
      <c r="F748" t="inlineStr">
        <is>
          <t>Open</t>
        </is>
      </c>
      <c r="G748" t="inlineStr">
        <is>
          <t>Capacity not confirmed</t>
        </is>
      </c>
      <c r="H748" t="inlineStr">
        <is>
          <t>https://sjvn.nic.in/en/tender</t>
        </is>
      </c>
    </row>
    <row r="749">
      <c r="B749" t="inlineStr">
        <is>
          <t>GRIDCO</t>
        </is>
      </c>
      <c r="C749" t="inlineStr">
        <is>
          <t>Issuing Authority : Director (Trading &amp; Business Development) Start Date of Selling Tender Paper : 09/23/2026 05:00 PM Scope of Work : NOTICE FOR EXPR</t>
        </is>
      </c>
      <c r="D749" t="inlineStr">
        <is>
          <t>Other</t>
        </is>
      </c>
      <c r="F749" t="inlineStr">
        <is>
          <t>Open</t>
        </is>
      </c>
      <c r="G749" t="inlineStr">
        <is>
          <t>Capacity not confirmed</t>
        </is>
      </c>
      <c r="H749" t="inlineStr">
        <is>
          <t>https://www.gridco.co.in/tender.aspx</t>
        </is>
      </c>
    </row>
    <row r="750">
      <c r="B750" t="inlineStr">
        <is>
          <t>GRIDCO</t>
        </is>
      </c>
      <c r="C750" t="inlineStr">
        <is>
          <t>Scope of Work :</t>
        </is>
      </c>
      <c r="D750" t="inlineStr">
        <is>
          <t>Other</t>
        </is>
      </c>
      <c r="F750" t="inlineStr">
        <is>
          <t>Open</t>
        </is>
      </c>
      <c r="G750" t="inlineStr">
        <is>
          <t>Capacity not confirmed</t>
        </is>
      </c>
      <c r="H750" t="inlineStr">
        <is>
          <t>https://www.gridco.co.in/tender.aspx</t>
        </is>
      </c>
    </row>
    <row r="751">
      <c r="B751" t="inlineStr">
        <is>
          <t>GRIDCO</t>
        </is>
      </c>
      <c r="C751" t="inlineStr">
        <is>
          <t>Tender Description :</t>
        </is>
      </c>
      <c r="D751" t="inlineStr">
        <is>
          <t>Other</t>
        </is>
      </c>
      <c r="F751" t="inlineStr">
        <is>
          <t>Open</t>
        </is>
      </c>
      <c r="G751" t="inlineStr">
        <is>
          <t>Capacity not confirmed</t>
        </is>
      </c>
      <c r="H751" t="inlineStr">
        <is>
          <t>https://www.gridco.co.in/tender.aspx</t>
        </is>
      </c>
    </row>
    <row r="752">
      <c r="A752" t="inlineStr">
        <is>
          <t>SECI000284</t>
        </is>
      </c>
      <c r="B752" t="inlineStr">
        <is>
          <t>SECI</t>
        </is>
      </c>
      <c r="C752" t="inlineStr">
        <is>
          <t>SECI/C&amp;P/OP/11/0007/26-27</t>
        </is>
      </c>
      <c r="D752" t="inlineStr">
        <is>
          <t>Solar</t>
        </is>
      </c>
      <c r="E752" t="n">
        <v>60</v>
      </c>
      <c r="F752" t="inlineStr">
        <is>
          <t>Open</t>
        </is>
      </c>
      <c r="G752" t="inlineStr">
        <is>
          <t>O&amp;M-only tender excluded</t>
        </is>
      </c>
      <c r="H752" t="inlineStr">
        <is>
          <t>https://www.seci.co.in/tender-details/Ympz</t>
        </is>
      </c>
    </row>
    <row r="753">
      <c r="A753" t="inlineStr">
        <is>
          <t>SECI000281</t>
        </is>
      </c>
      <c r="B753" t="inlineStr">
        <is>
          <t>SECI</t>
        </is>
      </c>
      <c r="C753" t="inlineStr">
        <is>
          <t>SECI/C&amp;P/IPP/11/0008/26-27</t>
        </is>
      </c>
      <c r="D753" t="inlineStr">
        <is>
          <t>Solar</t>
        </is>
      </c>
      <c r="F753" t="inlineStr">
        <is>
          <t>Open</t>
        </is>
      </c>
      <c r="G753" t="inlineStr">
        <is>
          <t>Rooftop solar excluded</t>
        </is>
      </c>
      <c r="H753" t="inlineStr">
        <is>
          <t>https://www.seci.co.in/tender-details/Ymp2</t>
        </is>
      </c>
    </row>
    <row r="754">
      <c r="A754" t="inlineStr">
        <is>
          <t>SECI000263</t>
        </is>
      </c>
      <c r="B754" t="inlineStr">
        <is>
          <t>SECI</t>
        </is>
      </c>
      <c r="C754" t="inlineStr">
        <is>
          <t>SECI/C&amp;P/OP/11/0003/26-27</t>
        </is>
      </c>
      <c r="D754" t="inlineStr">
        <is>
          <t>Wind</t>
        </is>
      </c>
      <c r="E754" t="n">
        <v>45.6</v>
      </c>
      <c r="F754" t="inlineStr">
        <is>
          <t>Open</t>
        </is>
      </c>
      <c r="G754" t="inlineStr">
        <is>
          <t>Capacity below configured minimum</t>
        </is>
      </c>
      <c r="H754" t="inlineStr">
        <is>
          <t>https://www.seci.co.in/tender-details/YmR0</t>
        </is>
      </c>
    </row>
    <row r="755">
      <c r="A755" t="inlineStr">
        <is>
          <t>SECI000279</t>
        </is>
      </c>
      <c r="B755" t="inlineStr">
        <is>
          <t>SECI</t>
        </is>
      </c>
      <c r="C755" t="inlineStr">
        <is>
          <t>SECI/C&amp;P/MI/00/05/2026-27</t>
        </is>
      </c>
      <c r="D755" t="inlineStr">
        <is>
          <t>Solar</t>
        </is>
      </c>
      <c r="F755" t="inlineStr">
        <is>
          <t>Open</t>
        </is>
      </c>
      <c r="G755" t="inlineStr">
        <is>
          <t>Capacity not confirmed</t>
        </is>
      </c>
      <c r="H755" t="inlineStr">
        <is>
          <t>https://www.seci.co.in/tender-details/YmV-</t>
        </is>
      </c>
    </row>
    <row r="756">
      <c r="A756" t="inlineStr">
        <is>
          <t>SECI000270</t>
        </is>
      </c>
      <c r="B756" t="inlineStr">
        <is>
          <t>SECI</t>
        </is>
      </c>
      <c r="C756" t="inlineStr">
        <is>
          <t>SECI/C&amp;P/OP/15/0005/26-27</t>
        </is>
      </c>
      <c r="D756" t="inlineStr">
        <is>
          <t>Solar</t>
        </is>
      </c>
      <c r="F756" t="inlineStr">
        <is>
          <t>Open</t>
        </is>
      </c>
      <c r="G756" t="inlineStr">
        <is>
          <t>Rooftop solar excluded</t>
        </is>
      </c>
      <c r="H756" t="inlineStr">
        <is>
          <t>https://www.seci.co.in/tender-details/YmV3</t>
        </is>
      </c>
    </row>
    <row r="757">
      <c r="A757" t="inlineStr">
        <is>
          <t>SECI000262</t>
        </is>
      </c>
      <c r="B757" t="inlineStr">
        <is>
          <t>SECI</t>
        </is>
      </c>
      <c r="C757" t="inlineStr">
        <is>
          <t>SECI/C&amp;P/OP/11/0002/26-27</t>
        </is>
      </c>
      <c r="D757" t="inlineStr">
        <is>
          <t>Solar + BESS</t>
        </is>
      </c>
      <c r="E757" t="n">
        <v>25</v>
      </c>
      <c r="F757" t="inlineStr">
        <is>
          <t>Open</t>
        </is>
      </c>
      <c r="G757" t="inlineStr">
        <is>
          <t>Capacity below configured minimum</t>
        </is>
      </c>
      <c r="H757" t="inlineStr">
        <is>
          <t>https://www.seci.co.in/tender-details/YmR1</t>
        </is>
      </c>
    </row>
    <row r="758">
      <c r="A758" t="inlineStr">
        <is>
          <t>SECI000274</t>
        </is>
      </c>
      <c r="B758" t="inlineStr">
        <is>
          <t>SECI</t>
        </is>
      </c>
      <c r="C758" t="inlineStr">
        <is>
          <t>SECI/C&amp;P/IPP/15/0008/26-27</t>
        </is>
      </c>
      <c r="D758" t="inlineStr">
        <is>
          <t>Other</t>
        </is>
      </c>
      <c r="E758" t="n">
        <v>50</v>
      </c>
      <c r="F758" t="inlineStr">
        <is>
          <t>Open</t>
        </is>
      </c>
      <c r="G758" t="inlineStr">
        <is>
          <t>Capacity below configured minimum</t>
        </is>
      </c>
      <c r="H758" t="inlineStr">
        <is>
          <t>https://www.seci.co.in/tender-details/YmVz</t>
        </is>
      </c>
    </row>
    <row r="759">
      <c r="A759" t="inlineStr">
        <is>
          <t>SECI000276</t>
        </is>
      </c>
      <c r="B759" t="inlineStr">
        <is>
          <t>SECI</t>
        </is>
      </c>
      <c r="C759" t="inlineStr">
        <is>
          <t>SECI/C&amp;P/OP/15/0006/25-26</t>
        </is>
      </c>
      <c r="D759" t="inlineStr">
        <is>
          <t>Solar</t>
        </is>
      </c>
      <c r="F759" t="inlineStr">
        <is>
          <t>Open</t>
        </is>
      </c>
      <c r="G759" t="inlineStr">
        <is>
          <t>Rooftop solar excluded</t>
        </is>
      </c>
      <c r="H759" t="inlineStr">
        <is>
          <t>https://www.seci.co.in/tender-details/YmVx</t>
        </is>
      </c>
    </row>
    <row r="760">
      <c r="A760" t="inlineStr">
        <is>
          <t>SECI000267</t>
        </is>
      </c>
      <c r="B760" t="inlineStr">
        <is>
          <t>SECI</t>
        </is>
      </c>
      <c r="C760" t="inlineStr">
        <is>
          <t>SECI/C&amp;P/MI/00/0001/26-27</t>
        </is>
      </c>
      <c r="D760" t="inlineStr">
        <is>
          <t>Other</t>
        </is>
      </c>
      <c r="F760" t="inlineStr">
        <is>
          <t>Open</t>
        </is>
      </c>
      <c r="G760" t="inlineStr">
        <is>
          <t>Capacity not confirmed</t>
        </is>
      </c>
      <c r="H760" t="inlineStr">
        <is>
          <t>https://www.seci.co.in/tender-details/YmRw</t>
        </is>
      </c>
    </row>
    <row r="761">
      <c r="A761" t="inlineStr">
        <is>
          <t>SECI000252</t>
        </is>
      </c>
      <c r="B761" t="inlineStr">
        <is>
          <t>SECI</t>
        </is>
      </c>
      <c r="C761" t="inlineStr">
        <is>
          <t>SECI/C&amp;P/OP/11/0001/26-27</t>
        </is>
      </c>
      <c r="D761" t="inlineStr">
        <is>
          <t>Solar</t>
        </is>
      </c>
      <c r="E761" t="n">
        <v>88</v>
      </c>
      <c r="F761" t="inlineStr">
        <is>
          <t>Open</t>
        </is>
      </c>
      <c r="G761" t="inlineStr">
        <is>
          <t>EPC / turnkey / BoS excluded</t>
        </is>
      </c>
      <c r="H761" t="inlineStr">
        <is>
          <t>https://www.seci.co.in/tender-details/Ymd1</t>
        </is>
      </c>
    </row>
    <row r="762">
      <c r="A762" t="inlineStr">
        <is>
          <t>SECI000264</t>
        </is>
      </c>
      <c r="B762" t="inlineStr">
        <is>
          <t>SECI</t>
        </is>
      </c>
      <c r="C762" t="inlineStr">
        <is>
          <t>SECI/C&amp;P/EOI/17/0002/26-27</t>
        </is>
      </c>
      <c r="D762" t="inlineStr">
        <is>
          <t>Other</t>
        </is>
      </c>
      <c r="F762" t="inlineStr">
        <is>
          <t>Open</t>
        </is>
      </c>
      <c r="G762" t="inlineStr">
        <is>
          <t>Capacity not confirmed</t>
        </is>
      </c>
      <c r="H762" t="inlineStr">
        <is>
          <t>https://www.seci.co.in/tender-details/YmRz</t>
        </is>
      </c>
    </row>
    <row r="763">
      <c r="B763" t="inlineStr">
        <is>
          <t>NTPC REL</t>
        </is>
      </c>
      <c r="D763" t="inlineStr">
        <is>
          <t>Other</t>
        </is>
      </c>
      <c r="F763" t="inlineStr">
        <is>
          <t>Open</t>
        </is>
      </c>
      <c r="G763" t="inlineStr">
        <is>
          <t>Capacity not confirmed</t>
        </is>
      </c>
      <c r="H763" t="inlineStr">
        <is>
          <t>https://ntpctender.ntpc.co.in/NITDetails/NITs/30290</t>
        </is>
      </c>
    </row>
    <row r="764">
      <c r="B764" t="inlineStr">
        <is>
          <t>NTPC REL</t>
        </is>
      </c>
      <c r="D764" t="inlineStr">
        <is>
          <t>Wind</t>
        </is>
      </c>
      <c r="F764" t="inlineStr">
        <is>
          <t>Open</t>
        </is>
      </c>
      <c r="G764" t="inlineStr">
        <is>
          <t>Capacity not confirmed</t>
        </is>
      </c>
      <c r="H764" t="inlineStr">
        <is>
          <t>https://ntpctender.ntpc.co.in/NITDetails/NITs/30281</t>
        </is>
      </c>
    </row>
    <row r="765">
      <c r="B765" t="inlineStr">
        <is>
          <t>NTPC REL</t>
        </is>
      </c>
      <c r="D765" t="inlineStr">
        <is>
          <t>Wind</t>
        </is>
      </c>
      <c r="E765" t="n">
        <v>600</v>
      </c>
      <c r="F765" t="inlineStr">
        <is>
          <t>Open</t>
        </is>
      </c>
      <c r="G765" t="inlineStr">
        <is>
          <t>Supply / installation excluded</t>
        </is>
      </c>
      <c r="H765" t="inlineStr">
        <is>
          <t>https://ntpctender.ntpc.co.in/NITDetails/NITs/30277</t>
        </is>
      </c>
    </row>
    <row r="766">
      <c r="B766" t="inlineStr">
        <is>
          <t>SJVN</t>
        </is>
      </c>
      <c r="C766" t="inlineStr">
        <is>
          <t>“Supply, installation&amp; commissioning with change-over provision for both Hydel &amp; Solar supply system at Bhima Kali Temple Distt. Shimla H.P.-172102 [P</t>
        </is>
      </c>
      <c r="D766" t="inlineStr">
        <is>
          <t>Solar</t>
        </is>
      </c>
      <c r="F766" t="inlineStr">
        <is>
          <t>Open</t>
        </is>
      </c>
      <c r="G766" t="inlineStr">
        <is>
          <t>Capacity not confirmed</t>
        </is>
      </c>
      <c r="H766" t="inlineStr">
        <is>
          <t>https://sjvn.nic.in/en/tender</t>
        </is>
      </c>
    </row>
    <row r="767">
      <c r="B767" t="inlineStr">
        <is>
          <t>GRIDCO</t>
        </is>
      </c>
      <c r="C767" t="inlineStr">
        <is>
          <t>Issuing Authority : Director (Trading &amp; Business Development) Start Date of Selling Tender Paper : 09/23/2026 05:00 PM Scope of Work : NOTICE FOR EXPR</t>
        </is>
      </c>
      <c r="D767" t="inlineStr">
        <is>
          <t>Other</t>
        </is>
      </c>
      <c r="F767" t="inlineStr">
        <is>
          <t>Open</t>
        </is>
      </c>
      <c r="G767" t="inlineStr">
        <is>
          <t>Capacity not confirmed</t>
        </is>
      </c>
      <c r="H767" t="inlineStr">
        <is>
          <t>https://www.gridco.co.in/tender.aspx</t>
        </is>
      </c>
    </row>
    <row r="768">
      <c r="B768" t="inlineStr">
        <is>
          <t>GRIDCO</t>
        </is>
      </c>
      <c r="C768" t="inlineStr">
        <is>
          <t>Scope of Work :</t>
        </is>
      </c>
      <c r="D768" t="inlineStr">
        <is>
          <t>Other</t>
        </is>
      </c>
      <c r="F768" t="inlineStr">
        <is>
          <t>Open</t>
        </is>
      </c>
      <c r="G768" t="inlineStr">
        <is>
          <t>Capacity not confirmed</t>
        </is>
      </c>
      <c r="H768" t="inlineStr">
        <is>
          <t>https://www.gridco.co.in/tender.aspx</t>
        </is>
      </c>
    </row>
    <row r="769">
      <c r="B769" t="inlineStr">
        <is>
          <t>GRIDCO</t>
        </is>
      </c>
      <c r="C769" t="inlineStr">
        <is>
          <t>Tender Description :</t>
        </is>
      </c>
      <c r="D769" t="inlineStr">
        <is>
          <t>Other</t>
        </is>
      </c>
      <c r="F769" t="inlineStr">
        <is>
          <t>Open</t>
        </is>
      </c>
      <c r="G769" t="inlineStr">
        <is>
          <t>Capacity not confirmed</t>
        </is>
      </c>
      <c r="H769" t="inlineStr">
        <is>
          <t>https://www.gridco.co.in/tender.aspx</t>
        </is>
      </c>
    </row>
    <row r="770">
      <c r="A770" t="inlineStr">
        <is>
          <t>SECI000284</t>
        </is>
      </c>
      <c r="B770" t="inlineStr">
        <is>
          <t>SECI</t>
        </is>
      </c>
      <c r="C770" t="inlineStr">
        <is>
          <t>SECI/C&amp;P/OP/11/0007/26-27</t>
        </is>
      </c>
      <c r="D770" t="inlineStr">
        <is>
          <t>Solar</t>
        </is>
      </c>
      <c r="E770" t="n">
        <v>60</v>
      </c>
      <c r="F770" t="inlineStr">
        <is>
          <t>Open</t>
        </is>
      </c>
      <c r="G770" t="inlineStr">
        <is>
          <t>O&amp;M-only tender excluded</t>
        </is>
      </c>
      <c r="H770" t="inlineStr">
        <is>
          <t>https://www.seci.co.in/tender-details/Ympz</t>
        </is>
      </c>
    </row>
    <row r="771">
      <c r="A771" t="inlineStr">
        <is>
          <t>SECI000285</t>
        </is>
      </c>
      <c r="B771" t="inlineStr">
        <is>
          <t>SECI</t>
        </is>
      </c>
      <c r="C771" t="inlineStr">
        <is>
          <t>SECI/C&amp;P/IPP/11/0009/26-27</t>
        </is>
      </c>
      <c r="D771" t="inlineStr">
        <is>
          <t>Solar</t>
        </is>
      </c>
      <c r="F771" t="inlineStr">
        <is>
          <t>Open</t>
        </is>
      </c>
      <c r="G771" t="inlineStr">
        <is>
          <t>Rooftop solar excluded</t>
        </is>
      </c>
      <c r="H771" t="inlineStr">
        <is>
          <t>https://www.seci.co.in/tender-details/Ympy</t>
        </is>
      </c>
    </row>
    <row r="772">
      <c r="A772" t="inlineStr">
        <is>
          <t>SECI000281</t>
        </is>
      </c>
      <c r="B772" t="inlineStr">
        <is>
          <t>SECI</t>
        </is>
      </c>
      <c r="C772" t="inlineStr">
        <is>
          <t>SECI/C&amp;P/IPP/11/0008/26-27</t>
        </is>
      </c>
      <c r="D772" t="inlineStr">
        <is>
          <t>Solar</t>
        </is>
      </c>
      <c r="F772" t="inlineStr">
        <is>
          <t>Open</t>
        </is>
      </c>
      <c r="G772" t="inlineStr">
        <is>
          <t>Rooftop solar excluded</t>
        </is>
      </c>
      <c r="H772" t="inlineStr">
        <is>
          <t>https://www.seci.co.in/tender-details/Ymp2</t>
        </is>
      </c>
    </row>
    <row r="773">
      <c r="A773" t="inlineStr">
        <is>
          <t>SECI000263</t>
        </is>
      </c>
      <c r="B773" t="inlineStr">
        <is>
          <t>SECI</t>
        </is>
      </c>
      <c r="C773" t="inlineStr">
        <is>
          <t>SECI/C&amp;P/OP/11/0003/26-27</t>
        </is>
      </c>
      <c r="D773" t="inlineStr">
        <is>
          <t>Wind</t>
        </is>
      </c>
      <c r="E773" t="n">
        <v>45.6</v>
      </c>
      <c r="F773" t="inlineStr">
        <is>
          <t>Open</t>
        </is>
      </c>
      <c r="G773" t="inlineStr">
        <is>
          <t>Capacity below configured minimum</t>
        </is>
      </c>
      <c r="H773" t="inlineStr">
        <is>
          <t>https://www.seci.co.in/tender-details/YmR0</t>
        </is>
      </c>
    </row>
    <row r="774">
      <c r="A774" t="inlineStr">
        <is>
          <t>SECI000279</t>
        </is>
      </c>
      <c r="B774" t="inlineStr">
        <is>
          <t>SECI</t>
        </is>
      </c>
      <c r="C774" t="inlineStr">
        <is>
          <t>SECI/C&amp;P/MI/00/05/2026-27</t>
        </is>
      </c>
      <c r="D774" t="inlineStr">
        <is>
          <t>Solar</t>
        </is>
      </c>
      <c r="F774" t="inlineStr">
        <is>
          <t>Open</t>
        </is>
      </c>
      <c r="G774" t="inlineStr">
        <is>
          <t>Capacity not confirmed</t>
        </is>
      </c>
      <c r="H774" t="inlineStr">
        <is>
          <t>https://www.seci.co.in/tender-details/YmV-</t>
        </is>
      </c>
    </row>
    <row r="775">
      <c r="A775" t="inlineStr">
        <is>
          <t>SECI000270</t>
        </is>
      </c>
      <c r="B775" t="inlineStr">
        <is>
          <t>SECI</t>
        </is>
      </c>
      <c r="C775" t="inlineStr">
        <is>
          <t>SECI/C&amp;P/OP/15/0005/26-27</t>
        </is>
      </c>
      <c r="D775" t="inlineStr">
        <is>
          <t>Solar</t>
        </is>
      </c>
      <c r="F775" t="inlineStr">
        <is>
          <t>Open</t>
        </is>
      </c>
      <c r="G775" t="inlineStr">
        <is>
          <t>Rooftop solar excluded</t>
        </is>
      </c>
      <c r="H775" t="inlineStr">
        <is>
          <t>https://www.seci.co.in/tender-details/YmV3</t>
        </is>
      </c>
    </row>
    <row r="776">
      <c r="A776" t="inlineStr">
        <is>
          <t>SECI000262</t>
        </is>
      </c>
      <c r="B776" t="inlineStr">
        <is>
          <t>SECI</t>
        </is>
      </c>
      <c r="C776" t="inlineStr">
        <is>
          <t>SECI/C&amp;P/OP/11/0002/26-27</t>
        </is>
      </c>
      <c r="D776" t="inlineStr">
        <is>
          <t>Solar + BESS</t>
        </is>
      </c>
      <c r="E776" t="n">
        <v>25</v>
      </c>
      <c r="F776" t="inlineStr">
        <is>
          <t>Open</t>
        </is>
      </c>
      <c r="G776" t="inlineStr">
        <is>
          <t>Capacity below configured minimum</t>
        </is>
      </c>
      <c r="H776" t="inlineStr">
        <is>
          <t>https://www.seci.co.in/tender-details/YmR1</t>
        </is>
      </c>
    </row>
    <row r="777">
      <c r="A777" t="inlineStr">
        <is>
          <t>SECI000274</t>
        </is>
      </c>
      <c r="B777" t="inlineStr">
        <is>
          <t>SECI</t>
        </is>
      </c>
      <c r="C777" t="inlineStr">
        <is>
          <t>SECI/C&amp;P/IPP/15/0008/26-27</t>
        </is>
      </c>
      <c r="D777" t="inlineStr">
        <is>
          <t>Other</t>
        </is>
      </c>
      <c r="E777" t="n">
        <v>50</v>
      </c>
      <c r="F777" t="inlineStr">
        <is>
          <t>Open</t>
        </is>
      </c>
      <c r="G777" t="inlineStr">
        <is>
          <t>Capacity below configured minimum</t>
        </is>
      </c>
      <c r="H777" t="inlineStr">
        <is>
          <t>https://www.seci.co.in/tender-details/YmVz</t>
        </is>
      </c>
    </row>
    <row r="778">
      <c r="A778" t="inlineStr">
        <is>
          <t>SECI000276</t>
        </is>
      </c>
      <c r="B778" t="inlineStr">
        <is>
          <t>SECI</t>
        </is>
      </c>
      <c r="C778" t="inlineStr">
        <is>
          <t>SECI/C&amp;P/OP/15/0006/25-26</t>
        </is>
      </c>
      <c r="D778" t="inlineStr">
        <is>
          <t>Solar</t>
        </is>
      </c>
      <c r="F778" t="inlineStr">
        <is>
          <t>Open</t>
        </is>
      </c>
      <c r="G778" t="inlineStr">
        <is>
          <t>Rooftop solar excluded</t>
        </is>
      </c>
      <c r="H778" t="inlineStr">
        <is>
          <t>https://www.seci.co.in/tender-details/YmVx</t>
        </is>
      </c>
    </row>
    <row r="779">
      <c r="A779" t="inlineStr">
        <is>
          <t>SECI000267</t>
        </is>
      </c>
      <c r="B779" t="inlineStr">
        <is>
          <t>SECI</t>
        </is>
      </c>
      <c r="C779" t="inlineStr">
        <is>
          <t>SECI/C&amp;P/MI/00/0001/26-27</t>
        </is>
      </c>
      <c r="D779" t="inlineStr">
        <is>
          <t>Other</t>
        </is>
      </c>
      <c r="F779" t="inlineStr">
        <is>
          <t>Open</t>
        </is>
      </c>
      <c r="G779" t="inlineStr">
        <is>
          <t>Capacity not confirmed</t>
        </is>
      </c>
      <c r="H779" t="inlineStr">
        <is>
          <t>https://www.seci.co.in/tender-details/YmRw</t>
        </is>
      </c>
    </row>
    <row r="780">
      <c r="A780" t="inlineStr">
        <is>
          <t>SECI000252</t>
        </is>
      </c>
      <c r="B780" t="inlineStr">
        <is>
          <t>SECI</t>
        </is>
      </c>
      <c r="C780" t="inlineStr">
        <is>
          <t>SECI/C&amp;P/OP/11/0001/26-27</t>
        </is>
      </c>
      <c r="D780" t="inlineStr">
        <is>
          <t>Solar</t>
        </is>
      </c>
      <c r="E780" t="n">
        <v>88</v>
      </c>
      <c r="F780" t="inlineStr">
        <is>
          <t>Open</t>
        </is>
      </c>
      <c r="G780" t="inlineStr">
        <is>
          <t>EPC / turnkey / BoS excluded</t>
        </is>
      </c>
      <c r="H780" t="inlineStr">
        <is>
          <t>https://www.seci.co.in/tender-details/Ymd1</t>
        </is>
      </c>
    </row>
    <row r="781">
      <c r="B781" t="inlineStr">
        <is>
          <t>NTPC REL</t>
        </is>
      </c>
      <c r="D781" t="inlineStr">
        <is>
          <t>Solar</t>
        </is>
      </c>
      <c r="E781" t="n">
        <v>500</v>
      </c>
      <c r="F781" t="inlineStr">
        <is>
          <t>Open</t>
        </is>
      </c>
      <c r="G781" t="inlineStr">
        <is>
          <t>EPC / turnkey / BoS excluded</t>
        </is>
      </c>
      <c r="H781" t="inlineStr">
        <is>
          <t>https://ntpctender.ntpc.co.in/NITDetails/NITs/30310</t>
        </is>
      </c>
    </row>
    <row r="782">
      <c r="B782" t="inlineStr">
        <is>
          <t>NTPC REL</t>
        </is>
      </c>
      <c r="D782" t="inlineStr">
        <is>
          <t>Other</t>
        </is>
      </c>
      <c r="F782" t="inlineStr">
        <is>
          <t>Open</t>
        </is>
      </c>
      <c r="G782" t="inlineStr">
        <is>
          <t>Capacity not confirmed</t>
        </is>
      </c>
      <c r="H782" t="inlineStr">
        <is>
          <t>https://ntpctender.ntpc.co.in/NITDetails/NITs/30290</t>
        </is>
      </c>
    </row>
    <row r="783">
      <c r="B783" t="inlineStr">
        <is>
          <t>NTPC REL</t>
        </is>
      </c>
      <c r="D783" t="inlineStr">
        <is>
          <t>Wind</t>
        </is>
      </c>
      <c r="F783" t="inlineStr">
        <is>
          <t>Open</t>
        </is>
      </c>
      <c r="G783" t="inlineStr">
        <is>
          <t>Capacity not confirmed</t>
        </is>
      </c>
      <c r="H783" t="inlineStr">
        <is>
          <t>https://ntpctender.ntpc.co.in/NITDetails/NITs/30281</t>
        </is>
      </c>
    </row>
    <row r="784">
      <c r="B784" t="inlineStr">
        <is>
          <t>SJVN</t>
        </is>
      </c>
      <c r="C784" t="inlineStr">
        <is>
          <t>“Supply, installation&amp; commissioning with change-over provision for both Hydel &amp; Solar supply system at Bhima Kali Temple Distt. Shimla H.P.-172102 [P</t>
        </is>
      </c>
      <c r="D784" t="inlineStr">
        <is>
          <t>Solar</t>
        </is>
      </c>
      <c r="F784" t="inlineStr">
        <is>
          <t>Open</t>
        </is>
      </c>
      <c r="G784" t="inlineStr">
        <is>
          <t>Capacity not confirmed</t>
        </is>
      </c>
      <c r="H784" t="inlineStr">
        <is>
          <t>https://sjvn.nic.in/en/tender</t>
        </is>
      </c>
    </row>
    <row r="785">
      <c r="B785" t="inlineStr">
        <is>
          <t>GRIDCO</t>
        </is>
      </c>
      <c r="C785" t="inlineStr">
        <is>
          <t>Issuing Authority : Director (Trading &amp; Business Development) Start Date of Selling Tender Paper : 09/23/2026 05:00 PM Scope of Work : NOTICE FOR EXPR</t>
        </is>
      </c>
      <c r="D785" t="inlineStr">
        <is>
          <t>Other</t>
        </is>
      </c>
      <c r="F785" t="inlineStr">
        <is>
          <t>Open</t>
        </is>
      </c>
      <c r="G785" t="inlineStr">
        <is>
          <t>Capacity not confirmed</t>
        </is>
      </c>
      <c r="H785" t="inlineStr">
        <is>
          <t>https://www.gridco.co.in/tender.aspx</t>
        </is>
      </c>
    </row>
    <row r="786">
      <c r="B786" t="inlineStr">
        <is>
          <t>GRIDCO</t>
        </is>
      </c>
      <c r="C786" t="inlineStr">
        <is>
          <t>Scope of Work :</t>
        </is>
      </c>
      <c r="D786" t="inlineStr">
        <is>
          <t>Other</t>
        </is>
      </c>
      <c r="F786" t="inlineStr">
        <is>
          <t>Open</t>
        </is>
      </c>
      <c r="G786" t="inlineStr">
        <is>
          <t>Capacity not confirmed</t>
        </is>
      </c>
      <c r="H786" t="inlineStr">
        <is>
          <t>https://www.gridco.co.in/tender.aspx</t>
        </is>
      </c>
    </row>
    <row r="787">
      <c r="B787" t="inlineStr">
        <is>
          <t>GRIDCO</t>
        </is>
      </c>
      <c r="C787" t="inlineStr">
        <is>
          <t>Tender Description :</t>
        </is>
      </c>
      <c r="D787" t="inlineStr">
        <is>
          <t>Other</t>
        </is>
      </c>
      <c r="F787" t="inlineStr">
        <is>
          <t>Open</t>
        </is>
      </c>
      <c r="G787" t="inlineStr">
        <is>
          <t>Capacity not confirmed</t>
        </is>
      </c>
      <c r="H787" t="inlineStr">
        <is>
          <t>https://www.gridco.co.in/tender.aspx</t>
        </is>
      </c>
    </row>
    <row r="788">
      <c r="A788" t="inlineStr">
        <is>
          <t>SECI000284</t>
        </is>
      </c>
      <c r="B788" t="inlineStr">
        <is>
          <t>SECI</t>
        </is>
      </c>
      <c r="C788" t="inlineStr">
        <is>
          <t>SECI/C&amp;P/OP/11/0007/26-27</t>
        </is>
      </c>
      <c r="D788" t="inlineStr">
        <is>
          <t>Solar</t>
        </is>
      </c>
      <c r="E788" t="n">
        <v>60</v>
      </c>
      <c r="F788" t="inlineStr">
        <is>
          <t>Open</t>
        </is>
      </c>
      <c r="G788" t="inlineStr">
        <is>
          <t>O&amp;M-only tender excluded</t>
        </is>
      </c>
      <c r="H788" t="inlineStr">
        <is>
          <t>https://www.seci.co.in/tender-details/Ympz</t>
        </is>
      </c>
    </row>
    <row r="789">
      <c r="A789" t="inlineStr">
        <is>
          <t>SECI000285</t>
        </is>
      </c>
      <c r="B789" t="inlineStr">
        <is>
          <t>SECI</t>
        </is>
      </c>
      <c r="C789" t="inlineStr">
        <is>
          <t>SECI/C&amp;P/IPP/11/0009/26-27</t>
        </is>
      </c>
      <c r="D789" t="inlineStr">
        <is>
          <t>Solar</t>
        </is>
      </c>
      <c r="F789" t="inlineStr">
        <is>
          <t>Open</t>
        </is>
      </c>
      <c r="G789" t="inlineStr">
        <is>
          <t>Rooftop solar excluded</t>
        </is>
      </c>
      <c r="H789" t="inlineStr">
        <is>
          <t>https://www.seci.co.in/tender-details/Ympy</t>
        </is>
      </c>
    </row>
    <row r="790">
      <c r="A790" t="inlineStr">
        <is>
          <t>SECI000281</t>
        </is>
      </c>
      <c r="B790" t="inlineStr">
        <is>
          <t>SECI</t>
        </is>
      </c>
      <c r="C790" t="inlineStr">
        <is>
          <t>SECI/C&amp;P/IPP/11/0008/26-27</t>
        </is>
      </c>
      <c r="D790" t="inlineStr">
        <is>
          <t>Solar</t>
        </is>
      </c>
      <c r="F790" t="inlineStr">
        <is>
          <t>Open</t>
        </is>
      </c>
      <c r="G790" t="inlineStr">
        <is>
          <t>Rooftop solar excluded</t>
        </is>
      </c>
      <c r="H790" t="inlineStr">
        <is>
          <t>https://www.seci.co.in/tender-details/Ymp2</t>
        </is>
      </c>
    </row>
    <row r="791">
      <c r="A791" t="inlineStr">
        <is>
          <t>SECI000263</t>
        </is>
      </c>
      <c r="B791" t="inlineStr">
        <is>
          <t>SECI</t>
        </is>
      </c>
      <c r="C791" t="inlineStr">
        <is>
          <t>SECI/C&amp;P/OP/11/0003/26-27</t>
        </is>
      </c>
      <c r="D791" t="inlineStr">
        <is>
          <t>Wind</t>
        </is>
      </c>
      <c r="E791" t="n">
        <v>45.6</v>
      </c>
      <c r="F791" t="inlineStr">
        <is>
          <t>Open</t>
        </is>
      </c>
      <c r="G791" t="inlineStr">
        <is>
          <t>Capacity below configured minimum</t>
        </is>
      </c>
      <c r="H791" t="inlineStr">
        <is>
          <t>https://www.seci.co.in/tender-details/YmR0</t>
        </is>
      </c>
    </row>
    <row r="792">
      <c r="A792" t="inlineStr">
        <is>
          <t>SECI000279</t>
        </is>
      </c>
      <c r="B792" t="inlineStr">
        <is>
          <t>SECI</t>
        </is>
      </c>
      <c r="C792" t="inlineStr">
        <is>
          <t>SECI/C&amp;P/MI/00/05/2026-27</t>
        </is>
      </c>
      <c r="D792" t="inlineStr">
        <is>
          <t>Solar</t>
        </is>
      </c>
      <c r="F792" t="inlineStr">
        <is>
          <t>Open</t>
        </is>
      </c>
      <c r="G792" t="inlineStr">
        <is>
          <t>Capacity not confirmed</t>
        </is>
      </c>
      <c r="H792" t="inlineStr">
        <is>
          <t>https://www.seci.co.in/tender-details/YmV-</t>
        </is>
      </c>
    </row>
    <row r="793">
      <c r="A793" t="inlineStr">
        <is>
          <t>SECI000270</t>
        </is>
      </c>
      <c r="B793" t="inlineStr">
        <is>
          <t>SECI</t>
        </is>
      </c>
      <c r="C793" t="inlineStr">
        <is>
          <t>SECI/C&amp;P/OP/15/0005/26-27</t>
        </is>
      </c>
      <c r="D793" t="inlineStr">
        <is>
          <t>Solar</t>
        </is>
      </c>
      <c r="F793" t="inlineStr">
        <is>
          <t>Open</t>
        </is>
      </c>
      <c r="G793" t="inlineStr">
        <is>
          <t>Rooftop solar excluded</t>
        </is>
      </c>
      <c r="H793" t="inlineStr">
        <is>
          <t>https://www.seci.co.in/tender-details/YmV3</t>
        </is>
      </c>
    </row>
    <row r="794">
      <c r="A794" t="inlineStr">
        <is>
          <t>SECI000262</t>
        </is>
      </c>
      <c r="B794" t="inlineStr">
        <is>
          <t>SECI</t>
        </is>
      </c>
      <c r="C794" t="inlineStr">
        <is>
          <t>SECI/C&amp;P/OP/11/0002/26-27</t>
        </is>
      </c>
      <c r="D794" t="inlineStr">
        <is>
          <t>Solar + BESS</t>
        </is>
      </c>
      <c r="E794" t="n">
        <v>25</v>
      </c>
      <c r="F794" t="inlineStr">
        <is>
          <t>Open</t>
        </is>
      </c>
      <c r="G794" t="inlineStr">
        <is>
          <t>Capacity below configured minimum</t>
        </is>
      </c>
      <c r="H794" t="inlineStr">
        <is>
          <t>https://www.seci.co.in/tender-details/YmR1</t>
        </is>
      </c>
    </row>
    <row r="795">
      <c r="A795" t="inlineStr">
        <is>
          <t>SECI000274</t>
        </is>
      </c>
      <c r="B795" t="inlineStr">
        <is>
          <t>SECI</t>
        </is>
      </c>
      <c r="C795" t="inlineStr">
        <is>
          <t>SECI/C&amp;P/IPP/15/0008/26-27</t>
        </is>
      </c>
      <c r="D795" t="inlineStr">
        <is>
          <t>Other</t>
        </is>
      </c>
      <c r="E795" t="n">
        <v>50</v>
      </c>
      <c r="F795" t="inlineStr">
        <is>
          <t>Open</t>
        </is>
      </c>
      <c r="G795" t="inlineStr">
        <is>
          <t>Capacity below configured minimum</t>
        </is>
      </c>
      <c r="H795" t="inlineStr">
        <is>
          <t>https://www.seci.co.in/tender-details/YmVz</t>
        </is>
      </c>
    </row>
    <row r="796">
      <c r="A796" t="inlineStr">
        <is>
          <t>SECI000276</t>
        </is>
      </c>
      <c r="B796" t="inlineStr">
        <is>
          <t>SECI</t>
        </is>
      </c>
      <c r="C796" t="inlineStr">
        <is>
          <t>SECI/C&amp;P/OP/15/0006/25-26</t>
        </is>
      </c>
      <c r="D796" t="inlineStr">
        <is>
          <t>Solar</t>
        </is>
      </c>
      <c r="F796" t="inlineStr">
        <is>
          <t>Open</t>
        </is>
      </c>
      <c r="G796" t="inlineStr">
        <is>
          <t>Rooftop solar excluded</t>
        </is>
      </c>
      <c r="H796" t="inlineStr">
        <is>
          <t>https://www.seci.co.in/tender-details/YmVx</t>
        </is>
      </c>
    </row>
    <row r="797">
      <c r="A797" t="inlineStr">
        <is>
          <t>SECI000267</t>
        </is>
      </c>
      <c r="B797" t="inlineStr">
        <is>
          <t>SECI</t>
        </is>
      </c>
      <c r="C797" t="inlineStr">
        <is>
          <t>SECI/C&amp;P/MI/00/0001/26-27</t>
        </is>
      </c>
      <c r="D797" t="inlineStr">
        <is>
          <t>Other</t>
        </is>
      </c>
      <c r="F797" t="inlineStr">
        <is>
          <t>Open</t>
        </is>
      </c>
      <c r="G797" t="inlineStr">
        <is>
          <t>Capacity not confirmed</t>
        </is>
      </c>
      <c r="H797" t="inlineStr">
        <is>
          <t>https://www.seci.co.in/tender-details/YmRw</t>
        </is>
      </c>
    </row>
    <row r="798">
      <c r="B798" t="inlineStr">
        <is>
          <t>NTPC REL</t>
        </is>
      </c>
      <c r="D798" t="inlineStr">
        <is>
          <t>Solar</t>
        </is>
      </c>
      <c r="E798" t="n">
        <v>500</v>
      </c>
      <c r="F798" t="inlineStr">
        <is>
          <t>Open</t>
        </is>
      </c>
      <c r="G798" t="inlineStr">
        <is>
          <t>EPC / turnkey / BoS excluded</t>
        </is>
      </c>
      <c r="H798" t="inlineStr">
        <is>
          <t>https://ntpctender.ntpc.co.in/NITDetails/NITs/30310</t>
        </is>
      </c>
    </row>
    <row r="799">
      <c r="B799" t="inlineStr">
        <is>
          <t>NTPC REL</t>
        </is>
      </c>
      <c r="D799" t="inlineStr">
        <is>
          <t>Other</t>
        </is>
      </c>
      <c r="F799" t="inlineStr">
        <is>
          <t>Open</t>
        </is>
      </c>
      <c r="G799" t="inlineStr">
        <is>
          <t>Capacity not confirmed</t>
        </is>
      </c>
      <c r="H799" t="inlineStr">
        <is>
          <t>https://ntpctender.ntpc.co.in/NITDetails/NITs/30290</t>
        </is>
      </c>
    </row>
    <row r="800">
      <c r="B800" t="inlineStr">
        <is>
          <t>SJVN</t>
        </is>
      </c>
      <c r="C800" t="inlineStr">
        <is>
          <t>“Supply, installation&amp; commissioning with change-over provision for both Hydel &amp; Solar supply system at Bhima Kali Temple Distt. Shimla H.P.-172102 [P</t>
        </is>
      </c>
      <c r="D800" t="inlineStr">
        <is>
          <t>Solar</t>
        </is>
      </c>
      <c r="F800" t="inlineStr">
        <is>
          <t>Open</t>
        </is>
      </c>
      <c r="G800" t="inlineStr">
        <is>
          <t>Capacity not confirmed</t>
        </is>
      </c>
      <c r="H800" t="inlineStr">
        <is>
          <t>https://sjvn.nic.in/en/tender</t>
        </is>
      </c>
    </row>
    <row r="801">
      <c r="B801" t="inlineStr">
        <is>
          <t>GRIDCO</t>
        </is>
      </c>
      <c r="C801" t="inlineStr">
        <is>
          <t>Issuing Authority : Director (Trading &amp; Business Development) Start Date of Selling Tender Paper : 09/23/2026 05:00 PM Scope of Work : NOTICE FOR EXPR</t>
        </is>
      </c>
      <c r="D801" t="inlineStr">
        <is>
          <t>Other</t>
        </is>
      </c>
      <c r="F801" t="inlineStr">
        <is>
          <t>Open</t>
        </is>
      </c>
      <c r="G801" t="inlineStr">
        <is>
          <t>Capacity not confirmed</t>
        </is>
      </c>
      <c r="H801" t="inlineStr">
        <is>
          <t>https://www.gridco.co.in/tender.aspx</t>
        </is>
      </c>
    </row>
    <row r="802">
      <c r="B802" t="inlineStr">
        <is>
          <t>GRIDCO</t>
        </is>
      </c>
      <c r="C802" t="inlineStr">
        <is>
          <t>Scope of Work :</t>
        </is>
      </c>
      <c r="D802" t="inlineStr">
        <is>
          <t>Other</t>
        </is>
      </c>
      <c r="F802" t="inlineStr">
        <is>
          <t>Open</t>
        </is>
      </c>
      <c r="G802" t="inlineStr">
        <is>
          <t>Capacity not confirmed</t>
        </is>
      </c>
      <c r="H802" t="inlineStr">
        <is>
          <t>https://www.gridco.co.in/tender.aspx</t>
        </is>
      </c>
    </row>
    <row r="803">
      <c r="B803" t="inlineStr">
        <is>
          <t>GRIDCO</t>
        </is>
      </c>
      <c r="C803" t="inlineStr">
        <is>
          <t>Tender Description :</t>
        </is>
      </c>
      <c r="D803" t="inlineStr">
        <is>
          <t>Other</t>
        </is>
      </c>
      <c r="F803" t="inlineStr">
        <is>
          <t>Open</t>
        </is>
      </c>
      <c r="G803" t="inlineStr">
        <is>
          <t>Capacity not confirmed</t>
        </is>
      </c>
      <c r="H803" t="inlineStr">
        <is>
          <t>https://www.gridco.co.in/tender.aspx</t>
        </is>
      </c>
    </row>
    <row r="804">
      <c r="A804" t="inlineStr">
        <is>
          <t>SECI000284</t>
        </is>
      </c>
      <c r="B804" t="inlineStr">
        <is>
          <t>SECI</t>
        </is>
      </c>
      <c r="C804" t="inlineStr">
        <is>
          <t>SECI/C&amp;P/OP/11/0007/26-27</t>
        </is>
      </c>
      <c r="D804" t="inlineStr">
        <is>
          <t>Solar</t>
        </is>
      </c>
      <c r="E804" t="n">
        <v>60</v>
      </c>
      <c r="F804" t="inlineStr">
        <is>
          <t>Open</t>
        </is>
      </c>
      <c r="G804" t="inlineStr">
        <is>
          <t>O&amp;M-only tender excluded</t>
        </is>
      </c>
      <c r="H804" t="inlineStr">
        <is>
          <t>https://www.seci.co.in/tender-details/Ympz</t>
        </is>
      </c>
    </row>
    <row r="805">
      <c r="A805" t="inlineStr">
        <is>
          <t>SECI000285</t>
        </is>
      </c>
      <c r="B805" t="inlineStr">
        <is>
          <t>SECI</t>
        </is>
      </c>
      <c r="C805" t="inlineStr">
        <is>
          <t>SECI/C&amp;P/IPP/11/0009/26-27</t>
        </is>
      </c>
      <c r="D805" t="inlineStr">
        <is>
          <t>Solar</t>
        </is>
      </c>
      <c r="F805" t="inlineStr">
        <is>
          <t>Open</t>
        </is>
      </c>
      <c r="G805" t="inlineStr">
        <is>
          <t>Rooftop solar excluded</t>
        </is>
      </c>
      <c r="H805" t="inlineStr">
        <is>
          <t>https://www.seci.co.in/tender-details/Ympy</t>
        </is>
      </c>
    </row>
    <row r="806">
      <c r="A806" t="inlineStr">
        <is>
          <t>SECI000281</t>
        </is>
      </c>
      <c r="B806" t="inlineStr">
        <is>
          <t>SECI</t>
        </is>
      </c>
      <c r="C806" t="inlineStr">
        <is>
          <t>SECI/C&amp;P/IPP/11/0008/26-27</t>
        </is>
      </c>
      <c r="D806" t="inlineStr">
        <is>
          <t>Solar</t>
        </is>
      </c>
      <c r="F806" t="inlineStr">
        <is>
          <t>Open</t>
        </is>
      </c>
      <c r="G806" t="inlineStr">
        <is>
          <t>Rooftop solar excluded</t>
        </is>
      </c>
      <c r="H806" t="inlineStr">
        <is>
          <t>https://www.seci.co.in/tender-details/Ymp2</t>
        </is>
      </c>
    </row>
    <row r="807">
      <c r="A807" t="inlineStr">
        <is>
          <t>SECI000263</t>
        </is>
      </c>
      <c r="B807" t="inlineStr">
        <is>
          <t>SECI</t>
        </is>
      </c>
      <c r="C807" t="inlineStr">
        <is>
          <t>SECI/C&amp;P/OP/11/0003/26-27</t>
        </is>
      </c>
      <c r="D807" t="inlineStr">
        <is>
          <t>Wind</t>
        </is>
      </c>
      <c r="E807" t="n">
        <v>45.6</v>
      </c>
      <c r="F807" t="inlineStr">
        <is>
          <t>Open</t>
        </is>
      </c>
      <c r="G807" t="inlineStr">
        <is>
          <t>Capacity below configured minimum</t>
        </is>
      </c>
      <c r="H807" t="inlineStr">
        <is>
          <t>https://www.seci.co.in/tender-details/YmR0</t>
        </is>
      </c>
    </row>
    <row r="808">
      <c r="A808" t="inlineStr">
        <is>
          <t>SECI000279</t>
        </is>
      </c>
      <c r="B808" t="inlineStr">
        <is>
          <t>SECI</t>
        </is>
      </c>
      <c r="C808" t="inlineStr">
        <is>
          <t>SECI/C&amp;P/MI/00/05/2026-27</t>
        </is>
      </c>
      <c r="D808" t="inlineStr">
        <is>
          <t>Solar</t>
        </is>
      </c>
      <c r="F808" t="inlineStr">
        <is>
          <t>Open</t>
        </is>
      </c>
      <c r="G808" t="inlineStr">
        <is>
          <t>Capacity not confirmed</t>
        </is>
      </c>
      <c r="H808" t="inlineStr">
        <is>
          <t>https://www.seci.co.in/tender-details/YmV-</t>
        </is>
      </c>
    </row>
    <row r="809">
      <c r="A809" t="inlineStr">
        <is>
          <t>SECI000270</t>
        </is>
      </c>
      <c r="B809" t="inlineStr">
        <is>
          <t>SECI</t>
        </is>
      </c>
      <c r="C809" t="inlineStr">
        <is>
          <t>SECI/C&amp;P/OP/15/0005/26-27</t>
        </is>
      </c>
      <c r="D809" t="inlineStr">
        <is>
          <t>Solar</t>
        </is>
      </c>
      <c r="F809" t="inlineStr">
        <is>
          <t>Open</t>
        </is>
      </c>
      <c r="G809" t="inlineStr">
        <is>
          <t>Rooftop solar excluded</t>
        </is>
      </c>
      <c r="H809" t="inlineStr">
        <is>
          <t>https://www.seci.co.in/tender-details/YmV3</t>
        </is>
      </c>
    </row>
    <row r="810">
      <c r="A810" t="inlineStr">
        <is>
          <t>SECI000262</t>
        </is>
      </c>
      <c r="B810" t="inlineStr">
        <is>
          <t>SECI</t>
        </is>
      </c>
      <c r="C810" t="inlineStr">
        <is>
          <t>SECI/C&amp;P/OP/11/0002/26-27</t>
        </is>
      </c>
      <c r="D810" t="inlineStr">
        <is>
          <t>Solar + BESS</t>
        </is>
      </c>
      <c r="E810" t="n">
        <v>25</v>
      </c>
      <c r="F810" t="inlineStr">
        <is>
          <t>Open</t>
        </is>
      </c>
      <c r="G810" t="inlineStr">
        <is>
          <t>Capacity below configured minimum</t>
        </is>
      </c>
      <c r="H810" t="inlineStr">
        <is>
          <t>https://www.seci.co.in/tender-details/YmR1</t>
        </is>
      </c>
    </row>
    <row r="811">
      <c r="A811" t="inlineStr">
        <is>
          <t>SECI000274</t>
        </is>
      </c>
      <c r="B811" t="inlineStr">
        <is>
          <t>SECI</t>
        </is>
      </c>
      <c r="C811" t="inlineStr">
        <is>
          <t>SECI/C&amp;P/IPP/15/0008/26-27</t>
        </is>
      </c>
      <c r="D811" t="inlineStr">
        <is>
          <t>Other</t>
        </is>
      </c>
      <c r="E811" t="n">
        <v>50</v>
      </c>
      <c r="F811" t="inlineStr">
        <is>
          <t>Open</t>
        </is>
      </c>
      <c r="G811" t="inlineStr">
        <is>
          <t>Capacity below configured minimum</t>
        </is>
      </c>
      <c r="H811" t="inlineStr">
        <is>
          <t>https://www.seci.co.in/tender-details/YmVz</t>
        </is>
      </c>
    </row>
    <row r="812">
      <c r="A812" t="inlineStr">
        <is>
          <t>SECI000276</t>
        </is>
      </c>
      <c r="B812" t="inlineStr">
        <is>
          <t>SECI</t>
        </is>
      </c>
      <c r="C812" t="inlineStr">
        <is>
          <t>SECI/C&amp;P/OP/15/0006/25-26</t>
        </is>
      </c>
      <c r="D812" t="inlineStr">
        <is>
          <t>Solar</t>
        </is>
      </c>
      <c r="F812" t="inlineStr">
        <is>
          <t>Open</t>
        </is>
      </c>
      <c r="G812" t="inlineStr">
        <is>
          <t>Rooftop solar excluded</t>
        </is>
      </c>
      <c r="H812" t="inlineStr">
        <is>
          <t>https://www.seci.co.in/tender-details/YmVx</t>
        </is>
      </c>
    </row>
    <row r="813">
      <c r="A813" t="inlineStr">
        <is>
          <t>SECI000267</t>
        </is>
      </c>
      <c r="B813" t="inlineStr">
        <is>
          <t>SECI</t>
        </is>
      </c>
      <c r="C813" t="inlineStr">
        <is>
          <t>SECI/C&amp;P/MI/00/0001/26-27</t>
        </is>
      </c>
      <c r="D813" t="inlineStr">
        <is>
          <t>Other</t>
        </is>
      </c>
      <c r="F813" t="inlineStr">
        <is>
          <t>Open</t>
        </is>
      </c>
      <c r="G813" t="inlineStr">
        <is>
          <t>Capacity not confirmed</t>
        </is>
      </c>
      <c r="H813" t="inlineStr">
        <is>
          <t>https://www.seci.co.in/tender-details/YmRw</t>
        </is>
      </c>
    </row>
    <row r="814">
      <c r="B814" t="inlineStr">
        <is>
          <t>NTPC REL</t>
        </is>
      </c>
      <c r="D814" t="inlineStr">
        <is>
          <t>Solar</t>
        </is>
      </c>
      <c r="E814" t="n">
        <v>500</v>
      </c>
      <c r="F814" t="inlineStr">
        <is>
          <t>Open</t>
        </is>
      </c>
      <c r="G814" t="inlineStr">
        <is>
          <t>EPC / turnkey / BoS excluded</t>
        </is>
      </c>
      <c r="H814" t="inlineStr">
        <is>
          <t>https://ntpctender.ntpc.co.in/NITDetails/NITs/30310</t>
        </is>
      </c>
    </row>
    <row r="815">
      <c r="B815" t="inlineStr">
        <is>
          <t>SJVN</t>
        </is>
      </c>
      <c r="C815" t="inlineStr">
        <is>
          <t>“Supply, installation&amp; commissioning with change-over provision for both Hydel &amp; Solar supply system at Bhima Kali Temple Distt. Shimla H.P.-172102 [P</t>
        </is>
      </c>
      <c r="D815" t="inlineStr">
        <is>
          <t>Solar</t>
        </is>
      </c>
      <c r="F815" t="inlineStr">
        <is>
          <t>Open</t>
        </is>
      </c>
      <c r="G815" t="inlineStr">
        <is>
          <t>Capacity not confirmed</t>
        </is>
      </c>
      <c r="H815" t="inlineStr">
        <is>
          <t>https://sjvn.nic.in/en/tender</t>
        </is>
      </c>
    </row>
    <row r="816">
      <c r="B816" t="inlineStr">
        <is>
          <t>MPUVNL</t>
        </is>
      </c>
      <c r="C816" t="inlineStr">
        <is>
          <t>Tender/New</t>
        </is>
      </c>
      <c r="D816" t="inlineStr">
        <is>
          <t>Other</t>
        </is>
      </c>
      <c r="F816" t="inlineStr">
        <is>
          <t>Open</t>
        </is>
      </c>
      <c r="G816" t="inlineStr">
        <is>
          <t>Capacity not confirmed</t>
        </is>
      </c>
      <c r="H816" t="inlineStr">
        <is>
          <t>https://mptenders.gov.in/nicgep/app?component=%24DirectLink&amp;page=Home&amp;service=direct&amp;session=T&amp;sp=SqBXJJLID1rf29ibWSsn0tw%3D%3D</t>
        </is>
      </c>
    </row>
    <row r="817">
      <c r="B817" t="inlineStr">
        <is>
          <t>MPUVNL</t>
        </is>
      </c>
      <c r="C817" t="inlineStr">
        <is>
          <t>Tender/New</t>
        </is>
      </c>
      <c r="D817" t="inlineStr">
        <is>
          <t>Other</t>
        </is>
      </c>
      <c r="F817" t="inlineStr">
        <is>
          <t>Open</t>
        </is>
      </c>
      <c r="G817" t="inlineStr">
        <is>
          <t>Capacity not confirmed</t>
        </is>
      </c>
      <c r="H817" t="inlineStr">
        <is>
          <t>https://mptenders.gov.in/nicgep/app?component=%24DirectLink&amp;page=Home&amp;service=direct&amp;session=T&amp;sp=SqBXJJLID1rf29ibWSsn0tw%3D%3D</t>
        </is>
      </c>
    </row>
    <row r="818">
      <c r="B818" t="inlineStr">
        <is>
          <t>MPUVNL</t>
        </is>
      </c>
      <c r="C818" t="inlineStr">
        <is>
          <t>Tender/New</t>
        </is>
      </c>
      <c r="D818" t="inlineStr">
        <is>
          <t>Other</t>
        </is>
      </c>
      <c r="F818" t="inlineStr">
        <is>
          <t>Open</t>
        </is>
      </c>
      <c r="G818" t="inlineStr">
        <is>
          <t>Capacity not confirmed</t>
        </is>
      </c>
      <c r="H818" t="inlineStr">
        <is>
          <t>https://mptenders.gov.in/nicgep/app?component=%24DirectLink&amp;page=Home&amp;service=direct&amp;session=T&amp;sp=SkI2PQXywB%2FMCPa5snJDMcQ%3D%3D</t>
        </is>
      </c>
    </row>
    <row r="819">
      <c r="B819" t="inlineStr">
        <is>
          <t>GRIDCO</t>
        </is>
      </c>
      <c r="C819" t="inlineStr">
        <is>
          <t>Issuing Authority : Director (Trading &amp; Business Development) Start Date of Selling Tender Paper : 09/23/2026 05:00 PM Scope of Work : NOTICE FOR EXPR</t>
        </is>
      </c>
      <c r="D819" t="inlineStr">
        <is>
          <t>Other</t>
        </is>
      </c>
      <c r="F819" t="inlineStr">
        <is>
          <t>Open</t>
        </is>
      </c>
      <c r="G819" t="inlineStr">
        <is>
          <t>Capacity not confirmed</t>
        </is>
      </c>
      <c r="H819" t="inlineStr">
        <is>
          <t>https://www.gridco.co.in/tender.aspx</t>
        </is>
      </c>
    </row>
    <row r="820">
      <c r="B820" t="inlineStr">
        <is>
          <t>GRIDCO</t>
        </is>
      </c>
      <c r="C820" t="inlineStr">
        <is>
          <t>Scope of Work :</t>
        </is>
      </c>
      <c r="D820" t="inlineStr">
        <is>
          <t>Other</t>
        </is>
      </c>
      <c r="F820" t="inlineStr">
        <is>
          <t>Open</t>
        </is>
      </c>
      <c r="G820" t="inlineStr">
        <is>
          <t>Capacity not confirmed</t>
        </is>
      </c>
      <c r="H820" t="inlineStr">
        <is>
          <t>https://www.gridco.co.in/tender.aspx</t>
        </is>
      </c>
    </row>
    <row r="821">
      <c r="B821" t="inlineStr">
        <is>
          <t>GRIDCO</t>
        </is>
      </c>
      <c r="C821" t="inlineStr">
        <is>
          <t>Tender Description :</t>
        </is>
      </c>
      <c r="D821" t="inlineStr">
        <is>
          <t>Other</t>
        </is>
      </c>
      <c r="F821" t="inlineStr">
        <is>
          <t>Open</t>
        </is>
      </c>
      <c r="G821" t="inlineStr">
        <is>
          <t>Capacity not confirmed</t>
        </is>
      </c>
      <c r="H821" t="inlineStr">
        <is>
          <t>https://www.gridco.co.in/tender.aspx</t>
        </is>
      </c>
    </row>
    <row r="822">
      <c r="A822" t="inlineStr">
        <is>
          <t>SECI000284</t>
        </is>
      </c>
      <c r="B822" t="inlineStr">
        <is>
          <t>SECI</t>
        </is>
      </c>
      <c r="C822" t="inlineStr">
        <is>
          <t>SECI/C&amp;P/OP/11/0007/26-27</t>
        </is>
      </c>
      <c r="D822" t="inlineStr">
        <is>
          <t>Solar</t>
        </is>
      </c>
      <c r="E822" t="n">
        <v>60</v>
      </c>
      <c r="F822" t="inlineStr">
        <is>
          <t>Open</t>
        </is>
      </c>
      <c r="G822" t="inlineStr">
        <is>
          <t>O&amp;M-only tender excluded</t>
        </is>
      </c>
      <c r="H822" t="inlineStr">
        <is>
          <t>https://www.seci.co.in/tender-details/Ympz</t>
        </is>
      </c>
    </row>
    <row r="823">
      <c r="A823" t="inlineStr">
        <is>
          <t>SECI000285</t>
        </is>
      </c>
      <c r="B823" t="inlineStr">
        <is>
          <t>SECI</t>
        </is>
      </c>
      <c r="C823" t="inlineStr">
        <is>
          <t>SECI/C&amp;P/IPP/11/0009/26-27</t>
        </is>
      </c>
      <c r="D823" t="inlineStr">
        <is>
          <t>Solar</t>
        </is>
      </c>
      <c r="F823" t="inlineStr">
        <is>
          <t>Open</t>
        </is>
      </c>
      <c r="G823" t="inlineStr">
        <is>
          <t>Rooftop solar excluded</t>
        </is>
      </c>
      <c r="H823" t="inlineStr">
        <is>
          <t>https://www.seci.co.in/tender-details/Ympy</t>
        </is>
      </c>
    </row>
    <row r="824">
      <c r="A824" t="inlineStr">
        <is>
          <t>SECI000281</t>
        </is>
      </c>
      <c r="B824" t="inlineStr">
        <is>
          <t>SECI</t>
        </is>
      </c>
      <c r="C824" t="inlineStr">
        <is>
          <t>SECI/C&amp;P/IPP/11/0008/26-27</t>
        </is>
      </c>
      <c r="D824" t="inlineStr">
        <is>
          <t>Solar</t>
        </is>
      </c>
      <c r="F824" t="inlineStr">
        <is>
          <t>Open</t>
        </is>
      </c>
      <c r="G824" t="inlineStr">
        <is>
          <t>Rooftop solar excluded</t>
        </is>
      </c>
      <c r="H824" t="inlineStr">
        <is>
          <t>https://www.seci.co.in/tender-details/Ymp2</t>
        </is>
      </c>
    </row>
    <row r="825">
      <c r="A825" t="inlineStr">
        <is>
          <t>SECI000263</t>
        </is>
      </c>
      <c r="B825" t="inlineStr">
        <is>
          <t>SECI</t>
        </is>
      </c>
      <c r="C825" t="inlineStr">
        <is>
          <t>SECI/C&amp;P/OP/11/0003/26-27</t>
        </is>
      </c>
      <c r="D825" t="inlineStr">
        <is>
          <t>Wind</t>
        </is>
      </c>
      <c r="E825" t="n">
        <v>45.6</v>
      </c>
      <c r="F825" t="inlineStr">
        <is>
          <t>Open</t>
        </is>
      </c>
      <c r="G825" t="inlineStr">
        <is>
          <t>Capacity below configured minimum</t>
        </is>
      </c>
      <c r="H825" t="inlineStr">
        <is>
          <t>https://www.seci.co.in/tender-details/YmR0</t>
        </is>
      </c>
    </row>
    <row r="826">
      <c r="A826" t="inlineStr">
        <is>
          <t>SECI000279</t>
        </is>
      </c>
      <c r="B826" t="inlineStr">
        <is>
          <t>SECI</t>
        </is>
      </c>
      <c r="C826" t="inlineStr">
        <is>
          <t>SECI/C&amp;P/MI/00/05/2026-27</t>
        </is>
      </c>
      <c r="D826" t="inlineStr">
        <is>
          <t>Solar</t>
        </is>
      </c>
      <c r="F826" t="inlineStr">
        <is>
          <t>Open</t>
        </is>
      </c>
      <c r="G826" t="inlineStr">
        <is>
          <t>Capacity not confirmed</t>
        </is>
      </c>
      <c r="H826" t="inlineStr">
        <is>
          <t>https://www.seci.co.in/tender-details/YmV-</t>
        </is>
      </c>
    </row>
    <row r="827">
      <c r="A827" t="inlineStr">
        <is>
          <t>SECI000270</t>
        </is>
      </c>
      <c r="B827" t="inlineStr">
        <is>
          <t>SECI</t>
        </is>
      </c>
      <c r="C827" t="inlineStr">
        <is>
          <t>SECI/C&amp;P/OP/15/0005/26-27</t>
        </is>
      </c>
      <c r="D827" t="inlineStr">
        <is>
          <t>Solar</t>
        </is>
      </c>
      <c r="F827" t="inlineStr">
        <is>
          <t>Open</t>
        </is>
      </c>
      <c r="G827" t="inlineStr">
        <is>
          <t>Rooftop solar excluded</t>
        </is>
      </c>
      <c r="H827" t="inlineStr">
        <is>
          <t>https://www.seci.co.in/tender-details/YmV3</t>
        </is>
      </c>
    </row>
    <row r="828">
      <c r="A828" t="inlineStr">
        <is>
          <t>SECI000262</t>
        </is>
      </c>
      <c r="B828" t="inlineStr">
        <is>
          <t>SECI</t>
        </is>
      </c>
      <c r="C828" t="inlineStr">
        <is>
          <t>SECI/C&amp;P/OP/11/0002/26-27</t>
        </is>
      </c>
      <c r="D828" t="inlineStr">
        <is>
          <t>Solar + BESS</t>
        </is>
      </c>
      <c r="E828" t="n">
        <v>25</v>
      </c>
      <c r="F828" t="inlineStr">
        <is>
          <t>Open</t>
        </is>
      </c>
      <c r="G828" t="inlineStr">
        <is>
          <t>Capacity below configured minimum</t>
        </is>
      </c>
      <c r="H828" t="inlineStr">
        <is>
          <t>https://www.seci.co.in/tender-details/YmR1</t>
        </is>
      </c>
    </row>
    <row r="829">
      <c r="A829" t="inlineStr">
        <is>
          <t>SECI000274</t>
        </is>
      </c>
      <c r="B829" t="inlineStr">
        <is>
          <t>SECI</t>
        </is>
      </c>
      <c r="C829" t="inlineStr">
        <is>
          <t>SECI/C&amp;P/IPP/15/0008/26-27</t>
        </is>
      </c>
      <c r="D829" t="inlineStr">
        <is>
          <t>Other</t>
        </is>
      </c>
      <c r="E829" t="n">
        <v>50</v>
      </c>
      <c r="F829" t="inlineStr">
        <is>
          <t>Open</t>
        </is>
      </c>
      <c r="G829" t="inlineStr">
        <is>
          <t>Capacity below configured minimum</t>
        </is>
      </c>
      <c r="H829" t="inlineStr">
        <is>
          <t>https://www.seci.co.in/tender-details/YmVz</t>
        </is>
      </c>
    </row>
    <row r="830">
      <c r="A830" t="inlineStr">
        <is>
          <t>SECI000276</t>
        </is>
      </c>
      <c r="B830" t="inlineStr">
        <is>
          <t>SECI</t>
        </is>
      </c>
      <c r="C830" t="inlineStr">
        <is>
          <t>SECI/C&amp;P/OP/15/0006/25-26</t>
        </is>
      </c>
      <c r="D830" t="inlineStr">
        <is>
          <t>Solar</t>
        </is>
      </c>
      <c r="F830" t="inlineStr">
        <is>
          <t>Open</t>
        </is>
      </c>
      <c r="G830" t="inlineStr">
        <is>
          <t>Rooftop solar excluded</t>
        </is>
      </c>
      <c r="H830" t="inlineStr">
        <is>
          <t>https://www.seci.co.in/tender-details/YmVx</t>
        </is>
      </c>
    </row>
    <row r="831">
      <c r="A831" t="inlineStr">
        <is>
          <t>SECI000267</t>
        </is>
      </c>
      <c r="B831" t="inlineStr">
        <is>
          <t>SECI</t>
        </is>
      </c>
      <c r="C831" t="inlineStr">
        <is>
          <t>SECI/C&amp;P/MI/00/0001/26-27</t>
        </is>
      </c>
      <c r="D831" t="inlineStr">
        <is>
          <t>Other</t>
        </is>
      </c>
      <c r="F831" t="inlineStr">
        <is>
          <t>Open</t>
        </is>
      </c>
      <c r="G831" t="inlineStr">
        <is>
          <t>Capacity not confirmed</t>
        </is>
      </c>
      <c r="H831" t="inlineStr">
        <is>
          <t>https://www.seci.co.in/tender-details/YmRw</t>
        </is>
      </c>
    </row>
    <row r="832">
      <c r="B832" t="inlineStr">
        <is>
          <t>NTPC REL</t>
        </is>
      </c>
      <c r="D832" t="inlineStr">
        <is>
          <t>Other</t>
        </is>
      </c>
      <c r="F832" t="inlineStr">
        <is>
          <t>Open</t>
        </is>
      </c>
      <c r="G832" t="inlineStr">
        <is>
          <t>EPC / turnkey / BoS excluded</t>
        </is>
      </c>
      <c r="H832" t="inlineStr">
        <is>
          <t>https://ntpctender.ntpc.co.in/NITDetails/NITs/30320</t>
        </is>
      </c>
    </row>
    <row r="833">
      <c r="B833" t="inlineStr">
        <is>
          <t>NTPC REL</t>
        </is>
      </c>
      <c r="D833" t="inlineStr">
        <is>
          <t>Solar</t>
        </is>
      </c>
      <c r="E833" t="n">
        <v>500</v>
      </c>
      <c r="F833" t="inlineStr">
        <is>
          <t>Open</t>
        </is>
      </c>
      <c r="G833" t="inlineStr">
        <is>
          <t>EPC / turnkey / BoS excluded</t>
        </is>
      </c>
      <c r="H833" t="inlineStr">
        <is>
          <t>https://ntpctender.ntpc.co.in/NITDetails/NITs/30310</t>
        </is>
      </c>
    </row>
    <row r="834">
      <c r="B834" t="inlineStr">
        <is>
          <t>GRIDCO</t>
        </is>
      </c>
      <c r="C834" t="inlineStr">
        <is>
          <t>Issuing Authority : Director (Trading &amp; Business Development) Start Date of Selling Tender Paper : 09/23/2026 05:00 PM Scope of Work : NOTICE FOR EXPR</t>
        </is>
      </c>
      <c r="D834" t="inlineStr">
        <is>
          <t>Other</t>
        </is>
      </c>
      <c r="F834" t="inlineStr">
        <is>
          <t>Open</t>
        </is>
      </c>
      <c r="G834" t="inlineStr">
        <is>
          <t>Capacity not confirmed</t>
        </is>
      </c>
      <c r="H834" t="inlineStr">
        <is>
          <t>https://www.gridco.co.in/tender.aspx</t>
        </is>
      </c>
    </row>
    <row r="835">
      <c r="B835" t="inlineStr">
        <is>
          <t>GRIDCO</t>
        </is>
      </c>
      <c r="C835" t="inlineStr">
        <is>
          <t>Scope of Work :</t>
        </is>
      </c>
      <c r="D835" t="inlineStr">
        <is>
          <t>Other</t>
        </is>
      </c>
      <c r="F835" t="inlineStr">
        <is>
          <t>Open</t>
        </is>
      </c>
      <c r="G835" t="inlineStr">
        <is>
          <t>Capacity not confirmed</t>
        </is>
      </c>
      <c r="H835" t="inlineStr">
        <is>
          <t>https://www.gridco.co.in/tender.aspx</t>
        </is>
      </c>
    </row>
    <row r="836">
      <c r="B836" t="inlineStr">
        <is>
          <t>GRIDCO</t>
        </is>
      </c>
      <c r="C836" t="inlineStr">
        <is>
          <t>Tender Description :</t>
        </is>
      </c>
      <c r="D836" t="inlineStr">
        <is>
          <t>Other</t>
        </is>
      </c>
      <c r="F836" t="inlineStr">
        <is>
          <t>Open</t>
        </is>
      </c>
      <c r="G836" t="inlineStr">
        <is>
          <t>Capacity not confirmed</t>
        </is>
      </c>
      <c r="H836" t="inlineStr">
        <is>
          <t>https://www.gridco.co.in/tender.aspx</t>
        </is>
      </c>
    </row>
    <row r="837">
      <c r="A837" t="inlineStr">
        <is>
          <t>SECI000284</t>
        </is>
      </c>
      <c r="B837" t="inlineStr">
        <is>
          <t>SECI</t>
        </is>
      </c>
      <c r="C837" t="inlineStr">
        <is>
          <t>SECI/C&amp;P/OP/11/0007/26-27</t>
        </is>
      </c>
      <c r="D837" t="inlineStr">
        <is>
          <t>Solar</t>
        </is>
      </c>
      <c r="E837" t="n">
        <v>60</v>
      </c>
      <c r="F837" t="inlineStr">
        <is>
          <t>Open</t>
        </is>
      </c>
      <c r="G837" t="inlineStr">
        <is>
          <t>O&amp;M-only tender excluded</t>
        </is>
      </c>
      <c r="H837" t="inlineStr">
        <is>
          <t>https://www.seci.co.in/tender-details/Ympz</t>
        </is>
      </c>
    </row>
    <row r="838">
      <c r="A838" t="inlineStr">
        <is>
          <t>SECI000285</t>
        </is>
      </c>
      <c r="B838" t="inlineStr">
        <is>
          <t>SECI</t>
        </is>
      </c>
      <c r="C838" t="inlineStr">
        <is>
          <t>SECI/C&amp;P/IPP/11/0009/26-27</t>
        </is>
      </c>
      <c r="D838" t="inlineStr">
        <is>
          <t>Solar</t>
        </is>
      </c>
      <c r="F838" t="inlineStr">
        <is>
          <t>Open</t>
        </is>
      </c>
      <c r="G838" t="inlineStr">
        <is>
          <t>Rooftop solar excluded</t>
        </is>
      </c>
      <c r="H838" t="inlineStr">
        <is>
          <t>https://www.seci.co.in/tender-details/Ympy</t>
        </is>
      </c>
    </row>
    <row r="839">
      <c r="A839" t="inlineStr">
        <is>
          <t>SECI000281</t>
        </is>
      </c>
      <c r="B839" t="inlineStr">
        <is>
          <t>SECI</t>
        </is>
      </c>
      <c r="C839" t="inlineStr">
        <is>
          <t>SECI/C&amp;P/IPP/11/0008/26-27</t>
        </is>
      </c>
      <c r="D839" t="inlineStr">
        <is>
          <t>Solar</t>
        </is>
      </c>
      <c r="F839" t="inlineStr">
        <is>
          <t>Open</t>
        </is>
      </c>
      <c r="G839" t="inlineStr">
        <is>
          <t>Rooftop solar excluded</t>
        </is>
      </c>
      <c r="H839" t="inlineStr">
        <is>
          <t>https://www.seci.co.in/tender-details/Ymp2</t>
        </is>
      </c>
    </row>
    <row r="840">
      <c r="A840" t="inlineStr">
        <is>
          <t>SECI000263</t>
        </is>
      </c>
      <c r="B840" t="inlineStr">
        <is>
          <t>SECI</t>
        </is>
      </c>
      <c r="C840" t="inlineStr">
        <is>
          <t>SECI/C&amp;P/OP/11/0003/26-27</t>
        </is>
      </c>
      <c r="D840" t="inlineStr">
        <is>
          <t>Wind</t>
        </is>
      </c>
      <c r="E840" t="n">
        <v>45.6</v>
      </c>
      <c r="F840" t="inlineStr">
        <is>
          <t>Open</t>
        </is>
      </c>
      <c r="G840" t="inlineStr">
        <is>
          <t>Capacity below configured minimum</t>
        </is>
      </c>
      <c r="H840" t="inlineStr">
        <is>
          <t>https://www.seci.co.in/tender-details/YmR0</t>
        </is>
      </c>
    </row>
    <row r="841">
      <c r="A841" t="inlineStr">
        <is>
          <t>SECI000279</t>
        </is>
      </c>
      <c r="B841" t="inlineStr">
        <is>
          <t>SECI</t>
        </is>
      </c>
      <c r="C841" t="inlineStr">
        <is>
          <t>SECI/C&amp;P/MI/00/05/2026-27</t>
        </is>
      </c>
      <c r="D841" t="inlineStr">
        <is>
          <t>Solar</t>
        </is>
      </c>
      <c r="F841" t="inlineStr">
        <is>
          <t>Open</t>
        </is>
      </c>
      <c r="G841" t="inlineStr">
        <is>
          <t>Capacity not confirmed</t>
        </is>
      </c>
      <c r="H841" t="inlineStr">
        <is>
          <t>https://www.seci.co.in/tender-details/YmV-</t>
        </is>
      </c>
    </row>
    <row r="842">
      <c r="A842" t="inlineStr">
        <is>
          <t>SECI000270</t>
        </is>
      </c>
      <c r="B842" t="inlineStr">
        <is>
          <t>SECI</t>
        </is>
      </c>
      <c r="C842" t="inlineStr">
        <is>
          <t>SECI/C&amp;P/OP/15/0005/26-27</t>
        </is>
      </c>
      <c r="D842" t="inlineStr">
        <is>
          <t>Solar</t>
        </is>
      </c>
      <c r="F842" t="inlineStr">
        <is>
          <t>Open</t>
        </is>
      </c>
      <c r="G842" t="inlineStr">
        <is>
          <t>Rooftop solar excluded</t>
        </is>
      </c>
      <c r="H842" t="inlineStr">
        <is>
          <t>https://www.seci.co.in/tender-details/YmV3</t>
        </is>
      </c>
    </row>
    <row r="843">
      <c r="A843" t="inlineStr">
        <is>
          <t>SECI000262</t>
        </is>
      </c>
      <c r="B843" t="inlineStr">
        <is>
          <t>SECI</t>
        </is>
      </c>
      <c r="C843" t="inlineStr">
        <is>
          <t>SECI/C&amp;P/OP/11/0002/26-27</t>
        </is>
      </c>
      <c r="D843" t="inlineStr">
        <is>
          <t>Solar + BESS</t>
        </is>
      </c>
      <c r="E843" t="n">
        <v>25</v>
      </c>
      <c r="F843" t="inlineStr">
        <is>
          <t>Open</t>
        </is>
      </c>
      <c r="G843" t="inlineStr">
        <is>
          <t>Capacity below configured minimum</t>
        </is>
      </c>
      <c r="H843" t="inlineStr">
        <is>
          <t>https://www.seci.co.in/tender-details/YmR1</t>
        </is>
      </c>
    </row>
    <row r="844">
      <c r="A844" t="inlineStr">
        <is>
          <t>SECI000274</t>
        </is>
      </c>
      <c r="B844" t="inlineStr">
        <is>
          <t>SECI</t>
        </is>
      </c>
      <c r="C844" t="inlineStr">
        <is>
          <t>SECI/C&amp;P/IPP/15/0008/26-27</t>
        </is>
      </c>
      <c r="D844" t="inlineStr">
        <is>
          <t>Other</t>
        </is>
      </c>
      <c r="E844" t="n">
        <v>50</v>
      </c>
      <c r="F844" t="inlineStr">
        <is>
          <t>Open</t>
        </is>
      </c>
      <c r="G844" t="inlineStr">
        <is>
          <t>Capacity below configured minimum</t>
        </is>
      </c>
      <c r="H844" t="inlineStr">
        <is>
          <t>https://www.seci.co.in/tender-details/YmVz</t>
        </is>
      </c>
    </row>
    <row r="845">
      <c r="A845" t="inlineStr">
        <is>
          <t>SECI000276</t>
        </is>
      </c>
      <c r="B845" t="inlineStr">
        <is>
          <t>SECI</t>
        </is>
      </c>
      <c r="C845" t="inlineStr">
        <is>
          <t>SECI/C&amp;P/OP/15/0006/25-26</t>
        </is>
      </c>
      <c r="D845" t="inlineStr">
        <is>
          <t>Solar</t>
        </is>
      </c>
      <c r="F845" t="inlineStr">
        <is>
          <t>Open</t>
        </is>
      </c>
      <c r="G845" t="inlineStr">
        <is>
          <t>Rooftop solar excluded</t>
        </is>
      </c>
      <c r="H845" t="inlineStr">
        <is>
          <t>https://www.seci.co.in/tender-details/YmVx</t>
        </is>
      </c>
    </row>
    <row r="846">
      <c r="A846" t="inlineStr">
        <is>
          <t>SECI000267</t>
        </is>
      </c>
      <c r="B846" t="inlineStr">
        <is>
          <t>SECI</t>
        </is>
      </c>
      <c r="C846" t="inlineStr">
        <is>
          <t>SECI/C&amp;P/MI/00/0001/26-27</t>
        </is>
      </c>
      <c r="D846" t="inlineStr">
        <is>
          <t>Other</t>
        </is>
      </c>
      <c r="F846" t="inlineStr">
        <is>
          <t>Open</t>
        </is>
      </c>
      <c r="G846" t="inlineStr">
        <is>
          <t>Capacity not confirmed</t>
        </is>
      </c>
      <c r="H846" t="inlineStr">
        <is>
          <t>https://www.seci.co.in/tender-details/YmRw</t>
        </is>
      </c>
    </row>
    <row r="847">
      <c r="B847" t="inlineStr">
        <is>
          <t>NTPC REL</t>
        </is>
      </c>
      <c r="D847" t="inlineStr">
        <is>
          <t>Other</t>
        </is>
      </c>
      <c r="F847" t="inlineStr">
        <is>
          <t>Open</t>
        </is>
      </c>
      <c r="G847" t="inlineStr">
        <is>
          <t>EPC / turnkey / BoS excluded</t>
        </is>
      </c>
      <c r="H847" t="inlineStr">
        <is>
          <t>https://ntpctender.ntpc.co.in/NITDetails/NITs/30320</t>
        </is>
      </c>
    </row>
    <row r="848">
      <c r="B848" t="inlineStr">
        <is>
          <t>NTPC REL</t>
        </is>
      </c>
      <c r="D848" t="inlineStr">
        <is>
          <t>Solar</t>
        </is>
      </c>
      <c r="E848" t="n">
        <v>500</v>
      </c>
      <c r="F848" t="inlineStr">
        <is>
          <t>Open</t>
        </is>
      </c>
      <c r="G848" t="inlineStr">
        <is>
          <t>EPC / turnkey / BoS excluded</t>
        </is>
      </c>
      <c r="H848" t="inlineStr">
        <is>
          <t>https://ntpctender.ntpc.co.in/NITDetails/NITs/30310</t>
        </is>
      </c>
    </row>
    <row r="849">
      <c r="B849" t="inlineStr">
        <is>
          <t>RUVNL</t>
        </is>
      </c>
      <c r="C849" t="inlineStr">
        <is>
          <t>NITNO17-2026-27</t>
        </is>
      </c>
      <c r="D849" t="inlineStr">
        <is>
          <t>Other</t>
        </is>
      </c>
      <c r="F849" t="inlineStr">
        <is>
          <t>Open</t>
        </is>
      </c>
      <c r="G849" t="inlineStr">
        <is>
          <t>Capacity not confirmed</t>
        </is>
      </c>
      <c r="H849" t="inlineStr">
        <is>
          <t>https://eproc.rajasthan.gov.in/nicgep/app?component=%24DirectLink&amp;page=Home&amp;service=direct&amp;session=T&amp;sp=Sj3%2F3ioyVSxwPTB7xN7dvnA%3D%3D</t>
        </is>
      </c>
    </row>
    <row r="850">
      <c r="B850" t="inlineStr">
        <is>
          <t>RUVNL</t>
        </is>
      </c>
      <c r="C850" t="inlineStr">
        <is>
          <t>NITNO17-2026-27</t>
        </is>
      </c>
      <c r="D850" t="inlineStr">
        <is>
          <t>Other</t>
        </is>
      </c>
      <c r="F850" t="inlineStr">
        <is>
          <t>Open</t>
        </is>
      </c>
      <c r="G850" t="inlineStr">
        <is>
          <t>Capacity not confirmed</t>
        </is>
      </c>
      <c r="H850" t="inlineStr">
        <is>
          <t>https://eproc.rajasthan.gov.in/nicgep/app?component=%24DirectLink&amp;page=Home&amp;service=direct&amp;session=T&amp;sp=Sj3%2F3ioyVSxwPTB7xN7dvnA%3D%3D</t>
        </is>
      </c>
    </row>
    <row r="851">
      <c r="B851" t="inlineStr">
        <is>
          <t>RUVNL</t>
        </is>
      </c>
      <c r="C851" t="inlineStr">
        <is>
          <t>3. Preparation of strong Room for storage of EVMs at MBR college , Balotra</t>
        </is>
      </c>
      <c r="D851" t="inlineStr">
        <is>
          <t>Other</t>
        </is>
      </c>
      <c r="F851" t="inlineStr">
        <is>
          <t>Open</t>
        </is>
      </c>
      <c r="G851" t="inlineStr">
        <is>
          <t>Capacity not confirmed</t>
        </is>
      </c>
      <c r="H851" t="inlineStr">
        <is>
          <t>https://eproc.rajasthan.gov.in/nicgep/app?component=%24DirectLink&amp;page=Home&amp;service=direct&amp;session=T&amp;sp=SRgj2sLHy%2F603vf4bgkhV%2Bw%3D%3D</t>
        </is>
      </c>
    </row>
    <row r="852">
      <c r="B852" t="inlineStr">
        <is>
          <t>GRIDCO</t>
        </is>
      </c>
      <c r="C852" t="inlineStr">
        <is>
          <t>Issuing Authority : Director (Trading &amp; Business Development) Start Date of Selling Tender Paper : 09/23/2026 05:00 PM Scope of Work : NOTICE FOR EXPR</t>
        </is>
      </c>
      <c r="D852" t="inlineStr">
        <is>
          <t>Other</t>
        </is>
      </c>
      <c r="F852" t="inlineStr">
        <is>
          <t>Open</t>
        </is>
      </c>
      <c r="G852" t="inlineStr">
        <is>
          <t>Capacity not confirmed</t>
        </is>
      </c>
      <c r="H852" t="inlineStr">
        <is>
          <t>https://www.gridco.co.in/tender.aspx</t>
        </is>
      </c>
    </row>
    <row r="853">
      <c r="B853" t="inlineStr">
        <is>
          <t>GRIDCO</t>
        </is>
      </c>
      <c r="C853" t="inlineStr">
        <is>
          <t>Scope of Work :</t>
        </is>
      </c>
      <c r="D853" t="inlineStr">
        <is>
          <t>Other</t>
        </is>
      </c>
      <c r="F853" t="inlineStr">
        <is>
          <t>Open</t>
        </is>
      </c>
      <c r="G853" t="inlineStr">
        <is>
          <t>Capacity not confirmed</t>
        </is>
      </c>
      <c r="H853" t="inlineStr">
        <is>
          <t>https://www.gridco.co.in/tender.aspx</t>
        </is>
      </c>
    </row>
    <row r="854">
      <c r="B854" t="inlineStr">
        <is>
          <t>GRIDCO</t>
        </is>
      </c>
      <c r="C854" t="inlineStr">
        <is>
          <t>Tender Description :</t>
        </is>
      </c>
      <c r="D854" t="inlineStr">
        <is>
          <t>Other</t>
        </is>
      </c>
      <c r="F854" t="inlineStr">
        <is>
          <t>Open</t>
        </is>
      </c>
      <c r="G854" t="inlineStr">
        <is>
          <t>Capacity not confirmed</t>
        </is>
      </c>
      <c r="H854" t="inlineStr">
        <is>
          <t>https://www.gridco.co.in/tender.aspx</t>
        </is>
      </c>
    </row>
    <row r="855">
      <c r="A855" t="inlineStr">
        <is>
          <t>SECI000287</t>
        </is>
      </c>
      <c r="B855" t="inlineStr">
        <is>
          <t>SECI</t>
        </is>
      </c>
      <c r="C855" t="inlineStr">
        <is>
          <t>SECI/C&amp;P/IPP/11/0010/26-27</t>
        </is>
      </c>
      <c r="D855" t="inlineStr">
        <is>
          <t>Solar</t>
        </is>
      </c>
      <c r="F855" t="inlineStr">
        <is>
          <t>Open</t>
        </is>
      </c>
      <c r="G855" t="inlineStr">
        <is>
          <t>Rooftop solar excluded</t>
        </is>
      </c>
      <c r="H855" t="inlineStr">
        <is>
          <t>https://www.seci.co.in/tender-details/Ympw</t>
        </is>
      </c>
    </row>
    <row r="856">
      <c r="A856" t="inlineStr">
        <is>
          <t>SECI000284</t>
        </is>
      </c>
      <c r="B856" t="inlineStr">
        <is>
          <t>SECI</t>
        </is>
      </c>
      <c r="C856" t="inlineStr">
        <is>
          <t>SECI/C&amp;P/OP/11/0007/26-27</t>
        </is>
      </c>
      <c r="D856" t="inlineStr">
        <is>
          <t>Solar</t>
        </is>
      </c>
      <c r="E856" t="n">
        <v>60</v>
      </c>
      <c r="F856" t="inlineStr">
        <is>
          <t>Open</t>
        </is>
      </c>
      <c r="G856" t="inlineStr">
        <is>
          <t>O&amp;M-only tender excluded</t>
        </is>
      </c>
      <c r="H856" t="inlineStr">
        <is>
          <t>https://www.seci.co.in/tender-details/Ympz</t>
        </is>
      </c>
    </row>
    <row r="857">
      <c r="A857" t="inlineStr">
        <is>
          <t>SECI000285</t>
        </is>
      </c>
      <c r="B857" t="inlineStr">
        <is>
          <t>SECI</t>
        </is>
      </c>
      <c r="C857" t="inlineStr">
        <is>
          <t>SECI/C&amp;P/IPP/11/0009/26-27</t>
        </is>
      </c>
      <c r="D857" t="inlineStr">
        <is>
          <t>Solar</t>
        </is>
      </c>
      <c r="F857" t="inlineStr">
        <is>
          <t>Open</t>
        </is>
      </c>
      <c r="G857" t="inlineStr">
        <is>
          <t>Rooftop solar excluded</t>
        </is>
      </c>
      <c r="H857" t="inlineStr">
        <is>
          <t>https://www.seci.co.in/tender-details/Ympy</t>
        </is>
      </c>
    </row>
    <row r="858">
      <c r="A858" t="inlineStr">
        <is>
          <t>SECI000281</t>
        </is>
      </c>
      <c r="B858" t="inlineStr">
        <is>
          <t>SECI</t>
        </is>
      </c>
      <c r="C858" t="inlineStr">
        <is>
          <t>SECI/C&amp;P/IPP/11/0008/26-27</t>
        </is>
      </c>
      <c r="D858" t="inlineStr">
        <is>
          <t>Solar</t>
        </is>
      </c>
      <c r="F858" t="inlineStr">
        <is>
          <t>Open</t>
        </is>
      </c>
      <c r="G858" t="inlineStr">
        <is>
          <t>Rooftop solar excluded</t>
        </is>
      </c>
      <c r="H858" t="inlineStr">
        <is>
          <t>https://www.seci.co.in/tender-details/Ymp2</t>
        </is>
      </c>
    </row>
    <row r="859">
      <c r="A859" t="inlineStr">
        <is>
          <t>SECI000263</t>
        </is>
      </c>
      <c r="B859" t="inlineStr">
        <is>
          <t>SECI</t>
        </is>
      </c>
      <c r="C859" t="inlineStr">
        <is>
          <t>SECI/C&amp;P/OP/11/0003/26-27</t>
        </is>
      </c>
      <c r="D859" t="inlineStr">
        <is>
          <t>Wind</t>
        </is>
      </c>
      <c r="E859" t="n">
        <v>45.6</v>
      </c>
      <c r="F859" t="inlineStr">
        <is>
          <t>Open</t>
        </is>
      </c>
      <c r="G859" t="inlineStr">
        <is>
          <t>Capacity below configured minimum</t>
        </is>
      </c>
      <c r="H859" t="inlineStr">
        <is>
          <t>https://www.seci.co.in/tender-details/YmR0</t>
        </is>
      </c>
    </row>
    <row r="860">
      <c r="A860" t="inlineStr">
        <is>
          <t>SECI000279</t>
        </is>
      </c>
      <c r="B860" t="inlineStr">
        <is>
          <t>SECI</t>
        </is>
      </c>
      <c r="C860" t="inlineStr">
        <is>
          <t>SECI/C&amp;P/MI/00/05/2026-27</t>
        </is>
      </c>
      <c r="D860" t="inlineStr">
        <is>
          <t>Solar</t>
        </is>
      </c>
      <c r="F860" t="inlineStr">
        <is>
          <t>Open</t>
        </is>
      </c>
      <c r="G860" t="inlineStr">
        <is>
          <t>Capacity not confirmed</t>
        </is>
      </c>
      <c r="H860" t="inlineStr">
        <is>
          <t>https://www.seci.co.in/tender-details/YmV-</t>
        </is>
      </c>
    </row>
    <row r="861">
      <c r="A861" t="inlineStr">
        <is>
          <t>SECI000270</t>
        </is>
      </c>
      <c r="B861" t="inlineStr">
        <is>
          <t>SECI</t>
        </is>
      </c>
      <c r="C861" t="inlineStr">
        <is>
          <t>SECI/C&amp;P/OP/15/0005/26-27</t>
        </is>
      </c>
      <c r="D861" t="inlineStr">
        <is>
          <t>Solar</t>
        </is>
      </c>
      <c r="F861" t="inlineStr">
        <is>
          <t>Open</t>
        </is>
      </c>
      <c r="G861" t="inlineStr">
        <is>
          <t>Rooftop solar excluded</t>
        </is>
      </c>
      <c r="H861" t="inlineStr">
        <is>
          <t>https://www.seci.co.in/tender-details/YmV3</t>
        </is>
      </c>
    </row>
    <row r="862">
      <c r="A862" t="inlineStr">
        <is>
          <t>SECI000262</t>
        </is>
      </c>
      <c r="B862" t="inlineStr">
        <is>
          <t>SECI</t>
        </is>
      </c>
      <c r="C862" t="inlineStr">
        <is>
          <t>SECI/C&amp;P/OP/11/0002/26-27</t>
        </is>
      </c>
      <c r="D862" t="inlineStr">
        <is>
          <t>Solar + BESS</t>
        </is>
      </c>
      <c r="E862" t="n">
        <v>25</v>
      </c>
      <c r="F862" t="inlineStr">
        <is>
          <t>Open</t>
        </is>
      </c>
      <c r="G862" t="inlineStr">
        <is>
          <t>Capacity below configured minimum</t>
        </is>
      </c>
      <c r="H862" t="inlineStr">
        <is>
          <t>https://www.seci.co.in/tender-details/YmR1</t>
        </is>
      </c>
    </row>
    <row r="863">
      <c r="A863" t="inlineStr">
        <is>
          <t>SECI000274</t>
        </is>
      </c>
      <c r="B863" t="inlineStr">
        <is>
          <t>SECI</t>
        </is>
      </c>
      <c r="C863" t="inlineStr">
        <is>
          <t>SECI/C&amp;P/IPP/15/0008/26-27</t>
        </is>
      </c>
      <c r="D863" t="inlineStr">
        <is>
          <t>Other</t>
        </is>
      </c>
      <c r="E863" t="n">
        <v>50</v>
      </c>
      <c r="F863" t="inlineStr">
        <is>
          <t>Open</t>
        </is>
      </c>
      <c r="G863" t="inlineStr">
        <is>
          <t>Capacity below configured minimum</t>
        </is>
      </c>
      <c r="H863" t="inlineStr">
        <is>
          <t>https://www.seci.co.in/tender-details/YmVz</t>
        </is>
      </c>
    </row>
    <row r="864">
      <c r="A864" t="inlineStr">
        <is>
          <t>SECI000276</t>
        </is>
      </c>
      <c r="B864" t="inlineStr">
        <is>
          <t>SECI</t>
        </is>
      </c>
      <c r="C864" t="inlineStr">
        <is>
          <t>SECI/C&amp;P/OP/15/0006/25-26</t>
        </is>
      </c>
      <c r="D864" t="inlineStr">
        <is>
          <t>Solar</t>
        </is>
      </c>
      <c r="F864" t="inlineStr">
        <is>
          <t>Open</t>
        </is>
      </c>
      <c r="G864" t="inlineStr">
        <is>
          <t>Rooftop solar excluded</t>
        </is>
      </c>
      <c r="H864" t="inlineStr">
        <is>
          <t>https://www.seci.co.in/tender-details/YmVx</t>
        </is>
      </c>
    </row>
    <row r="865">
      <c r="A865" t="inlineStr">
        <is>
          <t>SECI000267</t>
        </is>
      </c>
      <c r="B865" t="inlineStr">
        <is>
          <t>SECI</t>
        </is>
      </c>
      <c r="C865" t="inlineStr">
        <is>
          <t>SECI/C&amp;P/MI/00/0001/26-27</t>
        </is>
      </c>
      <c r="D865" t="inlineStr">
        <is>
          <t>Other</t>
        </is>
      </c>
      <c r="F865" t="inlineStr">
        <is>
          <t>Open</t>
        </is>
      </c>
      <c r="G865" t="inlineStr">
        <is>
          <t>Capacity not confirmed</t>
        </is>
      </c>
      <c r="H865" t="inlineStr">
        <is>
          <t>https://www.seci.co.in/tender-details/YmRw</t>
        </is>
      </c>
    </row>
    <row r="866">
      <c r="B866" t="inlineStr">
        <is>
          <t>NTPC REL</t>
        </is>
      </c>
      <c r="D866" t="inlineStr">
        <is>
          <t>Other</t>
        </is>
      </c>
      <c r="F866" t="inlineStr">
        <is>
          <t>Open</t>
        </is>
      </c>
      <c r="G866" t="inlineStr">
        <is>
          <t>EPC / turnkey / BoS excluded</t>
        </is>
      </c>
      <c r="H866" t="inlineStr">
        <is>
          <t>https://ntpctender.ntpc.co.in/NITDetails/NITs/30320</t>
        </is>
      </c>
    </row>
    <row r="867">
      <c r="B867" t="inlineStr">
        <is>
          <t>NTPC REL</t>
        </is>
      </c>
      <c r="D867" t="inlineStr">
        <is>
          <t>Solar</t>
        </is>
      </c>
      <c r="E867" t="n">
        <v>500</v>
      </c>
      <c r="F867" t="inlineStr">
        <is>
          <t>Open</t>
        </is>
      </c>
      <c r="G867" t="inlineStr">
        <is>
          <t>EPC / turnkey / BoS excluded</t>
        </is>
      </c>
      <c r="H867" t="inlineStr">
        <is>
          <t>https://ntpctender.ntpc.co.in/NITDetails/NITs/30310</t>
        </is>
      </c>
    </row>
    <row r="868">
      <c r="B868" t="inlineStr">
        <is>
          <t>GRIDCO</t>
        </is>
      </c>
      <c r="C868" t="inlineStr">
        <is>
          <t xml:space="preserve">Issuing Authority : Chief Project Manager (RE) Start Date of Selling Tender Paper : 10/07/2026 End Date of Selling Tender Paper : 11/12/2026 01:00 PM </t>
        </is>
      </c>
      <c r="D868" t="inlineStr">
        <is>
          <t>Wind</t>
        </is>
      </c>
      <c r="F868" t="inlineStr">
        <is>
          <t>Open</t>
        </is>
      </c>
      <c r="G868" t="inlineStr">
        <is>
          <t>EPC / turnkey / BoS excluded</t>
        </is>
      </c>
      <c r="H868" t="inlineStr">
        <is>
          <t>https://www.gridco.co.in/tender.aspx</t>
        </is>
      </c>
    </row>
    <row r="869">
      <c r="B869" t="inlineStr">
        <is>
          <t>GRIDCO</t>
        </is>
      </c>
      <c r="C869" t="inlineStr">
        <is>
          <t>Scope of Work :</t>
        </is>
      </c>
      <c r="D869" t="inlineStr">
        <is>
          <t>Wind</t>
        </is>
      </c>
      <c r="F869" t="inlineStr">
        <is>
          <t>Open</t>
        </is>
      </c>
      <c r="G869" t="inlineStr">
        <is>
          <t>EPC / turnkey / BoS excluded</t>
        </is>
      </c>
      <c r="H869" t="inlineStr">
        <is>
          <t>https://www.gridco.co.in/tender.aspx</t>
        </is>
      </c>
    </row>
    <row r="870">
      <c r="B870" t="inlineStr">
        <is>
          <t>GRIDCO</t>
        </is>
      </c>
      <c r="C870" t="inlineStr">
        <is>
          <t>Issuing Authority : Director (Trading &amp; Business Development) Start Date of Selling Tender Paper : 09/23/2026 05:00 PM Scope of Work : NOTICE FOR EXPR</t>
        </is>
      </c>
      <c r="D870" t="inlineStr">
        <is>
          <t>Other</t>
        </is>
      </c>
      <c r="F870" t="inlineStr">
        <is>
          <t>Open</t>
        </is>
      </c>
      <c r="G870" t="inlineStr">
        <is>
          <t>Capacity not confirmed</t>
        </is>
      </c>
      <c r="H870" t="inlineStr">
        <is>
          <t>https://www.gridco.co.in/tender.aspx</t>
        </is>
      </c>
    </row>
    <row r="871">
      <c r="B871" t="inlineStr">
        <is>
          <t>GRIDCO</t>
        </is>
      </c>
      <c r="C871" t="inlineStr">
        <is>
          <t>Scope of Work :</t>
        </is>
      </c>
      <c r="D871" t="inlineStr">
        <is>
          <t>Other</t>
        </is>
      </c>
      <c r="F871" t="inlineStr">
        <is>
          <t>Open</t>
        </is>
      </c>
      <c r="G871" t="inlineStr">
        <is>
          <t>Capacity not confirmed</t>
        </is>
      </c>
      <c r="H871" t="inlineStr">
        <is>
          <t>https://www.gridco.co.in/tender.aspx</t>
        </is>
      </c>
    </row>
    <row r="872">
      <c r="B872" t="inlineStr">
        <is>
          <t>GRIDCO</t>
        </is>
      </c>
      <c r="C872" t="inlineStr">
        <is>
          <t>Tender Description :</t>
        </is>
      </c>
      <c r="D872" t="inlineStr">
        <is>
          <t>Other</t>
        </is>
      </c>
      <c r="F872" t="inlineStr">
        <is>
          <t>Open</t>
        </is>
      </c>
      <c r="G872" t="inlineStr">
        <is>
          <t>Capacity not confirmed</t>
        </is>
      </c>
      <c r="H872" t="inlineStr">
        <is>
          <t>https://www.gridco.co.in/tender.aspx</t>
        </is>
      </c>
    </row>
    <row r="873">
      <c r="A873" t="inlineStr">
        <is>
          <t>SECI000287</t>
        </is>
      </c>
      <c r="B873" t="inlineStr">
        <is>
          <t>SECI</t>
        </is>
      </c>
      <c r="C873" t="inlineStr">
        <is>
          <t>SECI/C&amp;P/IPP/11/0010/26-27</t>
        </is>
      </c>
      <c r="D873" t="inlineStr">
        <is>
          <t>Solar</t>
        </is>
      </c>
      <c r="F873" t="inlineStr">
        <is>
          <t>Open</t>
        </is>
      </c>
      <c r="G873" t="inlineStr">
        <is>
          <t>Rooftop solar excluded</t>
        </is>
      </c>
      <c r="H873" t="inlineStr">
        <is>
          <t>https://www.seci.co.in/tender-details/Ympw</t>
        </is>
      </c>
    </row>
    <row r="874">
      <c r="A874" t="inlineStr">
        <is>
          <t>SECI000284</t>
        </is>
      </c>
      <c r="B874" t="inlineStr">
        <is>
          <t>SECI</t>
        </is>
      </c>
      <c r="C874" t="inlineStr">
        <is>
          <t>SECI/C&amp;P/OP/11/0007/26-27</t>
        </is>
      </c>
      <c r="D874" t="inlineStr">
        <is>
          <t>Solar</t>
        </is>
      </c>
      <c r="E874" t="n">
        <v>60</v>
      </c>
      <c r="F874" t="inlineStr">
        <is>
          <t>Open</t>
        </is>
      </c>
      <c r="G874" t="inlineStr">
        <is>
          <t>O&amp;M-only tender excluded</t>
        </is>
      </c>
      <c r="H874" t="inlineStr">
        <is>
          <t>https://www.seci.co.in/tender-details/Ympz</t>
        </is>
      </c>
    </row>
    <row r="875">
      <c r="A875" t="inlineStr">
        <is>
          <t>SECI000285</t>
        </is>
      </c>
      <c r="B875" t="inlineStr">
        <is>
          <t>SECI</t>
        </is>
      </c>
      <c r="C875" t="inlineStr">
        <is>
          <t>SECI/C&amp;P/IPP/11/0009/26-27</t>
        </is>
      </c>
      <c r="D875" t="inlineStr">
        <is>
          <t>Solar</t>
        </is>
      </c>
      <c r="F875" t="inlineStr">
        <is>
          <t>Open</t>
        </is>
      </c>
      <c r="G875" t="inlineStr">
        <is>
          <t>Rooftop solar excluded</t>
        </is>
      </c>
      <c r="H875" t="inlineStr">
        <is>
          <t>https://www.seci.co.in/tender-details/Ympy</t>
        </is>
      </c>
    </row>
    <row r="876">
      <c r="A876" t="inlineStr">
        <is>
          <t>SECI000281</t>
        </is>
      </c>
      <c r="B876" t="inlineStr">
        <is>
          <t>SECI</t>
        </is>
      </c>
      <c r="C876" t="inlineStr">
        <is>
          <t>SECI/C&amp;P/IPP/11/0008/26-27</t>
        </is>
      </c>
      <c r="D876" t="inlineStr">
        <is>
          <t>Solar</t>
        </is>
      </c>
      <c r="F876" t="inlineStr">
        <is>
          <t>Open</t>
        </is>
      </c>
      <c r="G876" t="inlineStr">
        <is>
          <t>Rooftop solar excluded</t>
        </is>
      </c>
      <c r="H876" t="inlineStr">
        <is>
          <t>https://www.seci.co.in/tender-details/Ymp2</t>
        </is>
      </c>
    </row>
    <row r="877">
      <c r="A877" t="inlineStr">
        <is>
          <t>SECI000263</t>
        </is>
      </c>
      <c r="B877" t="inlineStr">
        <is>
          <t>SECI</t>
        </is>
      </c>
      <c r="C877" t="inlineStr">
        <is>
          <t>SECI/C&amp;P/OP/11/0003/26-27</t>
        </is>
      </c>
      <c r="D877" t="inlineStr">
        <is>
          <t>Wind</t>
        </is>
      </c>
      <c r="E877" t="n">
        <v>45.6</v>
      </c>
      <c r="F877" t="inlineStr">
        <is>
          <t>Open</t>
        </is>
      </c>
      <c r="G877" t="inlineStr">
        <is>
          <t>Capacity below configured minimum</t>
        </is>
      </c>
      <c r="H877" t="inlineStr">
        <is>
          <t>https://www.seci.co.in/tender-details/YmR0</t>
        </is>
      </c>
    </row>
    <row r="878">
      <c r="A878" t="inlineStr">
        <is>
          <t>SECI000279</t>
        </is>
      </c>
      <c r="B878" t="inlineStr">
        <is>
          <t>SECI</t>
        </is>
      </c>
      <c r="C878" t="inlineStr">
        <is>
          <t>SECI/C&amp;P/MI/00/05/2026-27</t>
        </is>
      </c>
      <c r="D878" t="inlineStr">
        <is>
          <t>Solar</t>
        </is>
      </c>
      <c r="F878" t="inlineStr">
        <is>
          <t>Open</t>
        </is>
      </c>
      <c r="G878" t="inlineStr">
        <is>
          <t>Capacity not confirmed</t>
        </is>
      </c>
      <c r="H878" t="inlineStr">
        <is>
          <t>https://www.seci.co.in/tender-details/YmV-</t>
        </is>
      </c>
    </row>
    <row r="879">
      <c r="A879" t="inlineStr">
        <is>
          <t>SECI000270</t>
        </is>
      </c>
      <c r="B879" t="inlineStr">
        <is>
          <t>SECI</t>
        </is>
      </c>
      <c r="C879" t="inlineStr">
        <is>
          <t>SECI/C&amp;P/OP/15/0005/26-27</t>
        </is>
      </c>
      <c r="D879" t="inlineStr">
        <is>
          <t>Solar</t>
        </is>
      </c>
      <c r="F879" t="inlineStr">
        <is>
          <t>Open</t>
        </is>
      </c>
      <c r="G879" t="inlineStr">
        <is>
          <t>Rooftop solar excluded</t>
        </is>
      </c>
      <c r="H879" t="inlineStr">
        <is>
          <t>https://www.seci.co.in/tender-details/YmV3</t>
        </is>
      </c>
    </row>
    <row r="880">
      <c r="A880" t="inlineStr">
        <is>
          <t>SECI000262</t>
        </is>
      </c>
      <c r="B880" t="inlineStr">
        <is>
          <t>SECI</t>
        </is>
      </c>
      <c r="C880" t="inlineStr">
        <is>
          <t>SECI/C&amp;P/OP/11/0002/26-27</t>
        </is>
      </c>
      <c r="D880" t="inlineStr">
        <is>
          <t>Solar + BESS</t>
        </is>
      </c>
      <c r="E880" t="n">
        <v>25</v>
      </c>
      <c r="F880" t="inlineStr">
        <is>
          <t>Open</t>
        </is>
      </c>
      <c r="G880" t="inlineStr">
        <is>
          <t>Capacity below configured minimum</t>
        </is>
      </c>
      <c r="H880" t="inlineStr">
        <is>
          <t>https://www.seci.co.in/tender-details/YmR1</t>
        </is>
      </c>
    </row>
    <row r="881">
      <c r="A881" t="inlineStr">
        <is>
          <t>SECI000274</t>
        </is>
      </c>
      <c r="B881" t="inlineStr">
        <is>
          <t>SECI</t>
        </is>
      </c>
      <c r="C881" t="inlineStr">
        <is>
          <t>SECI/C&amp;P/IPP/15/0008/26-27</t>
        </is>
      </c>
      <c r="D881" t="inlineStr">
        <is>
          <t>Other</t>
        </is>
      </c>
      <c r="E881" t="n">
        <v>50</v>
      </c>
      <c r="F881" t="inlineStr">
        <is>
          <t>Open</t>
        </is>
      </c>
      <c r="G881" t="inlineStr">
        <is>
          <t>Capacity below configured minimum</t>
        </is>
      </c>
      <c r="H881" t="inlineStr">
        <is>
          <t>https://www.seci.co.in/tender-details/YmVz</t>
        </is>
      </c>
    </row>
    <row r="882">
      <c r="A882" t="inlineStr">
        <is>
          <t>SECI000276</t>
        </is>
      </c>
      <c r="B882" t="inlineStr">
        <is>
          <t>SECI</t>
        </is>
      </c>
      <c r="C882" t="inlineStr">
        <is>
          <t>SECI/C&amp;P/OP/15/0006/25-26</t>
        </is>
      </c>
      <c r="D882" t="inlineStr">
        <is>
          <t>Solar</t>
        </is>
      </c>
      <c r="F882" t="inlineStr">
        <is>
          <t>Open</t>
        </is>
      </c>
      <c r="G882" t="inlineStr">
        <is>
          <t>Rooftop solar excluded</t>
        </is>
      </c>
      <c r="H882" t="inlineStr">
        <is>
          <t>https://www.seci.co.in/tender-details/YmVx</t>
        </is>
      </c>
    </row>
    <row r="883">
      <c r="A883" t="inlineStr">
        <is>
          <t>SECI000267</t>
        </is>
      </c>
      <c r="B883" t="inlineStr">
        <is>
          <t>SECI</t>
        </is>
      </c>
      <c r="C883" t="inlineStr">
        <is>
          <t>SECI/C&amp;P/MI/00/0001/26-27</t>
        </is>
      </c>
      <c r="D883" t="inlineStr">
        <is>
          <t>Other</t>
        </is>
      </c>
      <c r="F883" t="inlineStr">
        <is>
          <t>Open</t>
        </is>
      </c>
      <c r="G883" t="inlineStr">
        <is>
          <t>Capacity not confirmed</t>
        </is>
      </c>
      <c r="H883" t="inlineStr">
        <is>
          <t>https://www.seci.co.in/tender-details/YmRw</t>
        </is>
      </c>
    </row>
    <row r="884">
      <c r="B884" t="inlineStr">
        <is>
          <t>NTPC REL</t>
        </is>
      </c>
      <c r="D884" t="inlineStr">
        <is>
          <t>Other</t>
        </is>
      </c>
      <c r="F884" t="inlineStr">
        <is>
          <t>Open</t>
        </is>
      </c>
      <c r="G884" t="inlineStr">
        <is>
          <t>EPC / turnkey / BoS excluded</t>
        </is>
      </c>
      <c r="H884" t="inlineStr">
        <is>
          <t>https://ntpctender.ntpc.co.in/NITDetails/NITs/30320</t>
        </is>
      </c>
    </row>
    <row r="885">
      <c r="B885" t="inlineStr">
        <is>
          <t>NTPC REL</t>
        </is>
      </c>
      <c r="D885" t="inlineStr">
        <is>
          <t>Solar</t>
        </is>
      </c>
      <c r="E885" t="n">
        <v>500</v>
      </c>
      <c r="F885" t="inlineStr">
        <is>
          <t>Open</t>
        </is>
      </c>
      <c r="G885" t="inlineStr">
        <is>
          <t>EPC / turnkey / BoS excluded</t>
        </is>
      </c>
      <c r="H885" t="inlineStr">
        <is>
          <t>https://ntpctender.ntpc.co.in/NITDetails/NITs/30310</t>
        </is>
      </c>
    </row>
    <row r="886">
      <c r="B886" t="inlineStr">
        <is>
          <t>GRIDCO</t>
        </is>
      </c>
      <c r="C886" t="inlineStr">
        <is>
          <t xml:space="preserve">Issuing Authority : Chief Project Manager (RE) Start Date of Selling Tender Paper : 10/07/2026 End Date of Selling Tender Paper : 11/12/2026 01:00 PM </t>
        </is>
      </c>
      <c r="D886" t="inlineStr">
        <is>
          <t>Wind</t>
        </is>
      </c>
      <c r="F886" t="inlineStr">
        <is>
          <t>Open</t>
        </is>
      </c>
      <c r="G886" t="inlineStr">
        <is>
          <t>EPC / turnkey / BoS excluded</t>
        </is>
      </c>
      <c r="H886" t="inlineStr">
        <is>
          <t>https://www.gridco.co.in/tender.aspx</t>
        </is>
      </c>
    </row>
    <row r="887">
      <c r="B887" t="inlineStr">
        <is>
          <t>GRIDCO</t>
        </is>
      </c>
      <c r="C887" t="inlineStr">
        <is>
          <t>Scope of Work :</t>
        </is>
      </c>
      <c r="D887" t="inlineStr">
        <is>
          <t>Wind</t>
        </is>
      </c>
      <c r="F887" t="inlineStr">
        <is>
          <t>Open</t>
        </is>
      </c>
      <c r="G887" t="inlineStr">
        <is>
          <t>EPC / turnkey / BoS excluded</t>
        </is>
      </c>
      <c r="H887" t="inlineStr">
        <is>
          <t>https://www.gridco.co.in/tender.aspx</t>
        </is>
      </c>
    </row>
    <row r="888">
      <c r="B888" t="inlineStr">
        <is>
          <t>GRIDCO</t>
        </is>
      </c>
      <c r="C888" t="inlineStr">
        <is>
          <t>Issuing Authority : Director (Trading &amp; Business Development) Start Date of Selling Tender Paper : 09/23/2026 05:00 PM Scope of Work : NOTICE FOR EXPR</t>
        </is>
      </c>
      <c r="D888" t="inlineStr">
        <is>
          <t>Other</t>
        </is>
      </c>
      <c r="F888" t="inlineStr">
        <is>
          <t>Open</t>
        </is>
      </c>
      <c r="G888" t="inlineStr">
        <is>
          <t>Capacity not confirmed</t>
        </is>
      </c>
      <c r="H888" t="inlineStr">
        <is>
          <t>https://www.gridco.co.in/tender.aspx</t>
        </is>
      </c>
    </row>
    <row r="889">
      <c r="B889" t="inlineStr">
        <is>
          <t>GRIDCO</t>
        </is>
      </c>
      <c r="C889" t="inlineStr">
        <is>
          <t>Scope of Work :</t>
        </is>
      </c>
      <c r="D889" t="inlineStr">
        <is>
          <t>Other</t>
        </is>
      </c>
      <c r="F889" t="inlineStr">
        <is>
          <t>Open</t>
        </is>
      </c>
      <c r="G889" t="inlineStr">
        <is>
          <t>Capacity not confirmed</t>
        </is>
      </c>
      <c r="H889" t="inlineStr">
        <is>
          <t>https://www.gridco.co.in/tender.aspx</t>
        </is>
      </c>
    </row>
    <row r="890">
      <c r="B890" t="inlineStr">
        <is>
          <t>GRIDCO</t>
        </is>
      </c>
      <c r="C890" t="inlineStr">
        <is>
          <t>Tender Description :</t>
        </is>
      </c>
      <c r="D890" t="inlineStr">
        <is>
          <t>Other</t>
        </is>
      </c>
      <c r="F890" t="inlineStr">
        <is>
          <t>Open</t>
        </is>
      </c>
      <c r="G890" t="inlineStr">
        <is>
          <t>Capacity not confirmed</t>
        </is>
      </c>
      <c r="H890" t="inlineStr">
        <is>
          <t>https://www.gridco.co.in/tender.aspx</t>
        </is>
      </c>
    </row>
    <row r="891">
      <c r="A891" t="inlineStr">
        <is>
          <t>SECI000287</t>
        </is>
      </c>
      <c r="B891" t="inlineStr">
        <is>
          <t>SECI</t>
        </is>
      </c>
      <c r="C891" t="inlineStr">
        <is>
          <t>SECI/C&amp;P/IPP/11/0010/26-27</t>
        </is>
      </c>
      <c r="D891" t="inlineStr">
        <is>
          <t>Solar</t>
        </is>
      </c>
      <c r="F891" t="inlineStr">
        <is>
          <t>Open</t>
        </is>
      </c>
      <c r="G891" t="inlineStr">
        <is>
          <t>Rooftop solar excluded</t>
        </is>
      </c>
      <c r="H891" t="inlineStr">
        <is>
          <t>https://www.seci.co.in/tender-details/Ympw</t>
        </is>
      </c>
    </row>
    <row r="892">
      <c r="A892" t="inlineStr">
        <is>
          <t>SECI000284</t>
        </is>
      </c>
      <c r="B892" t="inlineStr">
        <is>
          <t>SECI</t>
        </is>
      </c>
      <c r="C892" t="inlineStr">
        <is>
          <t>SECI/C&amp;P/OP/11/0007/26-27</t>
        </is>
      </c>
      <c r="D892" t="inlineStr">
        <is>
          <t>Solar</t>
        </is>
      </c>
      <c r="E892" t="n">
        <v>60</v>
      </c>
      <c r="F892" t="inlineStr">
        <is>
          <t>Open</t>
        </is>
      </c>
      <c r="G892" t="inlineStr">
        <is>
          <t>O&amp;M-only tender excluded</t>
        </is>
      </c>
      <c r="H892" t="inlineStr">
        <is>
          <t>https://www.seci.co.in/tender-details/Ympz</t>
        </is>
      </c>
    </row>
    <row r="893">
      <c r="A893" t="inlineStr">
        <is>
          <t>SECI000285</t>
        </is>
      </c>
      <c r="B893" t="inlineStr">
        <is>
          <t>SECI</t>
        </is>
      </c>
      <c r="C893" t="inlineStr">
        <is>
          <t>SECI/C&amp;P/IPP/11/0009/26-27</t>
        </is>
      </c>
      <c r="D893" t="inlineStr">
        <is>
          <t>Solar</t>
        </is>
      </c>
      <c r="F893" t="inlineStr">
        <is>
          <t>Open</t>
        </is>
      </c>
      <c r="G893" t="inlineStr">
        <is>
          <t>Rooftop solar excluded</t>
        </is>
      </c>
      <c r="H893" t="inlineStr">
        <is>
          <t>https://www.seci.co.in/tender-details/Ympy</t>
        </is>
      </c>
    </row>
    <row r="894">
      <c r="A894" t="inlineStr">
        <is>
          <t>SECI000281</t>
        </is>
      </c>
      <c r="B894" t="inlineStr">
        <is>
          <t>SECI</t>
        </is>
      </c>
      <c r="C894" t="inlineStr">
        <is>
          <t>SECI/C&amp;P/IPP/11/0008/26-27</t>
        </is>
      </c>
      <c r="D894" t="inlineStr">
        <is>
          <t>Solar</t>
        </is>
      </c>
      <c r="F894" t="inlineStr">
        <is>
          <t>Open</t>
        </is>
      </c>
      <c r="G894" t="inlineStr">
        <is>
          <t>Rooftop solar excluded</t>
        </is>
      </c>
      <c r="H894" t="inlineStr">
        <is>
          <t>https://www.seci.co.in/tender-details/Ymp2</t>
        </is>
      </c>
    </row>
    <row r="895">
      <c r="A895" t="inlineStr">
        <is>
          <t>SECI000263</t>
        </is>
      </c>
      <c r="B895" t="inlineStr">
        <is>
          <t>SECI</t>
        </is>
      </c>
      <c r="C895" t="inlineStr">
        <is>
          <t>SECI/C&amp;P/OP/11/0003/26-27</t>
        </is>
      </c>
      <c r="D895" t="inlineStr">
        <is>
          <t>Wind</t>
        </is>
      </c>
      <c r="E895" t="n">
        <v>45.6</v>
      </c>
      <c r="F895" t="inlineStr">
        <is>
          <t>Open</t>
        </is>
      </c>
      <c r="G895" t="inlineStr">
        <is>
          <t>Capacity below configured minimum</t>
        </is>
      </c>
      <c r="H895" t="inlineStr">
        <is>
          <t>https://www.seci.co.in/tender-details/YmR0</t>
        </is>
      </c>
    </row>
    <row r="896">
      <c r="A896" t="inlineStr">
        <is>
          <t>SECI000279</t>
        </is>
      </c>
      <c r="B896" t="inlineStr">
        <is>
          <t>SECI</t>
        </is>
      </c>
      <c r="C896" t="inlineStr">
        <is>
          <t>SECI/C&amp;P/MI/00/05/2026-27</t>
        </is>
      </c>
      <c r="D896" t="inlineStr">
        <is>
          <t>Solar</t>
        </is>
      </c>
      <c r="F896" t="inlineStr">
        <is>
          <t>Open</t>
        </is>
      </c>
      <c r="G896" t="inlineStr">
        <is>
          <t>Capacity not confirmed</t>
        </is>
      </c>
      <c r="H896" t="inlineStr">
        <is>
          <t>https://www.seci.co.in/tender-details/YmV-</t>
        </is>
      </c>
    </row>
    <row r="897">
      <c r="A897" t="inlineStr">
        <is>
          <t>SECI000276</t>
        </is>
      </c>
      <c r="B897" t="inlineStr">
        <is>
          <t>SECI</t>
        </is>
      </c>
      <c r="C897" t="inlineStr">
        <is>
          <t>SECI/C&amp;P/OP/15/0006/25-26</t>
        </is>
      </c>
      <c r="D897" t="inlineStr">
        <is>
          <t>Solar</t>
        </is>
      </c>
      <c r="F897" t="inlineStr">
        <is>
          <t>Open</t>
        </is>
      </c>
      <c r="G897" t="inlineStr">
        <is>
          <t>Rooftop solar excluded</t>
        </is>
      </c>
      <c r="H897" t="inlineStr">
        <is>
          <t>https://www.seci.co.in/tender-details/YmVx</t>
        </is>
      </c>
    </row>
    <row r="898">
      <c r="A898" t="inlineStr">
        <is>
          <t>SECI000270</t>
        </is>
      </c>
      <c r="B898" t="inlineStr">
        <is>
          <t>SECI</t>
        </is>
      </c>
      <c r="C898" t="inlineStr">
        <is>
          <t>SECI/C&amp;P/OP/15/0005/26-27</t>
        </is>
      </c>
      <c r="D898" t="inlineStr">
        <is>
          <t>Solar</t>
        </is>
      </c>
      <c r="F898" t="inlineStr">
        <is>
          <t>Open</t>
        </is>
      </c>
      <c r="G898" t="inlineStr">
        <is>
          <t>Rooftop solar excluded</t>
        </is>
      </c>
      <c r="H898" t="inlineStr">
        <is>
          <t>https://www.seci.co.in/tender-details/YmV3</t>
        </is>
      </c>
    </row>
    <row r="899">
      <c r="A899" t="inlineStr">
        <is>
          <t>SECI000262</t>
        </is>
      </c>
      <c r="B899" t="inlineStr">
        <is>
          <t>SECI</t>
        </is>
      </c>
      <c r="C899" t="inlineStr">
        <is>
          <t>SECI/C&amp;P/OP/11/0002/26-27</t>
        </is>
      </c>
      <c r="D899" t="inlineStr">
        <is>
          <t>Solar + BESS</t>
        </is>
      </c>
      <c r="E899" t="n">
        <v>25</v>
      </c>
      <c r="F899" t="inlineStr">
        <is>
          <t>Open</t>
        </is>
      </c>
      <c r="G899" t="inlineStr">
        <is>
          <t>Capacity below configured minimum</t>
        </is>
      </c>
      <c r="H899" t="inlineStr">
        <is>
          <t>https://www.seci.co.in/tender-details/YmR1</t>
        </is>
      </c>
    </row>
    <row r="900">
      <c r="A900" t="inlineStr">
        <is>
          <t>SECI000274</t>
        </is>
      </c>
      <c r="B900" t="inlineStr">
        <is>
          <t>SECI</t>
        </is>
      </c>
      <c r="C900" t="inlineStr">
        <is>
          <t>SECI/C&amp;P/IPP/15/0008/26-27</t>
        </is>
      </c>
      <c r="D900" t="inlineStr">
        <is>
          <t>Other</t>
        </is>
      </c>
      <c r="E900" t="n">
        <v>50</v>
      </c>
      <c r="F900" t="inlineStr">
        <is>
          <t>Open</t>
        </is>
      </c>
      <c r="G900" t="inlineStr">
        <is>
          <t>Capacity below configured minimum</t>
        </is>
      </c>
      <c r="H900" t="inlineStr">
        <is>
          <t>https://www.seci.co.in/tender-details/YmVz</t>
        </is>
      </c>
    </row>
    <row r="901">
      <c r="A901" t="inlineStr">
        <is>
          <t>SECI000267</t>
        </is>
      </c>
      <c r="B901" t="inlineStr">
        <is>
          <t>SECI</t>
        </is>
      </c>
      <c r="C901" t="inlineStr">
        <is>
          <t>SECI/C&amp;P/MI/00/0001/26-27</t>
        </is>
      </c>
      <c r="D901" t="inlineStr">
        <is>
          <t>Other</t>
        </is>
      </c>
      <c r="F901" t="inlineStr">
        <is>
          <t>Open</t>
        </is>
      </c>
      <c r="G901" t="inlineStr">
        <is>
          <t>Capacity not confirmed</t>
        </is>
      </c>
      <c r="H901" t="inlineStr">
        <is>
          <t>https://www.seci.co.in/tender-details/YmRw</t>
        </is>
      </c>
    </row>
    <row r="902">
      <c r="B902" t="inlineStr">
        <is>
          <t>NTPC REL</t>
        </is>
      </c>
      <c r="D902" t="inlineStr">
        <is>
          <t>Other</t>
        </is>
      </c>
      <c r="F902" t="inlineStr">
        <is>
          <t>Open</t>
        </is>
      </c>
      <c r="G902" t="inlineStr">
        <is>
          <t>EPC / turnkey / BoS excluded</t>
        </is>
      </c>
      <c r="H902" t="inlineStr">
        <is>
          <t>https://ntpctender.ntpc.co.in/NITDetails/NITs/30320</t>
        </is>
      </c>
    </row>
    <row r="903">
      <c r="B903" t="inlineStr">
        <is>
          <t>NTPC REL</t>
        </is>
      </c>
      <c r="D903" t="inlineStr">
        <is>
          <t>Solar</t>
        </is>
      </c>
      <c r="E903" t="n">
        <v>500</v>
      </c>
      <c r="F903" t="inlineStr">
        <is>
          <t>Open</t>
        </is>
      </c>
      <c r="G903" t="inlineStr">
        <is>
          <t>EPC / turnkey / BoS excluded</t>
        </is>
      </c>
      <c r="H903" t="inlineStr">
        <is>
          <t>https://ntpctender.ntpc.co.in/NITDetails/NITs/30310</t>
        </is>
      </c>
    </row>
    <row r="904">
      <c r="B904" t="inlineStr">
        <is>
          <t>NTPC REL</t>
        </is>
      </c>
      <c r="D904" t="inlineStr">
        <is>
          <t>Wind</t>
        </is>
      </c>
      <c r="E904" t="n">
        <v>600</v>
      </c>
      <c r="F904" t="inlineStr">
        <is>
          <t>Corrigendum</t>
        </is>
      </c>
      <c r="G904" t="inlineStr">
        <is>
          <t>Supply / installation excluded</t>
        </is>
      </c>
      <c r="H904" t="inlineStr">
        <is>
          <t>https://ntpctender.ntpc.co.in/NITDetails/NITs/30277</t>
        </is>
      </c>
    </row>
    <row r="905">
      <c r="B905" t="inlineStr">
        <is>
          <t>RUVNL</t>
        </is>
      </c>
      <c r="C905" t="inlineStr">
        <is>
          <t>NIT-14/2026-27</t>
        </is>
      </c>
      <c r="D905" t="inlineStr">
        <is>
          <t>Solar</t>
        </is>
      </c>
      <c r="F905" t="inlineStr">
        <is>
          <t>Open</t>
        </is>
      </c>
      <c r="G905" t="inlineStr">
        <is>
          <t>Capacity not confirmed</t>
        </is>
      </c>
      <c r="H905" t="inlineStr">
        <is>
          <t>https://eproc.rajasthan.gov.in/nicgep/app?component=%24DirectLink&amp;page=Home&amp;service=direct&amp;session=T&amp;sp=S1roRjF5XB%2BaR71ieqLD9JQ%3D%3D</t>
        </is>
      </c>
    </row>
    <row r="906">
      <c r="B906" t="inlineStr">
        <is>
          <t>RUVNL</t>
        </is>
      </c>
      <c r="C906" t="inlineStr">
        <is>
          <t>NIT-14/2026-27</t>
        </is>
      </c>
      <c r="D906" t="inlineStr">
        <is>
          <t>Solar</t>
        </is>
      </c>
      <c r="F906" t="inlineStr">
        <is>
          <t>Open</t>
        </is>
      </c>
      <c r="G906" t="inlineStr">
        <is>
          <t>Capacity not confirmed</t>
        </is>
      </c>
      <c r="H906" t="inlineStr">
        <is>
          <t>https://eproc.rajasthan.gov.in/nicgep/app?component=%24DirectLink&amp;page=Home&amp;service=direct&amp;session=T&amp;sp=S1roRjF5XB%2BaR71ieqLD9JQ%3D%3D</t>
        </is>
      </c>
    </row>
    <row r="907">
      <c r="B907" t="inlineStr">
        <is>
          <t>RUVNL</t>
        </is>
      </c>
      <c r="C907" t="inlineStr">
        <is>
          <t>4. Construction of 2 Nos. 33 KV Bay for M/s Etrica Solar Power Plants Pvt. Ltd. at 132 KV GSS, Sekhala, Distt. Jodhpur</t>
        </is>
      </c>
      <c r="D907" t="inlineStr">
        <is>
          <t>Solar</t>
        </is>
      </c>
      <c r="F907" t="inlineStr">
        <is>
          <t>Open</t>
        </is>
      </c>
      <c r="G907" t="inlineStr">
        <is>
          <t>Capacity not confirmed</t>
        </is>
      </c>
      <c r="H907" t="inlineStr">
        <is>
          <t>https://eproc.rajasthan.gov.in/nicgep/app?component=%24DirectLink&amp;page=Home&amp;service=direct&amp;session=T&amp;sp=SMqpnHxTn%2FfASmW%2BR6g9nVw%3D%3D</t>
        </is>
      </c>
    </row>
    <row r="908">
      <c r="B908" t="inlineStr">
        <is>
          <t>GRIDCO</t>
        </is>
      </c>
      <c r="C908" t="inlineStr">
        <is>
          <t xml:space="preserve">Issuing Authority : Chief Project Manager (RE) Start Date of Selling Tender Paper : 10/07/2026 End Date of Selling Tender Paper : 11/12/2026 01:00 PM </t>
        </is>
      </c>
      <c r="D908" t="inlineStr">
        <is>
          <t>Wind</t>
        </is>
      </c>
      <c r="F908" t="inlineStr">
        <is>
          <t>Open</t>
        </is>
      </c>
      <c r="G908" t="inlineStr">
        <is>
          <t>EPC / turnkey / BoS excluded</t>
        </is>
      </c>
      <c r="H908" t="inlineStr">
        <is>
          <t>https://www.gridco.co.in/tender.aspx</t>
        </is>
      </c>
    </row>
    <row r="909">
      <c r="B909" t="inlineStr">
        <is>
          <t>GRIDCO</t>
        </is>
      </c>
      <c r="C909" t="inlineStr">
        <is>
          <t>Scope of Work :</t>
        </is>
      </c>
      <c r="D909" t="inlineStr">
        <is>
          <t>Wind</t>
        </is>
      </c>
      <c r="F909" t="inlineStr">
        <is>
          <t>Open</t>
        </is>
      </c>
      <c r="G909" t="inlineStr">
        <is>
          <t>EPC / turnkey / BoS excluded</t>
        </is>
      </c>
      <c r="H909" t="inlineStr">
        <is>
          <t>https://www.gridco.co.in/tender.aspx</t>
        </is>
      </c>
    </row>
    <row r="910">
      <c r="B910" t="inlineStr">
        <is>
          <t>GRIDCO</t>
        </is>
      </c>
      <c r="C910" t="inlineStr">
        <is>
          <t>Issuing Authority : Director (Trading &amp; Business Development) Start Date of Selling Tender Paper : 09/23/2026 05:00 PM Scope of Work : NOTICE FOR EXPR</t>
        </is>
      </c>
      <c r="D910" t="inlineStr">
        <is>
          <t>Other</t>
        </is>
      </c>
      <c r="F910" t="inlineStr">
        <is>
          <t>Open</t>
        </is>
      </c>
      <c r="G910" t="inlineStr">
        <is>
          <t>Capacity not confirmed</t>
        </is>
      </c>
      <c r="H910" t="inlineStr">
        <is>
          <t>https://www.gridco.co.in/tender.aspx</t>
        </is>
      </c>
    </row>
    <row r="911">
      <c r="B911" t="inlineStr">
        <is>
          <t>GRIDCO</t>
        </is>
      </c>
      <c r="C911" t="inlineStr">
        <is>
          <t>Scope of Work :</t>
        </is>
      </c>
      <c r="D911" t="inlineStr">
        <is>
          <t>Other</t>
        </is>
      </c>
      <c r="F911" t="inlineStr">
        <is>
          <t>Open</t>
        </is>
      </c>
      <c r="G911" t="inlineStr">
        <is>
          <t>Capacity not confirmed</t>
        </is>
      </c>
      <c r="H911" t="inlineStr">
        <is>
          <t>https://www.gridco.co.in/tender.aspx</t>
        </is>
      </c>
    </row>
    <row r="912">
      <c r="B912" t="inlineStr">
        <is>
          <t>GRIDCO</t>
        </is>
      </c>
      <c r="C912" t="inlineStr">
        <is>
          <t>Tender Description :</t>
        </is>
      </c>
      <c r="D912" t="inlineStr">
        <is>
          <t>Other</t>
        </is>
      </c>
      <c r="F912" t="inlineStr">
        <is>
          <t>Open</t>
        </is>
      </c>
      <c r="G912" t="inlineStr">
        <is>
          <t>Capacity not confirmed</t>
        </is>
      </c>
      <c r="H912" t="inlineStr">
        <is>
          <t>https://www.gridco.co.in/tender.aspx</t>
        </is>
      </c>
    </row>
    <row r="913">
      <c r="A913" t="inlineStr">
        <is>
          <t>SECI000287</t>
        </is>
      </c>
      <c r="B913" t="inlineStr">
        <is>
          <t>SECI</t>
        </is>
      </c>
      <c r="C913" t="inlineStr">
        <is>
          <t>SECI/C&amp;P/IPP/11/0010/26-27</t>
        </is>
      </c>
      <c r="D913" t="inlineStr">
        <is>
          <t>Solar</t>
        </is>
      </c>
      <c r="F913" t="inlineStr">
        <is>
          <t>Open</t>
        </is>
      </c>
      <c r="G913" t="inlineStr">
        <is>
          <t>Rooftop solar excluded</t>
        </is>
      </c>
      <c r="H913" t="inlineStr">
        <is>
          <t>https://www.seci.co.in/tender-details/Ympw</t>
        </is>
      </c>
    </row>
    <row r="914">
      <c r="A914" t="inlineStr">
        <is>
          <t>SECI000284</t>
        </is>
      </c>
      <c r="B914" t="inlineStr">
        <is>
          <t>SECI</t>
        </is>
      </c>
      <c r="C914" t="inlineStr">
        <is>
          <t>SECI/C&amp;P/OP/11/0007/26-27</t>
        </is>
      </c>
      <c r="D914" t="inlineStr">
        <is>
          <t>Solar</t>
        </is>
      </c>
      <c r="E914" t="n">
        <v>60</v>
      </c>
      <c r="F914" t="inlineStr">
        <is>
          <t>Open</t>
        </is>
      </c>
      <c r="G914" t="inlineStr">
        <is>
          <t>O&amp;M-only tender excluded</t>
        </is>
      </c>
      <c r="H914" t="inlineStr">
        <is>
          <t>https://www.seci.co.in/tender-details/Ympz</t>
        </is>
      </c>
    </row>
    <row r="915">
      <c r="A915" t="inlineStr">
        <is>
          <t>SECI000285</t>
        </is>
      </c>
      <c r="B915" t="inlineStr">
        <is>
          <t>SECI</t>
        </is>
      </c>
      <c r="C915" t="inlineStr">
        <is>
          <t>SECI/C&amp;P/IPP/11/0009/26-27</t>
        </is>
      </c>
      <c r="D915" t="inlineStr">
        <is>
          <t>Solar</t>
        </is>
      </c>
      <c r="F915" t="inlineStr">
        <is>
          <t>Open</t>
        </is>
      </c>
      <c r="G915" t="inlineStr">
        <is>
          <t>Rooftop solar excluded</t>
        </is>
      </c>
      <c r="H915" t="inlineStr">
        <is>
          <t>https://www.seci.co.in/tender-details/Ympy</t>
        </is>
      </c>
    </row>
    <row r="916">
      <c r="A916" t="inlineStr">
        <is>
          <t>SECI000281</t>
        </is>
      </c>
      <c r="B916" t="inlineStr">
        <is>
          <t>SECI</t>
        </is>
      </c>
      <c r="C916" t="inlineStr">
        <is>
          <t>SECI/C&amp;P/IPP/11/0008/26-27</t>
        </is>
      </c>
      <c r="D916" t="inlineStr">
        <is>
          <t>Solar</t>
        </is>
      </c>
      <c r="F916" t="inlineStr">
        <is>
          <t>Open</t>
        </is>
      </c>
      <c r="G916" t="inlineStr">
        <is>
          <t>Rooftop solar excluded</t>
        </is>
      </c>
      <c r="H916" t="inlineStr">
        <is>
          <t>https://www.seci.co.in/tender-details/Ymp2</t>
        </is>
      </c>
    </row>
    <row r="917">
      <c r="A917" t="inlineStr">
        <is>
          <t>SECI000263</t>
        </is>
      </c>
      <c r="B917" t="inlineStr">
        <is>
          <t>SECI</t>
        </is>
      </c>
      <c r="C917" t="inlineStr">
        <is>
          <t>SECI/C&amp;P/OP/11/0003/26-27</t>
        </is>
      </c>
      <c r="D917" t="inlineStr">
        <is>
          <t>Wind</t>
        </is>
      </c>
      <c r="E917" t="n">
        <v>45.6</v>
      </c>
      <c r="F917" t="inlineStr">
        <is>
          <t>Open</t>
        </is>
      </c>
      <c r="G917" t="inlineStr">
        <is>
          <t>Capacity below configured minimum</t>
        </is>
      </c>
      <c r="H917" t="inlineStr">
        <is>
          <t>https://www.seci.co.in/tender-details/YmR0</t>
        </is>
      </c>
    </row>
    <row r="918">
      <c r="A918" t="inlineStr">
        <is>
          <t>SECI000279</t>
        </is>
      </c>
      <c r="B918" t="inlineStr">
        <is>
          <t>SECI</t>
        </is>
      </c>
      <c r="C918" t="inlineStr">
        <is>
          <t>SECI/C&amp;P/MI/00/05/2026-27</t>
        </is>
      </c>
      <c r="D918" t="inlineStr">
        <is>
          <t>Solar</t>
        </is>
      </c>
      <c r="F918" t="inlineStr">
        <is>
          <t>Open</t>
        </is>
      </c>
      <c r="G918" t="inlineStr">
        <is>
          <t>Capacity not confirmed</t>
        </is>
      </c>
      <c r="H918" t="inlineStr">
        <is>
          <t>https://www.seci.co.in/tender-details/YmV-</t>
        </is>
      </c>
    </row>
    <row r="919">
      <c r="A919" t="inlineStr">
        <is>
          <t>SECI000276</t>
        </is>
      </c>
      <c r="B919" t="inlineStr">
        <is>
          <t>SECI</t>
        </is>
      </c>
      <c r="C919" t="inlineStr">
        <is>
          <t>SECI/C&amp;P/OP/15/0006/25-26</t>
        </is>
      </c>
      <c r="D919" t="inlineStr">
        <is>
          <t>Solar</t>
        </is>
      </c>
      <c r="F919" t="inlineStr">
        <is>
          <t>Open</t>
        </is>
      </c>
      <c r="G919" t="inlineStr">
        <is>
          <t>Rooftop solar excluded</t>
        </is>
      </c>
      <c r="H919" t="inlineStr">
        <is>
          <t>https://www.seci.co.in/tender-details/YmVx</t>
        </is>
      </c>
    </row>
    <row r="920">
      <c r="A920" t="inlineStr">
        <is>
          <t>SECI000270</t>
        </is>
      </c>
      <c r="B920" t="inlineStr">
        <is>
          <t>SECI</t>
        </is>
      </c>
      <c r="C920" t="inlineStr">
        <is>
          <t>SECI/C&amp;P/OP/15/0005/26-27</t>
        </is>
      </c>
      <c r="D920" t="inlineStr">
        <is>
          <t>Solar</t>
        </is>
      </c>
      <c r="F920" t="inlineStr">
        <is>
          <t>Open</t>
        </is>
      </c>
      <c r="G920" t="inlineStr">
        <is>
          <t>Rooftop solar excluded</t>
        </is>
      </c>
      <c r="H920" t="inlineStr">
        <is>
          <t>https://www.seci.co.in/tender-details/YmV3</t>
        </is>
      </c>
    </row>
    <row r="921">
      <c r="A921" t="inlineStr">
        <is>
          <t>SECI000262</t>
        </is>
      </c>
      <c r="B921" t="inlineStr">
        <is>
          <t>SECI</t>
        </is>
      </c>
      <c r="C921" t="inlineStr">
        <is>
          <t>SECI/C&amp;P/OP/11/0002/26-27</t>
        </is>
      </c>
      <c r="D921" t="inlineStr">
        <is>
          <t>Solar + BESS</t>
        </is>
      </c>
      <c r="E921" t="n">
        <v>25</v>
      </c>
      <c r="F921" t="inlineStr">
        <is>
          <t>Open</t>
        </is>
      </c>
      <c r="G921" t="inlineStr">
        <is>
          <t>Capacity below configured minimum</t>
        </is>
      </c>
      <c r="H921" t="inlineStr">
        <is>
          <t>https://www.seci.co.in/tender-details/YmR1</t>
        </is>
      </c>
    </row>
    <row r="922">
      <c r="A922" t="inlineStr">
        <is>
          <t>SECI000274</t>
        </is>
      </c>
      <c r="B922" t="inlineStr">
        <is>
          <t>SECI</t>
        </is>
      </c>
      <c r="C922" t="inlineStr">
        <is>
          <t>SECI/C&amp;P/IPP/15/0008/26-27</t>
        </is>
      </c>
      <c r="D922" t="inlineStr">
        <is>
          <t>Other</t>
        </is>
      </c>
      <c r="E922" t="n">
        <v>50</v>
      </c>
      <c r="F922" t="inlineStr">
        <is>
          <t>Open</t>
        </is>
      </c>
      <c r="G922" t="inlineStr">
        <is>
          <t>Capacity below configured minimum</t>
        </is>
      </c>
      <c r="H922" t="inlineStr">
        <is>
          <t>https://www.seci.co.in/tender-details/YmVz</t>
        </is>
      </c>
    </row>
    <row r="923">
      <c r="A923" t="inlineStr">
        <is>
          <t>SECI000267</t>
        </is>
      </c>
      <c r="B923" t="inlineStr">
        <is>
          <t>SECI</t>
        </is>
      </c>
      <c r="C923" t="inlineStr">
        <is>
          <t>SECI/C&amp;P/MI/00/0001/26-27</t>
        </is>
      </c>
      <c r="D923" t="inlineStr">
        <is>
          <t>Other</t>
        </is>
      </c>
      <c r="F923" t="inlineStr">
        <is>
          <t>Open</t>
        </is>
      </c>
      <c r="G923" t="inlineStr">
        <is>
          <t>Capacity not confirmed</t>
        </is>
      </c>
      <c r="H923" t="inlineStr">
        <is>
          <t>https://www.seci.co.in/tender-details/YmRw</t>
        </is>
      </c>
    </row>
    <row r="924">
      <c r="B924" t="inlineStr">
        <is>
          <t>NTPC REL</t>
        </is>
      </c>
      <c r="D924" t="inlineStr">
        <is>
          <t>Other</t>
        </is>
      </c>
      <c r="F924" t="inlineStr">
        <is>
          <t>Open</t>
        </is>
      </c>
      <c r="G924" t="inlineStr">
        <is>
          <t>EPC / turnkey / BoS excluded</t>
        </is>
      </c>
      <c r="H924" t="inlineStr">
        <is>
          <t>https://ntpctender.ntpc.co.in/NITDetails/NITs/30320</t>
        </is>
      </c>
    </row>
    <row r="925">
      <c r="B925" t="inlineStr">
        <is>
          <t>NTPC REL</t>
        </is>
      </c>
      <c r="D925" t="inlineStr">
        <is>
          <t>Solar</t>
        </is>
      </c>
      <c r="E925" t="n">
        <v>500</v>
      </c>
      <c r="F925" t="inlineStr">
        <is>
          <t>Open</t>
        </is>
      </c>
      <c r="G925" t="inlineStr">
        <is>
          <t>EPC / turnkey / BoS excluded</t>
        </is>
      </c>
      <c r="H925" t="inlineStr">
        <is>
          <t>https://ntpctender.ntpc.co.in/NITDetails/NITs/30310</t>
        </is>
      </c>
    </row>
    <row r="926">
      <c r="B926" t="inlineStr">
        <is>
          <t>NTPC REL</t>
        </is>
      </c>
      <c r="D926" t="inlineStr">
        <is>
          <t>Wind</t>
        </is>
      </c>
      <c r="E926" t="n">
        <v>600</v>
      </c>
      <c r="F926" t="inlineStr">
        <is>
          <t>Corrigendum</t>
        </is>
      </c>
      <c r="G926" t="inlineStr">
        <is>
          <t>Supply / installation excluded</t>
        </is>
      </c>
      <c r="H926" t="inlineStr">
        <is>
          <t>https://ntpctender.ntpc.co.in/NITDetails/NITs/30277</t>
        </is>
      </c>
    </row>
    <row r="927">
      <c r="B927" t="inlineStr">
        <is>
          <t>GRIDCO</t>
        </is>
      </c>
      <c r="C927" t="inlineStr">
        <is>
          <t xml:space="preserve">Issuing Authority : Chief Project Manager (RE) Start Date of Selling Tender Paper : 10/07/2026 End Date of Selling Tender Paper : 11/12/2026 01:00 PM </t>
        </is>
      </c>
      <c r="D927" t="inlineStr">
        <is>
          <t>Wind</t>
        </is>
      </c>
      <c r="F927" t="inlineStr">
        <is>
          <t>Open</t>
        </is>
      </c>
      <c r="G927" t="inlineStr">
        <is>
          <t>EPC / turnkey / BoS excluded</t>
        </is>
      </c>
      <c r="H927" t="inlineStr">
        <is>
          <t>https://www.gridco.co.in/tender.aspx</t>
        </is>
      </c>
    </row>
    <row r="928">
      <c r="B928" t="inlineStr">
        <is>
          <t>GRIDCO</t>
        </is>
      </c>
      <c r="C928" t="inlineStr">
        <is>
          <t>Scope of Work :</t>
        </is>
      </c>
      <c r="D928" t="inlineStr">
        <is>
          <t>Wind</t>
        </is>
      </c>
      <c r="F928" t="inlineStr">
        <is>
          <t>Open</t>
        </is>
      </c>
      <c r="G928" t="inlineStr">
        <is>
          <t>EPC / turnkey / BoS excluded</t>
        </is>
      </c>
      <c r="H928" t="inlineStr">
        <is>
          <t>https://www.gridco.co.in/tender.aspx</t>
        </is>
      </c>
    </row>
    <row r="929">
      <c r="B929" t="inlineStr">
        <is>
          <t>GRIDCO</t>
        </is>
      </c>
      <c r="C929" t="inlineStr">
        <is>
          <t>Issuing Authority : Director (Trading &amp; Business Development) Start Date of Selling Tender Paper : 09/23/2026 05:00 PM Scope of Work : NOTICE FOR EXPR</t>
        </is>
      </c>
      <c r="D929" t="inlineStr">
        <is>
          <t>Other</t>
        </is>
      </c>
      <c r="F929" t="inlineStr">
        <is>
          <t>Open</t>
        </is>
      </c>
      <c r="G929" t="inlineStr">
        <is>
          <t>Capacity not confirmed</t>
        </is>
      </c>
      <c r="H929" t="inlineStr">
        <is>
          <t>https://www.gridco.co.in/tender.aspx</t>
        </is>
      </c>
    </row>
    <row r="930">
      <c r="B930" t="inlineStr">
        <is>
          <t>GRIDCO</t>
        </is>
      </c>
      <c r="C930" t="inlineStr">
        <is>
          <t>Scope of Work :</t>
        </is>
      </c>
      <c r="D930" t="inlineStr">
        <is>
          <t>Other</t>
        </is>
      </c>
      <c r="F930" t="inlineStr">
        <is>
          <t>Open</t>
        </is>
      </c>
      <c r="G930" t="inlineStr">
        <is>
          <t>Capacity not confirmed</t>
        </is>
      </c>
      <c r="H930" t="inlineStr">
        <is>
          <t>https://www.gridco.co.in/tender.aspx</t>
        </is>
      </c>
    </row>
    <row r="931">
      <c r="B931" t="inlineStr">
        <is>
          <t>GRIDCO</t>
        </is>
      </c>
      <c r="C931" t="inlineStr">
        <is>
          <t>Tender Description :</t>
        </is>
      </c>
      <c r="D931" t="inlineStr">
        <is>
          <t>Other</t>
        </is>
      </c>
      <c r="F931" t="inlineStr">
        <is>
          <t>Open</t>
        </is>
      </c>
      <c r="G931" t="inlineStr">
        <is>
          <t>Capacity not confirmed</t>
        </is>
      </c>
      <c r="H931" t="inlineStr">
        <is>
          <t>https://www.gridco.co.in/tender.aspx</t>
        </is>
      </c>
    </row>
    <row r="932">
      <c r="A932" t="inlineStr">
        <is>
          <t>SECI000287</t>
        </is>
      </c>
      <c r="B932" t="inlineStr">
        <is>
          <t>SECI</t>
        </is>
      </c>
      <c r="C932" t="inlineStr">
        <is>
          <t>SECI/C&amp;P/IPP/11/0010/26-27</t>
        </is>
      </c>
      <c r="D932" t="inlineStr">
        <is>
          <t>Solar</t>
        </is>
      </c>
      <c r="F932" t="inlineStr">
        <is>
          <t>Open</t>
        </is>
      </c>
      <c r="G932" t="inlineStr">
        <is>
          <t>Rooftop solar excluded</t>
        </is>
      </c>
      <c r="H932" t="inlineStr">
        <is>
          <t>https://www.seci.co.in/tender-details/Ympw</t>
        </is>
      </c>
    </row>
    <row r="933">
      <c r="A933" t="inlineStr">
        <is>
          <t>SECI000284</t>
        </is>
      </c>
      <c r="B933" t="inlineStr">
        <is>
          <t>SECI</t>
        </is>
      </c>
      <c r="C933" t="inlineStr">
        <is>
          <t>SECI/C&amp;P/OP/11/0007/26-27</t>
        </is>
      </c>
      <c r="D933" t="inlineStr">
        <is>
          <t>Solar</t>
        </is>
      </c>
      <c r="E933" t="n">
        <v>60</v>
      </c>
      <c r="F933" t="inlineStr">
        <is>
          <t>Open</t>
        </is>
      </c>
      <c r="G933" t="inlineStr">
        <is>
          <t>O&amp;M-only tender excluded</t>
        </is>
      </c>
      <c r="H933" t="inlineStr">
        <is>
          <t>https://www.seci.co.in/tender-details/Ympz</t>
        </is>
      </c>
    </row>
    <row r="934">
      <c r="A934" t="inlineStr">
        <is>
          <t>SECI000285</t>
        </is>
      </c>
      <c r="B934" t="inlineStr">
        <is>
          <t>SECI</t>
        </is>
      </c>
      <c r="C934" t="inlineStr">
        <is>
          <t>SECI/C&amp;P/IPP/11/0009/26-27</t>
        </is>
      </c>
      <c r="D934" t="inlineStr">
        <is>
          <t>Solar</t>
        </is>
      </c>
      <c r="F934" t="inlineStr">
        <is>
          <t>Open</t>
        </is>
      </c>
      <c r="G934" t="inlineStr">
        <is>
          <t>Rooftop solar excluded</t>
        </is>
      </c>
      <c r="H934" t="inlineStr">
        <is>
          <t>https://www.seci.co.in/tender-details/Ympy</t>
        </is>
      </c>
    </row>
    <row r="935">
      <c r="A935" t="inlineStr">
        <is>
          <t>SECI000281</t>
        </is>
      </c>
      <c r="B935" t="inlineStr">
        <is>
          <t>SECI</t>
        </is>
      </c>
      <c r="C935" t="inlineStr">
        <is>
          <t>SECI/C&amp;P/IPP/11/0008/26-27</t>
        </is>
      </c>
      <c r="D935" t="inlineStr">
        <is>
          <t>Solar</t>
        </is>
      </c>
      <c r="F935" t="inlineStr">
        <is>
          <t>Open</t>
        </is>
      </c>
      <c r="G935" t="inlineStr">
        <is>
          <t>Rooftop solar excluded</t>
        </is>
      </c>
      <c r="H935" t="inlineStr">
        <is>
          <t>https://www.seci.co.in/tender-details/Ymp2</t>
        </is>
      </c>
    </row>
    <row r="936">
      <c r="A936" t="inlineStr">
        <is>
          <t>SECI000263</t>
        </is>
      </c>
      <c r="B936" t="inlineStr">
        <is>
          <t>SECI</t>
        </is>
      </c>
      <c r="C936" t="inlineStr">
        <is>
          <t>SECI/C&amp;P/OP/11/0003/26-27</t>
        </is>
      </c>
      <c r="D936" t="inlineStr">
        <is>
          <t>Wind</t>
        </is>
      </c>
      <c r="E936" t="n">
        <v>45.6</v>
      </c>
      <c r="F936" t="inlineStr">
        <is>
          <t>Open</t>
        </is>
      </c>
      <c r="G936" t="inlineStr">
        <is>
          <t>Capacity below configured minimum</t>
        </is>
      </c>
      <c r="H936" t="inlineStr">
        <is>
          <t>https://www.seci.co.in/tender-details/YmR0</t>
        </is>
      </c>
    </row>
    <row r="937">
      <c r="A937" t="inlineStr">
        <is>
          <t>SECI000279</t>
        </is>
      </c>
      <c r="B937" t="inlineStr">
        <is>
          <t>SECI</t>
        </is>
      </c>
      <c r="C937" t="inlineStr">
        <is>
          <t>SECI/C&amp;P/MI/00/05/2026-27</t>
        </is>
      </c>
      <c r="D937" t="inlineStr">
        <is>
          <t>Solar</t>
        </is>
      </c>
      <c r="F937" t="inlineStr">
        <is>
          <t>Open</t>
        </is>
      </c>
      <c r="G937" t="inlineStr">
        <is>
          <t>Capacity not confirmed</t>
        </is>
      </c>
      <c r="H937" t="inlineStr">
        <is>
          <t>https://www.seci.co.in/tender-details/YmV-</t>
        </is>
      </c>
    </row>
    <row r="938">
      <c r="A938" t="inlineStr">
        <is>
          <t>SECI000276</t>
        </is>
      </c>
      <c r="B938" t="inlineStr">
        <is>
          <t>SECI</t>
        </is>
      </c>
      <c r="C938" t="inlineStr">
        <is>
          <t>SECI/C&amp;P/OP/15/0006/25-26</t>
        </is>
      </c>
      <c r="D938" t="inlineStr">
        <is>
          <t>Solar</t>
        </is>
      </c>
      <c r="F938" t="inlineStr">
        <is>
          <t>Open</t>
        </is>
      </c>
      <c r="G938" t="inlineStr">
        <is>
          <t>Rooftop solar excluded</t>
        </is>
      </c>
      <c r="H938" t="inlineStr">
        <is>
          <t>https://www.seci.co.in/tender-details/YmVx</t>
        </is>
      </c>
    </row>
    <row r="939">
      <c r="A939" t="inlineStr">
        <is>
          <t>SECI000270</t>
        </is>
      </c>
      <c r="B939" t="inlineStr">
        <is>
          <t>SECI</t>
        </is>
      </c>
      <c r="C939" t="inlineStr">
        <is>
          <t>SECI/C&amp;P/OP/15/0005/26-27</t>
        </is>
      </c>
      <c r="D939" t="inlineStr">
        <is>
          <t>Solar</t>
        </is>
      </c>
      <c r="F939" t="inlineStr">
        <is>
          <t>Open</t>
        </is>
      </c>
      <c r="G939" t="inlineStr">
        <is>
          <t>Rooftop solar excluded</t>
        </is>
      </c>
      <c r="H939" t="inlineStr">
        <is>
          <t>https://www.seci.co.in/tender-details/YmV3</t>
        </is>
      </c>
    </row>
    <row r="940">
      <c r="A940" t="inlineStr">
        <is>
          <t>SECI000262</t>
        </is>
      </c>
      <c r="B940" t="inlineStr">
        <is>
          <t>SECI</t>
        </is>
      </c>
      <c r="C940" t="inlineStr">
        <is>
          <t>SECI/C&amp;P/OP/11/0002/26-27</t>
        </is>
      </c>
      <c r="D940" t="inlineStr">
        <is>
          <t>Solar + BESS</t>
        </is>
      </c>
      <c r="E940" t="n">
        <v>25</v>
      </c>
      <c r="F940" t="inlineStr">
        <is>
          <t>Open</t>
        </is>
      </c>
      <c r="G940" t="inlineStr">
        <is>
          <t>Capacity below configured minimum</t>
        </is>
      </c>
      <c r="H940" t="inlineStr">
        <is>
          <t>https://www.seci.co.in/tender-details/YmR1</t>
        </is>
      </c>
    </row>
    <row r="941">
      <c r="A941" t="inlineStr">
        <is>
          <t>SECI000274</t>
        </is>
      </c>
      <c r="B941" t="inlineStr">
        <is>
          <t>SECI</t>
        </is>
      </c>
      <c r="C941" t="inlineStr">
        <is>
          <t>SECI/C&amp;P/IPP/15/0008/26-27</t>
        </is>
      </c>
      <c r="D941" t="inlineStr">
        <is>
          <t>Other</t>
        </is>
      </c>
      <c r="E941" t="n">
        <v>50</v>
      </c>
      <c r="F941" t="inlineStr">
        <is>
          <t>Open</t>
        </is>
      </c>
      <c r="G941" t="inlineStr">
        <is>
          <t>Capacity below configured minimum</t>
        </is>
      </c>
      <c r="H941" t="inlineStr">
        <is>
          <t>https://www.seci.co.in/tender-details/YmVz</t>
        </is>
      </c>
    </row>
    <row r="942">
      <c r="A942" t="inlineStr">
        <is>
          <t>SECI000267</t>
        </is>
      </c>
      <c r="B942" t="inlineStr">
        <is>
          <t>SECI</t>
        </is>
      </c>
      <c r="C942" t="inlineStr">
        <is>
          <t>SECI/C&amp;P/MI/00/0001/26-27</t>
        </is>
      </c>
      <c r="D942" t="inlineStr">
        <is>
          <t>Other</t>
        </is>
      </c>
      <c r="F942" t="inlineStr">
        <is>
          <t>Open</t>
        </is>
      </c>
      <c r="G942" t="inlineStr">
        <is>
          <t>Capacity not confirmed</t>
        </is>
      </c>
      <c r="H942" t="inlineStr">
        <is>
          <t>https://www.seci.co.in/tender-details/YmRw</t>
        </is>
      </c>
    </row>
    <row r="943">
      <c r="B943" t="inlineStr">
        <is>
          <t>NTPC REL</t>
        </is>
      </c>
      <c r="D943" t="inlineStr">
        <is>
          <t>Other</t>
        </is>
      </c>
      <c r="F943" t="inlineStr">
        <is>
          <t>Open</t>
        </is>
      </c>
      <c r="G943" t="inlineStr">
        <is>
          <t>EPC / turnkey / BoS excluded</t>
        </is>
      </c>
      <c r="H943" t="inlineStr">
        <is>
          <t>https://ntpctender.ntpc.co.in/NITDetails/NITs/30320</t>
        </is>
      </c>
    </row>
    <row r="944">
      <c r="B944" t="inlineStr">
        <is>
          <t>NTPC REL</t>
        </is>
      </c>
      <c r="D944" t="inlineStr">
        <is>
          <t>Solar</t>
        </is>
      </c>
      <c r="E944" t="n">
        <v>500</v>
      </c>
      <c r="F944" t="inlineStr">
        <is>
          <t>Open</t>
        </is>
      </c>
      <c r="G944" t="inlineStr">
        <is>
          <t>EPC / turnkey / BoS excluded</t>
        </is>
      </c>
      <c r="H944" t="inlineStr">
        <is>
          <t>https://ntpctender.ntpc.co.in/NITDetails/NITs/30310</t>
        </is>
      </c>
    </row>
    <row r="945">
      <c r="B945" t="inlineStr">
        <is>
          <t>NTPC REL</t>
        </is>
      </c>
      <c r="D945" t="inlineStr">
        <is>
          <t>Wind</t>
        </is>
      </c>
      <c r="E945" t="n">
        <v>600</v>
      </c>
      <c r="F945" t="inlineStr">
        <is>
          <t>Corrigendum</t>
        </is>
      </c>
      <c r="G945" t="inlineStr">
        <is>
          <t>Supply / installation excluded</t>
        </is>
      </c>
      <c r="H945" t="inlineStr">
        <is>
          <t>https://ntpctender.ntpc.co.in/NITDetails/NITs/30277</t>
        </is>
      </c>
    </row>
    <row r="946">
      <c r="B946" t="inlineStr">
        <is>
          <t>GRIDCO</t>
        </is>
      </c>
      <c r="C946" t="inlineStr">
        <is>
          <t xml:space="preserve">Issuing Authority : Chief Project Manager (RE) Start Date of Selling Tender Paper : 10/07/2026 End Date of Selling Tender Paper : 11/12/2026 01:00 PM </t>
        </is>
      </c>
      <c r="D946" t="inlineStr">
        <is>
          <t>Wind</t>
        </is>
      </c>
      <c r="F946" t="inlineStr">
        <is>
          <t>Open</t>
        </is>
      </c>
      <c r="G946" t="inlineStr">
        <is>
          <t>EPC / turnkey / BoS excluded</t>
        </is>
      </c>
      <c r="H946" t="inlineStr">
        <is>
          <t>https://www.gridco.co.in/tender.aspx</t>
        </is>
      </c>
    </row>
    <row r="947">
      <c r="B947" t="inlineStr">
        <is>
          <t>GRIDCO</t>
        </is>
      </c>
      <c r="C947" t="inlineStr">
        <is>
          <t>Scope of Work :</t>
        </is>
      </c>
      <c r="D947" t="inlineStr">
        <is>
          <t>Wind</t>
        </is>
      </c>
      <c r="F947" t="inlineStr">
        <is>
          <t>Open</t>
        </is>
      </c>
      <c r="G947" t="inlineStr">
        <is>
          <t>EPC / turnkey / BoS excluded</t>
        </is>
      </c>
      <c r="H947" t="inlineStr">
        <is>
          <t>https://www.gridco.co.in/tender.aspx</t>
        </is>
      </c>
    </row>
    <row r="948">
      <c r="B948" t="inlineStr">
        <is>
          <t>GRIDCO</t>
        </is>
      </c>
      <c r="C948" t="inlineStr">
        <is>
          <t>Issuing Authority : Director (Trading &amp; Business Development) Start Date of Selling Tender Paper : 09/23/2026 05:00 PM Scope of Work : NOTICE FOR EXPR</t>
        </is>
      </c>
      <c r="D948" t="inlineStr">
        <is>
          <t>Other</t>
        </is>
      </c>
      <c r="F948" t="inlineStr">
        <is>
          <t>Open</t>
        </is>
      </c>
      <c r="G948" t="inlineStr">
        <is>
          <t>Capacity not confirmed</t>
        </is>
      </c>
      <c r="H948" t="inlineStr">
        <is>
          <t>https://www.gridco.co.in/tender.aspx</t>
        </is>
      </c>
    </row>
    <row r="949">
      <c r="B949" t="inlineStr">
        <is>
          <t>GRIDCO</t>
        </is>
      </c>
      <c r="C949" t="inlineStr">
        <is>
          <t>Scope of Work :</t>
        </is>
      </c>
      <c r="D949" t="inlineStr">
        <is>
          <t>Other</t>
        </is>
      </c>
      <c r="F949" t="inlineStr">
        <is>
          <t>Open</t>
        </is>
      </c>
      <c r="G949" t="inlineStr">
        <is>
          <t>Capacity not confirmed</t>
        </is>
      </c>
      <c r="H949" t="inlineStr">
        <is>
          <t>https://www.gridco.co.in/tender.aspx</t>
        </is>
      </c>
    </row>
    <row r="950">
      <c r="B950" t="inlineStr">
        <is>
          <t>GRIDCO</t>
        </is>
      </c>
      <c r="C950" t="inlineStr">
        <is>
          <t>Tender Description :</t>
        </is>
      </c>
      <c r="D950" t="inlineStr">
        <is>
          <t>Other</t>
        </is>
      </c>
      <c r="F950" t="inlineStr">
        <is>
          <t>Open</t>
        </is>
      </c>
      <c r="G950" t="inlineStr">
        <is>
          <t>Capacity not confirmed</t>
        </is>
      </c>
      <c r="H950" t="inlineStr">
        <is>
          <t>https://www.gridco.co.in/tender.aspx</t>
        </is>
      </c>
    </row>
    <row r="951">
      <c r="A951" t="inlineStr">
        <is>
          <t>SECI000287</t>
        </is>
      </c>
      <c r="B951" t="inlineStr">
        <is>
          <t>SECI</t>
        </is>
      </c>
      <c r="C951" t="inlineStr">
        <is>
          <t>SECI/C&amp;P/IPP/11/0010/26-27</t>
        </is>
      </c>
      <c r="D951" t="inlineStr">
        <is>
          <t>Solar</t>
        </is>
      </c>
      <c r="F951" t="inlineStr">
        <is>
          <t>Open</t>
        </is>
      </c>
      <c r="G951" t="inlineStr">
        <is>
          <t>Rooftop solar excluded</t>
        </is>
      </c>
      <c r="H951" t="inlineStr">
        <is>
          <t>https://www.seci.co.in/tender-details/Ympw</t>
        </is>
      </c>
    </row>
    <row r="952">
      <c r="A952" t="inlineStr">
        <is>
          <t>SECI000284</t>
        </is>
      </c>
      <c r="B952" t="inlineStr">
        <is>
          <t>SECI</t>
        </is>
      </c>
      <c r="C952" t="inlineStr">
        <is>
          <t>SECI/C&amp;P/OP/11/0007/26-27</t>
        </is>
      </c>
      <c r="D952" t="inlineStr">
        <is>
          <t>Solar</t>
        </is>
      </c>
      <c r="E952" t="n">
        <v>60</v>
      </c>
      <c r="F952" t="inlineStr">
        <is>
          <t>Open</t>
        </is>
      </c>
      <c r="G952" t="inlineStr">
        <is>
          <t>O&amp;M-only tender excluded</t>
        </is>
      </c>
      <c r="H952" t="inlineStr">
        <is>
          <t>https://www.seci.co.in/tender-details/Ympz</t>
        </is>
      </c>
    </row>
    <row r="953">
      <c r="A953" t="inlineStr">
        <is>
          <t>SECI000285</t>
        </is>
      </c>
      <c r="B953" t="inlineStr">
        <is>
          <t>SECI</t>
        </is>
      </c>
      <c r="C953" t="inlineStr">
        <is>
          <t>SECI/C&amp;P/IPP/11/0009/26-27</t>
        </is>
      </c>
      <c r="D953" t="inlineStr">
        <is>
          <t>Solar</t>
        </is>
      </c>
      <c r="F953" t="inlineStr">
        <is>
          <t>Open</t>
        </is>
      </c>
      <c r="G953" t="inlineStr">
        <is>
          <t>Rooftop solar excluded</t>
        </is>
      </c>
      <c r="H953" t="inlineStr">
        <is>
          <t>https://www.seci.co.in/tender-details/Ympy</t>
        </is>
      </c>
    </row>
    <row r="954">
      <c r="A954" t="inlineStr">
        <is>
          <t>SECI000281</t>
        </is>
      </c>
      <c r="B954" t="inlineStr">
        <is>
          <t>SECI</t>
        </is>
      </c>
      <c r="C954" t="inlineStr">
        <is>
          <t>SECI/C&amp;P/IPP/11/0008/26-27</t>
        </is>
      </c>
      <c r="D954" t="inlineStr">
        <is>
          <t>Solar</t>
        </is>
      </c>
      <c r="F954" t="inlineStr">
        <is>
          <t>Open</t>
        </is>
      </c>
      <c r="G954" t="inlineStr">
        <is>
          <t>Rooftop solar excluded</t>
        </is>
      </c>
      <c r="H954" t="inlineStr">
        <is>
          <t>https://www.seci.co.in/tender-details/Ymp2</t>
        </is>
      </c>
    </row>
    <row r="955">
      <c r="A955" t="inlineStr">
        <is>
          <t>SECI000263</t>
        </is>
      </c>
      <c r="B955" t="inlineStr">
        <is>
          <t>SECI</t>
        </is>
      </c>
      <c r="C955" t="inlineStr">
        <is>
          <t>SECI/C&amp;P/OP/11/0003/26-27</t>
        </is>
      </c>
      <c r="D955" t="inlineStr">
        <is>
          <t>Wind</t>
        </is>
      </c>
      <c r="E955" t="n">
        <v>45.6</v>
      </c>
      <c r="F955" t="inlineStr">
        <is>
          <t>Open</t>
        </is>
      </c>
      <c r="G955" t="inlineStr">
        <is>
          <t>Capacity below configured minimum</t>
        </is>
      </c>
      <c r="H955" t="inlineStr">
        <is>
          <t>https://www.seci.co.in/tender-details/YmR0</t>
        </is>
      </c>
    </row>
    <row r="956">
      <c r="A956" t="inlineStr">
        <is>
          <t>SECI000270</t>
        </is>
      </c>
      <c r="B956" t="inlineStr">
        <is>
          <t>SECI</t>
        </is>
      </c>
      <c r="C956" t="inlineStr">
        <is>
          <t>SECI/C&amp;P/OP/15/0005/26-27</t>
        </is>
      </c>
      <c r="D956" t="inlineStr">
        <is>
          <t>Solar</t>
        </is>
      </c>
      <c r="F956" t="inlineStr">
        <is>
          <t>Open</t>
        </is>
      </c>
      <c r="G956" t="inlineStr">
        <is>
          <t>Rooftop solar excluded</t>
        </is>
      </c>
      <c r="H956" t="inlineStr">
        <is>
          <t>https://www.seci.co.in/tender-details/YmV3</t>
        </is>
      </c>
    </row>
    <row r="957">
      <c r="A957" t="inlineStr">
        <is>
          <t>SECI000279</t>
        </is>
      </c>
      <c r="B957" t="inlineStr">
        <is>
          <t>SECI</t>
        </is>
      </c>
      <c r="C957" t="inlineStr">
        <is>
          <t>SECI/C&amp;P/MI/00/05/2026-27</t>
        </is>
      </c>
      <c r="D957" t="inlineStr">
        <is>
          <t>Solar</t>
        </is>
      </c>
      <c r="F957" t="inlineStr">
        <is>
          <t>Open</t>
        </is>
      </c>
      <c r="G957" t="inlineStr">
        <is>
          <t>Capacity not confirmed</t>
        </is>
      </c>
      <c r="H957" t="inlineStr">
        <is>
          <t>https://www.seci.co.in/tender-details/YmV-</t>
        </is>
      </c>
    </row>
    <row r="958">
      <c r="A958" t="inlineStr">
        <is>
          <t>SECI000276</t>
        </is>
      </c>
      <c r="B958" t="inlineStr">
        <is>
          <t>SECI</t>
        </is>
      </c>
      <c r="C958" t="inlineStr">
        <is>
          <t>SECI/C&amp;P/OP/15/0006/25-26</t>
        </is>
      </c>
      <c r="D958" t="inlineStr">
        <is>
          <t>Solar</t>
        </is>
      </c>
      <c r="F958" t="inlineStr">
        <is>
          <t>Open</t>
        </is>
      </c>
      <c r="G958" t="inlineStr">
        <is>
          <t>Rooftop solar excluded</t>
        </is>
      </c>
      <c r="H958" t="inlineStr">
        <is>
          <t>https://www.seci.co.in/tender-details/YmVx</t>
        </is>
      </c>
    </row>
    <row r="959">
      <c r="A959" t="inlineStr">
        <is>
          <t>SECI000262</t>
        </is>
      </c>
      <c r="B959" t="inlineStr">
        <is>
          <t>SECI</t>
        </is>
      </c>
      <c r="C959" t="inlineStr">
        <is>
          <t>SECI/C&amp;P/OP/11/0002/26-27</t>
        </is>
      </c>
      <c r="D959" t="inlineStr">
        <is>
          <t>Solar + BESS</t>
        </is>
      </c>
      <c r="E959" t="n">
        <v>25</v>
      </c>
      <c r="F959" t="inlineStr">
        <is>
          <t>Open</t>
        </is>
      </c>
      <c r="G959" t="inlineStr">
        <is>
          <t>Capacity below configured minimum</t>
        </is>
      </c>
      <c r="H959" t="inlineStr">
        <is>
          <t>https://www.seci.co.in/tender-details/YmR1</t>
        </is>
      </c>
    </row>
    <row r="960">
      <c r="A960" t="inlineStr">
        <is>
          <t>SECI000274</t>
        </is>
      </c>
      <c r="B960" t="inlineStr">
        <is>
          <t>SECI</t>
        </is>
      </c>
      <c r="C960" t="inlineStr">
        <is>
          <t>SECI/C&amp;P/IPP/15/0008/26-27</t>
        </is>
      </c>
      <c r="D960" t="inlineStr">
        <is>
          <t>Other</t>
        </is>
      </c>
      <c r="E960" t="n">
        <v>50</v>
      </c>
      <c r="F960" t="inlineStr">
        <is>
          <t>Open</t>
        </is>
      </c>
      <c r="G960" t="inlineStr">
        <is>
          <t>Capacity below configured minimum</t>
        </is>
      </c>
      <c r="H960" t="inlineStr">
        <is>
          <t>https://www.seci.co.in/tender-details/YmVz</t>
        </is>
      </c>
    </row>
    <row r="961">
      <c r="A961" t="inlineStr">
        <is>
          <t>SECI000267</t>
        </is>
      </c>
      <c r="B961" t="inlineStr">
        <is>
          <t>SECI</t>
        </is>
      </c>
      <c r="C961" t="inlineStr">
        <is>
          <t>SECI/C&amp;P/MI/00/0001/26-27</t>
        </is>
      </c>
      <c r="D961" t="inlineStr">
        <is>
          <t>Other</t>
        </is>
      </c>
      <c r="F961" t="inlineStr">
        <is>
          <t>Open</t>
        </is>
      </c>
      <c r="G961" t="inlineStr">
        <is>
          <t>Capacity not confirmed</t>
        </is>
      </c>
      <c r="H961" t="inlineStr">
        <is>
          <t>https://www.seci.co.in/tender-details/YmRw</t>
        </is>
      </c>
    </row>
    <row r="962">
      <c r="B962" t="inlineStr">
        <is>
          <t>NTPC REL</t>
        </is>
      </c>
      <c r="D962" t="inlineStr">
        <is>
          <t>Other</t>
        </is>
      </c>
      <c r="F962" t="inlineStr">
        <is>
          <t>Open</t>
        </is>
      </c>
      <c r="G962" t="inlineStr">
        <is>
          <t>EPC / turnkey / BoS excluded</t>
        </is>
      </c>
      <c r="H962" t="inlineStr">
        <is>
          <t>https://ntpctender.ntpc.co.in/NITDetails/NITs/30320</t>
        </is>
      </c>
    </row>
    <row r="963">
      <c r="B963" t="inlineStr">
        <is>
          <t>NTPC REL</t>
        </is>
      </c>
      <c r="D963" t="inlineStr">
        <is>
          <t>Solar</t>
        </is>
      </c>
      <c r="E963" t="n">
        <v>500</v>
      </c>
      <c r="F963" t="inlineStr">
        <is>
          <t>Open</t>
        </is>
      </c>
      <c r="G963" t="inlineStr">
        <is>
          <t>EPC / turnkey / BoS excluded</t>
        </is>
      </c>
      <c r="H963" t="inlineStr">
        <is>
          <t>https://ntpctender.ntpc.co.in/NITDetails/NITs/30310</t>
        </is>
      </c>
    </row>
    <row r="964">
      <c r="B964" t="inlineStr">
        <is>
          <t>NTPC REL</t>
        </is>
      </c>
      <c r="D964" t="inlineStr">
        <is>
          <t>Wind</t>
        </is>
      </c>
      <c r="E964" t="n">
        <v>600</v>
      </c>
      <c r="F964" t="inlineStr">
        <is>
          <t>Corrigendum</t>
        </is>
      </c>
      <c r="G964" t="inlineStr">
        <is>
          <t>Supply / installation excluded</t>
        </is>
      </c>
      <c r="H964" t="inlineStr">
        <is>
          <t>https://ntpctender.ntpc.co.in/NITDetails/NITs/30277</t>
        </is>
      </c>
    </row>
    <row r="965">
      <c r="B965" t="inlineStr">
        <is>
          <t>GRIDCO</t>
        </is>
      </c>
      <c r="C965" t="inlineStr">
        <is>
          <t xml:space="preserve">Issuing Authority : Chief Project Manager (RE) Start Date of Selling Tender Paper : 10/07/2026 End Date of Selling Tender Paper : 11/12/2026 01:00 PM </t>
        </is>
      </c>
      <c r="D965" t="inlineStr">
        <is>
          <t>Wind</t>
        </is>
      </c>
      <c r="F965" t="inlineStr">
        <is>
          <t>Open</t>
        </is>
      </c>
      <c r="G965" t="inlineStr">
        <is>
          <t>EPC / turnkey / BoS excluded</t>
        </is>
      </c>
      <c r="H965" t="inlineStr">
        <is>
          <t>https://www.gridco.co.in/tender.aspx</t>
        </is>
      </c>
    </row>
    <row r="966">
      <c r="B966" t="inlineStr">
        <is>
          <t>GRIDCO</t>
        </is>
      </c>
      <c r="C966" t="inlineStr">
        <is>
          <t>Scope of Work :</t>
        </is>
      </c>
      <c r="D966" t="inlineStr">
        <is>
          <t>Wind</t>
        </is>
      </c>
      <c r="F966" t="inlineStr">
        <is>
          <t>Open</t>
        </is>
      </c>
      <c r="G966" t="inlineStr">
        <is>
          <t>EPC / turnkey / BoS excluded</t>
        </is>
      </c>
      <c r="H966" t="inlineStr">
        <is>
          <t>https://www.gridco.co.in/tender.aspx</t>
        </is>
      </c>
    </row>
    <row r="967">
      <c r="B967" t="inlineStr">
        <is>
          <t>GRIDCO</t>
        </is>
      </c>
      <c r="C967" t="inlineStr">
        <is>
          <t>Issuing Authority : Director (Trading &amp; Business Development) Start Date of Selling Tender Paper : 09/23/2026 05:00 PM Scope of Work : NOTICE FOR EXPR</t>
        </is>
      </c>
      <c r="D967" t="inlineStr">
        <is>
          <t>Other</t>
        </is>
      </c>
      <c r="F967" t="inlineStr">
        <is>
          <t>Open</t>
        </is>
      </c>
      <c r="G967" t="inlineStr">
        <is>
          <t>Capacity not confirmed</t>
        </is>
      </c>
      <c r="H967" t="inlineStr">
        <is>
          <t>https://www.gridco.co.in/tender.aspx</t>
        </is>
      </c>
    </row>
    <row r="968">
      <c r="B968" t="inlineStr">
        <is>
          <t>GRIDCO</t>
        </is>
      </c>
      <c r="C968" t="inlineStr">
        <is>
          <t>Scope of Work :</t>
        </is>
      </c>
      <c r="D968" t="inlineStr">
        <is>
          <t>Other</t>
        </is>
      </c>
      <c r="F968" t="inlineStr">
        <is>
          <t>Open</t>
        </is>
      </c>
      <c r="G968" t="inlineStr">
        <is>
          <t>Capacity not confirmed</t>
        </is>
      </c>
      <c r="H968" t="inlineStr">
        <is>
          <t>https://www.gridco.co.in/tender.aspx</t>
        </is>
      </c>
    </row>
    <row r="969">
      <c r="B969" t="inlineStr">
        <is>
          <t>GRIDCO</t>
        </is>
      </c>
      <c r="C969" t="inlineStr">
        <is>
          <t>Tender Description :</t>
        </is>
      </c>
      <c r="D969" t="inlineStr">
        <is>
          <t>Other</t>
        </is>
      </c>
      <c r="F969" t="inlineStr">
        <is>
          <t>Open</t>
        </is>
      </c>
      <c r="G969" t="inlineStr">
        <is>
          <t>Capacity not confirmed</t>
        </is>
      </c>
      <c r="H969" t="inlineStr">
        <is>
          <t>https://www.gridco.co.in/tender.aspx</t>
        </is>
      </c>
    </row>
    <row r="970">
      <c r="A970" t="inlineStr">
        <is>
          <t>SECI000287</t>
        </is>
      </c>
      <c r="B970" t="inlineStr">
        <is>
          <t>SECI</t>
        </is>
      </c>
      <c r="C970" t="inlineStr">
        <is>
          <t>SECI/C&amp;P/IPP/11/0010/26-27</t>
        </is>
      </c>
      <c r="D970" t="inlineStr">
        <is>
          <t>Solar</t>
        </is>
      </c>
      <c r="F970" t="inlineStr">
        <is>
          <t>Open</t>
        </is>
      </c>
      <c r="G970" t="inlineStr">
        <is>
          <t>Rooftop solar excluded</t>
        </is>
      </c>
      <c r="H970" t="inlineStr">
        <is>
          <t>https://www.seci.co.in/tender-details/Ympw</t>
        </is>
      </c>
    </row>
    <row r="971">
      <c r="A971" t="inlineStr">
        <is>
          <t>SECI000284</t>
        </is>
      </c>
      <c r="B971" t="inlineStr">
        <is>
          <t>SECI</t>
        </is>
      </c>
      <c r="C971" t="inlineStr">
        <is>
          <t>SECI/C&amp;P/OP/11/0007/26-27</t>
        </is>
      </c>
      <c r="D971" t="inlineStr">
        <is>
          <t>Solar</t>
        </is>
      </c>
      <c r="E971" t="n">
        <v>60</v>
      </c>
      <c r="F971" t="inlineStr">
        <is>
          <t>Open</t>
        </is>
      </c>
      <c r="G971" t="inlineStr">
        <is>
          <t>O&amp;M-only tender excluded</t>
        </is>
      </c>
      <c r="H971" t="inlineStr">
        <is>
          <t>https://www.seci.co.in/tender-details/Ympz</t>
        </is>
      </c>
    </row>
    <row r="972">
      <c r="A972" t="inlineStr">
        <is>
          <t>SECI000285</t>
        </is>
      </c>
      <c r="B972" t="inlineStr">
        <is>
          <t>SECI</t>
        </is>
      </c>
      <c r="C972" t="inlineStr">
        <is>
          <t>SECI/C&amp;P/IPP/11/0009/26-27</t>
        </is>
      </c>
      <c r="D972" t="inlineStr">
        <is>
          <t>Solar</t>
        </is>
      </c>
      <c r="F972" t="inlineStr">
        <is>
          <t>Open</t>
        </is>
      </c>
      <c r="G972" t="inlineStr">
        <is>
          <t>Rooftop solar excluded</t>
        </is>
      </c>
      <c r="H972" t="inlineStr">
        <is>
          <t>https://www.seci.co.in/tender-details/Ympy</t>
        </is>
      </c>
    </row>
    <row r="973">
      <c r="A973" t="inlineStr">
        <is>
          <t>SECI000281</t>
        </is>
      </c>
      <c r="B973" t="inlineStr">
        <is>
          <t>SECI</t>
        </is>
      </c>
      <c r="C973" t="inlineStr">
        <is>
          <t>SECI/C&amp;P/IPP/11/0008/26-27</t>
        </is>
      </c>
      <c r="D973" t="inlineStr">
        <is>
          <t>Solar</t>
        </is>
      </c>
      <c r="F973" t="inlineStr">
        <is>
          <t>Open</t>
        </is>
      </c>
      <c r="G973" t="inlineStr">
        <is>
          <t>Rooftop solar excluded</t>
        </is>
      </c>
      <c r="H973" t="inlineStr">
        <is>
          <t>https://www.seci.co.in/tender-details/Ymp2</t>
        </is>
      </c>
    </row>
    <row r="974">
      <c r="A974" t="inlineStr">
        <is>
          <t>SECI000263</t>
        </is>
      </c>
      <c r="B974" t="inlineStr">
        <is>
          <t>SECI</t>
        </is>
      </c>
      <c r="C974" t="inlineStr">
        <is>
          <t>SECI/C&amp;P/OP/11/0003/26-27</t>
        </is>
      </c>
      <c r="D974" t="inlineStr">
        <is>
          <t>Wind</t>
        </is>
      </c>
      <c r="E974" t="n">
        <v>45.6</v>
      </c>
      <c r="F974" t="inlineStr">
        <is>
          <t>Open</t>
        </is>
      </c>
      <c r="G974" t="inlineStr">
        <is>
          <t>Capacity below configured minimum</t>
        </is>
      </c>
      <c r="H974" t="inlineStr">
        <is>
          <t>https://www.seci.co.in/tender-details/YmR0</t>
        </is>
      </c>
    </row>
    <row r="975">
      <c r="A975" t="inlineStr">
        <is>
          <t>SECI000270</t>
        </is>
      </c>
      <c r="B975" t="inlineStr">
        <is>
          <t>SECI</t>
        </is>
      </c>
      <c r="C975" t="inlineStr">
        <is>
          <t>SECI/C&amp;P/OP/15/0005/26-27</t>
        </is>
      </c>
      <c r="D975" t="inlineStr">
        <is>
          <t>Solar</t>
        </is>
      </c>
      <c r="F975" t="inlineStr">
        <is>
          <t>Open</t>
        </is>
      </c>
      <c r="G975" t="inlineStr">
        <is>
          <t>Rooftop solar excluded</t>
        </is>
      </c>
      <c r="H975" t="inlineStr">
        <is>
          <t>https://www.seci.co.in/tender-details/YmV3</t>
        </is>
      </c>
    </row>
    <row r="976">
      <c r="A976" t="inlineStr">
        <is>
          <t>SECI000279</t>
        </is>
      </c>
      <c r="B976" t="inlineStr">
        <is>
          <t>SECI</t>
        </is>
      </c>
      <c r="C976" t="inlineStr">
        <is>
          <t>SECI/C&amp;P/MI/00/05/2026-27</t>
        </is>
      </c>
      <c r="D976" t="inlineStr">
        <is>
          <t>Solar</t>
        </is>
      </c>
      <c r="F976" t="inlineStr">
        <is>
          <t>Open</t>
        </is>
      </c>
      <c r="G976" t="inlineStr">
        <is>
          <t>Capacity not confirmed</t>
        </is>
      </c>
      <c r="H976" t="inlineStr">
        <is>
          <t>https://www.seci.co.in/tender-details/YmV-</t>
        </is>
      </c>
    </row>
    <row r="977">
      <c r="A977" t="inlineStr">
        <is>
          <t>SECI000276</t>
        </is>
      </c>
      <c r="B977" t="inlineStr">
        <is>
          <t>SECI</t>
        </is>
      </c>
      <c r="C977" t="inlineStr">
        <is>
          <t>SECI/C&amp;P/OP/15/0006/25-26</t>
        </is>
      </c>
      <c r="D977" t="inlineStr">
        <is>
          <t>Solar</t>
        </is>
      </c>
      <c r="F977" t="inlineStr">
        <is>
          <t>Open</t>
        </is>
      </c>
      <c r="G977" t="inlineStr">
        <is>
          <t>Rooftop solar excluded</t>
        </is>
      </c>
      <c r="H977" t="inlineStr">
        <is>
          <t>https://www.seci.co.in/tender-details/YmVx</t>
        </is>
      </c>
    </row>
    <row r="978">
      <c r="A978" t="inlineStr">
        <is>
          <t>SECI000262</t>
        </is>
      </c>
      <c r="B978" t="inlineStr">
        <is>
          <t>SECI</t>
        </is>
      </c>
      <c r="C978" t="inlineStr">
        <is>
          <t>SECI/C&amp;P/OP/11/0002/26-27</t>
        </is>
      </c>
      <c r="D978" t="inlineStr">
        <is>
          <t>Solar + BESS</t>
        </is>
      </c>
      <c r="E978" t="n">
        <v>25</v>
      </c>
      <c r="F978" t="inlineStr">
        <is>
          <t>Open</t>
        </is>
      </c>
      <c r="G978" t="inlineStr">
        <is>
          <t>Capacity below configured minimum</t>
        </is>
      </c>
      <c r="H978" t="inlineStr">
        <is>
          <t>https://www.seci.co.in/tender-details/YmR1</t>
        </is>
      </c>
    </row>
    <row r="979">
      <c r="A979" t="inlineStr">
        <is>
          <t>SECI000274</t>
        </is>
      </c>
      <c r="B979" t="inlineStr">
        <is>
          <t>SECI</t>
        </is>
      </c>
      <c r="C979" t="inlineStr">
        <is>
          <t>SECI/C&amp;P/IPP/15/0008/26-27</t>
        </is>
      </c>
      <c r="D979" t="inlineStr">
        <is>
          <t>Other</t>
        </is>
      </c>
      <c r="E979" t="n">
        <v>50</v>
      </c>
      <c r="F979" t="inlineStr">
        <is>
          <t>Open</t>
        </is>
      </c>
      <c r="G979" t="inlineStr">
        <is>
          <t>Capacity below configured minimum</t>
        </is>
      </c>
      <c r="H979" t="inlineStr">
        <is>
          <t>https://www.seci.co.in/tender-details/YmVz</t>
        </is>
      </c>
    </row>
    <row r="980">
      <c r="A980" t="inlineStr">
        <is>
          <t>SECI000267</t>
        </is>
      </c>
      <c r="B980" t="inlineStr">
        <is>
          <t>SECI</t>
        </is>
      </c>
      <c r="C980" t="inlineStr">
        <is>
          <t>SECI/C&amp;P/MI/00/0001/26-27</t>
        </is>
      </c>
      <c r="D980" t="inlineStr">
        <is>
          <t>Other</t>
        </is>
      </c>
      <c r="F980" t="inlineStr">
        <is>
          <t>Open</t>
        </is>
      </c>
      <c r="G980" t="inlineStr">
        <is>
          <t>Capacity not confirmed</t>
        </is>
      </c>
      <c r="H980" t="inlineStr">
        <is>
          <t>https://www.seci.co.in/tender-details/YmRw</t>
        </is>
      </c>
    </row>
    <row r="981">
      <c r="B981" t="inlineStr">
        <is>
          <t>NTPC REL</t>
        </is>
      </c>
      <c r="D981" t="inlineStr">
        <is>
          <t>Other</t>
        </is>
      </c>
      <c r="F981" t="inlineStr">
        <is>
          <t>Open</t>
        </is>
      </c>
      <c r="G981" t="inlineStr">
        <is>
          <t>EPC / turnkey / BoS excluded</t>
        </is>
      </c>
      <c r="H981" t="inlineStr">
        <is>
          <t>https://ntpctender.ntpc.co.in/NITDetails/NITs/30320</t>
        </is>
      </c>
    </row>
    <row r="982">
      <c r="B982" t="inlineStr">
        <is>
          <t>NTPC REL</t>
        </is>
      </c>
      <c r="D982" t="inlineStr">
        <is>
          <t>Solar</t>
        </is>
      </c>
      <c r="E982" t="n">
        <v>500</v>
      </c>
      <c r="F982" t="inlineStr">
        <is>
          <t>Open</t>
        </is>
      </c>
      <c r="G982" t="inlineStr">
        <is>
          <t>EPC / turnkey / BoS excluded</t>
        </is>
      </c>
      <c r="H982" t="inlineStr">
        <is>
          <t>https://ntpctender.ntpc.co.in/NITDetails/NITs/30310</t>
        </is>
      </c>
    </row>
    <row r="983">
      <c r="B983" t="inlineStr">
        <is>
          <t>NTPC REL</t>
        </is>
      </c>
      <c r="D983" t="inlineStr">
        <is>
          <t>Wind</t>
        </is>
      </c>
      <c r="E983" t="n">
        <v>600</v>
      </c>
      <c r="F983" t="inlineStr">
        <is>
          <t>Corrigendum</t>
        </is>
      </c>
      <c r="G983" t="inlineStr">
        <is>
          <t>Supply / installation excluded</t>
        </is>
      </c>
      <c r="H983" t="inlineStr">
        <is>
          <t>https://ntpctender.ntpc.co.in/NITDetails/NITs/30277</t>
        </is>
      </c>
    </row>
    <row r="984">
      <c r="B984" t="inlineStr">
        <is>
          <t>GRIDCO</t>
        </is>
      </c>
      <c r="C984" t="inlineStr">
        <is>
          <t xml:space="preserve">Issuing Authority : Chief Project Manager (RE) Start Date of Selling Tender Paper : 10/07/2026 End Date of Selling Tender Paper : 11/12/2026 01:00 PM </t>
        </is>
      </c>
      <c r="D984" t="inlineStr">
        <is>
          <t>Wind</t>
        </is>
      </c>
      <c r="F984" t="inlineStr">
        <is>
          <t>Open</t>
        </is>
      </c>
      <c r="G984" t="inlineStr">
        <is>
          <t>EPC / turnkey / BoS excluded</t>
        </is>
      </c>
      <c r="H984" t="inlineStr">
        <is>
          <t>https://www.gridco.co.in/tender.aspx</t>
        </is>
      </c>
    </row>
    <row r="985">
      <c r="B985" t="inlineStr">
        <is>
          <t>GRIDCO</t>
        </is>
      </c>
      <c r="C985" t="inlineStr">
        <is>
          <t>Scope of Work :</t>
        </is>
      </c>
      <c r="D985" t="inlineStr">
        <is>
          <t>Wind</t>
        </is>
      </c>
      <c r="F985" t="inlineStr">
        <is>
          <t>Open</t>
        </is>
      </c>
      <c r="G985" t="inlineStr">
        <is>
          <t>EPC / turnkey / BoS excluded</t>
        </is>
      </c>
      <c r="H985" t="inlineStr">
        <is>
          <t>https://www.gridco.co.in/tender.aspx</t>
        </is>
      </c>
    </row>
    <row r="986">
      <c r="B986" t="inlineStr">
        <is>
          <t>GRIDCO</t>
        </is>
      </c>
      <c r="C986" t="inlineStr">
        <is>
          <t>Issuing Authority : Director (Trading &amp; Business Development) Start Date of Selling Tender Paper : 09/23/2026 05:00 PM Scope of Work : NOTICE FOR EXPR</t>
        </is>
      </c>
      <c r="D986" t="inlineStr">
        <is>
          <t>Other</t>
        </is>
      </c>
      <c r="F986" t="inlineStr">
        <is>
          <t>Open</t>
        </is>
      </c>
      <c r="G986" t="inlineStr">
        <is>
          <t>Capacity not confirmed</t>
        </is>
      </c>
      <c r="H986" t="inlineStr">
        <is>
          <t>https://www.gridco.co.in/tender.aspx</t>
        </is>
      </c>
    </row>
    <row r="987">
      <c r="B987" t="inlineStr">
        <is>
          <t>GRIDCO</t>
        </is>
      </c>
      <c r="C987" t="inlineStr">
        <is>
          <t>Scope of Work :</t>
        </is>
      </c>
      <c r="D987" t="inlineStr">
        <is>
          <t>Other</t>
        </is>
      </c>
      <c r="F987" t="inlineStr">
        <is>
          <t>Open</t>
        </is>
      </c>
      <c r="G987" t="inlineStr">
        <is>
          <t>Capacity not confirmed</t>
        </is>
      </c>
      <c r="H987" t="inlineStr">
        <is>
          <t>https://www.gridco.co.in/tender.aspx</t>
        </is>
      </c>
    </row>
    <row r="988">
      <c r="B988" t="inlineStr">
        <is>
          <t>GRIDCO</t>
        </is>
      </c>
      <c r="C988" t="inlineStr">
        <is>
          <t>Tender Description :</t>
        </is>
      </c>
      <c r="D988" t="inlineStr">
        <is>
          <t>Other</t>
        </is>
      </c>
      <c r="F988" t="inlineStr">
        <is>
          <t>Open</t>
        </is>
      </c>
      <c r="G988" t="inlineStr">
        <is>
          <t>Capacity not confirmed</t>
        </is>
      </c>
      <c r="H988" t="inlineStr">
        <is>
          <t>https://www.gridco.co.in/tender.aspx</t>
        </is>
      </c>
    </row>
    <row r="989">
      <c r="A989" t="inlineStr">
        <is>
          <t>SECI000287</t>
        </is>
      </c>
      <c r="B989" t="inlineStr">
        <is>
          <t>SECI</t>
        </is>
      </c>
      <c r="C989" t="inlineStr">
        <is>
          <t>SECI/C&amp;P/IPP/11/0010/26-27</t>
        </is>
      </c>
      <c r="D989" t="inlineStr">
        <is>
          <t>Solar</t>
        </is>
      </c>
      <c r="F989" t="inlineStr">
        <is>
          <t>Open</t>
        </is>
      </c>
      <c r="G989" t="inlineStr">
        <is>
          <t>Rooftop solar excluded</t>
        </is>
      </c>
      <c r="H989" t="inlineStr">
        <is>
          <t>https://www.seci.co.in/tender-details/Ympw</t>
        </is>
      </c>
    </row>
    <row r="990">
      <c r="A990" t="inlineStr">
        <is>
          <t>SECI000284</t>
        </is>
      </c>
      <c r="B990" t="inlineStr">
        <is>
          <t>SECI</t>
        </is>
      </c>
      <c r="C990" t="inlineStr">
        <is>
          <t>SECI/C&amp;P/OP/11/0007/26-27</t>
        </is>
      </c>
      <c r="D990" t="inlineStr">
        <is>
          <t>Solar</t>
        </is>
      </c>
      <c r="E990" t="n">
        <v>60</v>
      </c>
      <c r="F990" t="inlineStr">
        <is>
          <t>Open</t>
        </is>
      </c>
      <c r="G990" t="inlineStr">
        <is>
          <t>O&amp;M-only tender excluded</t>
        </is>
      </c>
      <c r="H990" t="inlineStr">
        <is>
          <t>https://www.seci.co.in/tender-details/Ympz</t>
        </is>
      </c>
    </row>
    <row r="991">
      <c r="A991" t="inlineStr">
        <is>
          <t>SECI000285</t>
        </is>
      </c>
      <c r="B991" t="inlineStr">
        <is>
          <t>SECI</t>
        </is>
      </c>
      <c r="C991" t="inlineStr">
        <is>
          <t>SECI/C&amp;P/IPP/11/0009/26-27</t>
        </is>
      </c>
      <c r="D991" t="inlineStr">
        <is>
          <t>Solar</t>
        </is>
      </c>
      <c r="F991" t="inlineStr">
        <is>
          <t>Open</t>
        </is>
      </c>
      <c r="G991" t="inlineStr">
        <is>
          <t>Rooftop solar excluded</t>
        </is>
      </c>
      <c r="H991" t="inlineStr">
        <is>
          <t>https://www.seci.co.in/tender-details/Ympy</t>
        </is>
      </c>
    </row>
    <row r="992">
      <c r="A992" t="inlineStr">
        <is>
          <t>SECI000281</t>
        </is>
      </c>
      <c r="B992" t="inlineStr">
        <is>
          <t>SECI</t>
        </is>
      </c>
      <c r="C992" t="inlineStr">
        <is>
          <t>SECI/C&amp;P/IPP/11/0008/26-27</t>
        </is>
      </c>
      <c r="D992" t="inlineStr">
        <is>
          <t>Solar</t>
        </is>
      </c>
      <c r="F992" t="inlineStr">
        <is>
          <t>Open</t>
        </is>
      </c>
      <c r="G992" t="inlineStr">
        <is>
          <t>Rooftop solar excluded</t>
        </is>
      </c>
      <c r="H992" t="inlineStr">
        <is>
          <t>https://www.seci.co.in/tender-details/Ymp2</t>
        </is>
      </c>
    </row>
    <row r="993">
      <c r="A993" t="inlineStr">
        <is>
          <t>SECI000263</t>
        </is>
      </c>
      <c r="B993" t="inlineStr">
        <is>
          <t>SECI</t>
        </is>
      </c>
      <c r="C993" t="inlineStr">
        <is>
          <t>SECI/C&amp;P/OP/11/0003/26-27</t>
        </is>
      </c>
      <c r="D993" t="inlineStr">
        <is>
          <t>Wind</t>
        </is>
      </c>
      <c r="E993" t="n">
        <v>45.6</v>
      </c>
      <c r="F993" t="inlineStr">
        <is>
          <t>Open</t>
        </is>
      </c>
      <c r="G993" t="inlineStr">
        <is>
          <t>Capacity below configured minimum</t>
        </is>
      </c>
      <c r="H993" t="inlineStr">
        <is>
          <t>https://www.seci.co.in/tender-details/YmR0</t>
        </is>
      </c>
    </row>
    <row r="994">
      <c r="A994" t="inlineStr">
        <is>
          <t>SECI000270</t>
        </is>
      </c>
      <c r="B994" t="inlineStr">
        <is>
          <t>SECI</t>
        </is>
      </c>
      <c r="C994" t="inlineStr">
        <is>
          <t>SECI/C&amp;P/OP/15/0005/26-27</t>
        </is>
      </c>
      <c r="D994" t="inlineStr">
        <is>
          <t>Solar</t>
        </is>
      </c>
      <c r="F994" t="inlineStr">
        <is>
          <t>Open</t>
        </is>
      </c>
      <c r="G994" t="inlineStr">
        <is>
          <t>Rooftop solar excluded</t>
        </is>
      </c>
      <c r="H994" t="inlineStr">
        <is>
          <t>https://www.seci.co.in/tender-details/YmV3</t>
        </is>
      </c>
    </row>
    <row r="995">
      <c r="A995" t="inlineStr">
        <is>
          <t>SECI000279</t>
        </is>
      </c>
      <c r="B995" t="inlineStr">
        <is>
          <t>SECI</t>
        </is>
      </c>
      <c r="C995" t="inlineStr">
        <is>
          <t>SECI/C&amp;P/MI/00/05/2026-27</t>
        </is>
      </c>
      <c r="D995" t="inlineStr">
        <is>
          <t>Solar</t>
        </is>
      </c>
      <c r="F995" t="inlineStr">
        <is>
          <t>Open</t>
        </is>
      </c>
      <c r="G995" t="inlineStr">
        <is>
          <t>Capacity not confirmed</t>
        </is>
      </c>
      <c r="H995" t="inlineStr">
        <is>
          <t>https://www.seci.co.in/tender-details/YmV-</t>
        </is>
      </c>
    </row>
    <row r="996">
      <c r="A996" t="inlineStr">
        <is>
          <t>SECI000276</t>
        </is>
      </c>
      <c r="B996" t="inlineStr">
        <is>
          <t>SECI</t>
        </is>
      </c>
      <c r="C996" t="inlineStr">
        <is>
          <t>SECI/C&amp;P/OP/15/0006/25-26</t>
        </is>
      </c>
      <c r="D996" t="inlineStr">
        <is>
          <t>Solar</t>
        </is>
      </c>
      <c r="F996" t="inlineStr">
        <is>
          <t>Open</t>
        </is>
      </c>
      <c r="G996" t="inlineStr">
        <is>
          <t>Rooftop solar excluded</t>
        </is>
      </c>
      <c r="H996" t="inlineStr">
        <is>
          <t>https://www.seci.co.in/tender-details/YmVx</t>
        </is>
      </c>
    </row>
    <row r="997">
      <c r="A997" t="inlineStr">
        <is>
          <t>SECI000262</t>
        </is>
      </c>
      <c r="B997" t="inlineStr">
        <is>
          <t>SECI</t>
        </is>
      </c>
      <c r="C997" t="inlineStr">
        <is>
          <t>SECI/C&amp;P/OP/11/0002/26-27</t>
        </is>
      </c>
      <c r="D997" t="inlineStr">
        <is>
          <t>Solar + BESS</t>
        </is>
      </c>
      <c r="E997" t="n">
        <v>25</v>
      </c>
      <c r="F997" t="inlineStr">
        <is>
          <t>Open</t>
        </is>
      </c>
      <c r="G997" t="inlineStr">
        <is>
          <t>Capacity below configured minimum</t>
        </is>
      </c>
      <c r="H997" t="inlineStr">
        <is>
          <t>https://www.seci.co.in/tender-details/YmR1</t>
        </is>
      </c>
    </row>
    <row r="998">
      <c r="A998" t="inlineStr">
        <is>
          <t>SECI000274</t>
        </is>
      </c>
      <c r="B998" t="inlineStr">
        <is>
          <t>SECI</t>
        </is>
      </c>
      <c r="C998" t="inlineStr">
        <is>
          <t>SECI/C&amp;P/IPP/15/0008/26-27</t>
        </is>
      </c>
      <c r="D998" t="inlineStr">
        <is>
          <t>Other</t>
        </is>
      </c>
      <c r="E998" t="n">
        <v>50</v>
      </c>
      <c r="F998" t="inlineStr">
        <is>
          <t>Open</t>
        </is>
      </c>
      <c r="G998" t="inlineStr">
        <is>
          <t>Capacity below configured minimum</t>
        </is>
      </c>
      <c r="H998" t="inlineStr">
        <is>
          <t>https://www.seci.co.in/tender-details/YmVz</t>
        </is>
      </c>
    </row>
    <row r="999">
      <c r="A999" t="inlineStr">
        <is>
          <t>SECI000267</t>
        </is>
      </c>
      <c r="B999" t="inlineStr">
        <is>
          <t>SECI</t>
        </is>
      </c>
      <c r="C999" t="inlineStr">
        <is>
          <t>SECI/C&amp;P/MI/00/0001/26-27</t>
        </is>
      </c>
      <c r="D999" t="inlineStr">
        <is>
          <t>Other</t>
        </is>
      </c>
      <c r="F999" t="inlineStr">
        <is>
          <t>Open</t>
        </is>
      </c>
      <c r="G999" t="inlineStr">
        <is>
          <t>Capacity not confirmed</t>
        </is>
      </c>
      <c r="H999" t="inlineStr">
        <is>
          <t>https://www.seci.co.in/tender-details/YmRw</t>
        </is>
      </c>
    </row>
    <row r="1000">
      <c r="B1000" t="inlineStr">
        <is>
          <t>NTPC REL</t>
        </is>
      </c>
      <c r="D1000" t="inlineStr">
        <is>
          <t>Other</t>
        </is>
      </c>
      <c r="F1000" t="inlineStr">
        <is>
          <t>Open</t>
        </is>
      </c>
      <c r="G1000" t="inlineStr">
        <is>
          <t>EPC / turnkey / BoS excluded</t>
        </is>
      </c>
      <c r="H1000" t="inlineStr">
        <is>
          <t>https://ntpctender.ntpc.co.in/NITDetails/NITs/30320</t>
        </is>
      </c>
    </row>
    <row r="1001">
      <c r="B1001" t="inlineStr">
        <is>
          <t>NTPC REL</t>
        </is>
      </c>
      <c r="D1001" t="inlineStr">
        <is>
          <t>Solar</t>
        </is>
      </c>
      <c r="E1001" t="n">
        <v>500</v>
      </c>
      <c r="F1001" t="inlineStr">
        <is>
          <t>Open</t>
        </is>
      </c>
      <c r="G1001" t="inlineStr">
        <is>
          <t>EPC / turnkey / BoS excluded</t>
        </is>
      </c>
      <c r="H1001" t="inlineStr">
        <is>
          <t>https://ntpctender.ntpc.co.in/NITDetails/NITs/30310</t>
        </is>
      </c>
    </row>
    <row r="1002">
      <c r="B1002" t="inlineStr">
        <is>
          <t>GRIDCO</t>
        </is>
      </c>
      <c r="C1002" t="inlineStr">
        <is>
          <t xml:space="preserve">Issuing Authority : Chief Project Manager (RE) Start Date of Selling Tender Paper : 10/07/2026 End Date of Selling Tender Paper : 11/12/2026 01:00 PM </t>
        </is>
      </c>
      <c r="D1002" t="inlineStr">
        <is>
          <t>Wind</t>
        </is>
      </c>
      <c r="F1002" t="inlineStr">
        <is>
          <t>Open</t>
        </is>
      </c>
      <c r="G1002" t="inlineStr">
        <is>
          <t>EPC / turnkey / BoS excluded</t>
        </is>
      </c>
      <c r="H1002" t="inlineStr">
        <is>
          <t>https://www.gridco.co.in/tender.aspx</t>
        </is>
      </c>
    </row>
    <row r="1003">
      <c r="B1003" t="inlineStr">
        <is>
          <t>GRIDCO</t>
        </is>
      </c>
      <c r="C1003" t="inlineStr">
        <is>
          <t>Scope of Work :</t>
        </is>
      </c>
      <c r="D1003" t="inlineStr">
        <is>
          <t>Wind</t>
        </is>
      </c>
      <c r="F1003" t="inlineStr">
        <is>
          <t>Open</t>
        </is>
      </c>
      <c r="G1003" t="inlineStr">
        <is>
          <t>EPC / turnkey / BoS excluded</t>
        </is>
      </c>
      <c r="H1003" t="inlineStr">
        <is>
          <t>https://www.gridco.co.in/tender.aspx</t>
        </is>
      </c>
    </row>
    <row r="1004">
      <c r="B1004" t="inlineStr">
        <is>
          <t>GRIDCO</t>
        </is>
      </c>
      <c r="C1004" t="inlineStr">
        <is>
          <t>Issuing Authority : Director (Trading &amp; Business Development) Start Date of Selling Tender Paper : 09/23/2026 05:00 PM Scope of Work : NOTICE FOR EXPR</t>
        </is>
      </c>
      <c r="D1004" t="inlineStr">
        <is>
          <t>Other</t>
        </is>
      </c>
      <c r="F1004" t="inlineStr">
        <is>
          <t>Open</t>
        </is>
      </c>
      <c r="G1004" t="inlineStr">
        <is>
          <t>Capacity not confirmed</t>
        </is>
      </c>
      <c r="H1004" t="inlineStr">
        <is>
          <t>https://www.gridco.co.in/tender.aspx</t>
        </is>
      </c>
    </row>
    <row r="1005">
      <c r="B1005" t="inlineStr">
        <is>
          <t>GRIDCO</t>
        </is>
      </c>
      <c r="C1005" t="inlineStr">
        <is>
          <t>Scope of Work :</t>
        </is>
      </c>
      <c r="D1005" t="inlineStr">
        <is>
          <t>Other</t>
        </is>
      </c>
      <c r="F1005" t="inlineStr">
        <is>
          <t>Open</t>
        </is>
      </c>
      <c r="G1005" t="inlineStr">
        <is>
          <t>Capacity not confirmed</t>
        </is>
      </c>
      <c r="H1005" t="inlineStr">
        <is>
          <t>https://www.gridco.co.in/tender.aspx</t>
        </is>
      </c>
    </row>
    <row r="1006">
      <c r="B1006" t="inlineStr">
        <is>
          <t>GRIDCO</t>
        </is>
      </c>
      <c r="C1006" t="inlineStr">
        <is>
          <t>Tender Description :</t>
        </is>
      </c>
      <c r="D1006" t="inlineStr">
        <is>
          <t>Other</t>
        </is>
      </c>
      <c r="F1006" t="inlineStr">
        <is>
          <t>Open</t>
        </is>
      </c>
      <c r="G1006" t="inlineStr">
        <is>
          <t>Capacity not confirmed</t>
        </is>
      </c>
      <c r="H1006" t="inlineStr">
        <is>
          <t>https://www.gridco.co.in/tender.aspx</t>
        </is>
      </c>
    </row>
    <row r="1007">
      <c r="A1007" t="inlineStr">
        <is>
          <t>SECI000287</t>
        </is>
      </c>
      <c r="B1007" t="inlineStr">
        <is>
          <t>SECI</t>
        </is>
      </c>
      <c r="C1007" t="inlineStr">
        <is>
          <t>SECI/C&amp;P/IPP/11/0010/26-27</t>
        </is>
      </c>
      <c r="D1007" t="inlineStr">
        <is>
          <t>Solar</t>
        </is>
      </c>
      <c r="F1007" t="inlineStr">
        <is>
          <t>Open</t>
        </is>
      </c>
      <c r="G1007" t="inlineStr">
        <is>
          <t>Rooftop solar excluded</t>
        </is>
      </c>
      <c r="H1007" t="inlineStr">
        <is>
          <t>https://www.seci.co.in/tender-details/Ympw</t>
        </is>
      </c>
    </row>
    <row r="1008">
      <c r="A1008" t="inlineStr">
        <is>
          <t>SECI000284</t>
        </is>
      </c>
      <c r="B1008" t="inlineStr">
        <is>
          <t>SECI</t>
        </is>
      </c>
      <c r="C1008" t="inlineStr">
        <is>
          <t>SECI/C&amp;P/OP/11/0007/26-27</t>
        </is>
      </c>
      <c r="D1008" t="inlineStr">
        <is>
          <t>Solar</t>
        </is>
      </c>
      <c r="E1008" t="n">
        <v>60</v>
      </c>
      <c r="F1008" t="inlineStr">
        <is>
          <t>Open</t>
        </is>
      </c>
      <c r="G1008" t="inlineStr">
        <is>
          <t>O&amp;M-only tender excluded</t>
        </is>
      </c>
      <c r="H1008" t="inlineStr">
        <is>
          <t>https://www.seci.co.in/tender-details/Ympz</t>
        </is>
      </c>
    </row>
    <row r="1009">
      <c r="A1009" t="inlineStr">
        <is>
          <t>SECI000285</t>
        </is>
      </c>
      <c r="B1009" t="inlineStr">
        <is>
          <t>SECI</t>
        </is>
      </c>
      <c r="C1009" t="inlineStr">
        <is>
          <t>SECI/C&amp;P/IPP/11/0009/26-27</t>
        </is>
      </c>
      <c r="D1009" t="inlineStr">
        <is>
          <t>Solar</t>
        </is>
      </c>
      <c r="F1009" t="inlineStr">
        <is>
          <t>Open</t>
        </is>
      </c>
      <c r="G1009" t="inlineStr">
        <is>
          <t>Rooftop solar excluded</t>
        </is>
      </c>
      <c r="H1009" t="inlineStr">
        <is>
          <t>https://www.seci.co.in/tender-details/Ympy</t>
        </is>
      </c>
    </row>
    <row r="1010">
      <c r="A1010" t="inlineStr">
        <is>
          <t>SECI000281</t>
        </is>
      </c>
      <c r="B1010" t="inlineStr">
        <is>
          <t>SECI</t>
        </is>
      </c>
      <c r="C1010" t="inlineStr">
        <is>
          <t>SECI/C&amp;P/IPP/11/0008/26-27</t>
        </is>
      </c>
      <c r="D1010" t="inlineStr">
        <is>
          <t>Solar</t>
        </is>
      </c>
      <c r="F1010" t="inlineStr">
        <is>
          <t>Open</t>
        </is>
      </c>
      <c r="G1010" t="inlineStr">
        <is>
          <t>Rooftop solar excluded</t>
        </is>
      </c>
      <c r="H1010" t="inlineStr">
        <is>
          <t>https://www.seci.co.in/tender-details/Ymp2</t>
        </is>
      </c>
    </row>
    <row r="1011">
      <c r="A1011" t="inlineStr">
        <is>
          <t>SECI000263</t>
        </is>
      </c>
      <c r="B1011" t="inlineStr">
        <is>
          <t>SECI</t>
        </is>
      </c>
      <c r="C1011" t="inlineStr">
        <is>
          <t>SECI/C&amp;P/OP/11/0003/26-27</t>
        </is>
      </c>
      <c r="D1011" t="inlineStr">
        <is>
          <t>Wind</t>
        </is>
      </c>
      <c r="E1011" t="n">
        <v>45.6</v>
      </c>
      <c r="F1011" t="inlineStr">
        <is>
          <t>Open</t>
        </is>
      </c>
      <c r="G1011" t="inlineStr">
        <is>
          <t>Capacity below configured minimum</t>
        </is>
      </c>
      <c r="H1011" t="inlineStr">
        <is>
          <t>https://www.seci.co.in/tender-details/YmR0</t>
        </is>
      </c>
    </row>
    <row r="1012">
      <c r="A1012" t="inlineStr">
        <is>
          <t>SECI000270</t>
        </is>
      </c>
      <c r="B1012" t="inlineStr">
        <is>
          <t>SECI</t>
        </is>
      </c>
      <c r="C1012" t="inlineStr">
        <is>
          <t>SECI/C&amp;P/OP/15/0005/26-27</t>
        </is>
      </c>
      <c r="D1012" t="inlineStr">
        <is>
          <t>Solar</t>
        </is>
      </c>
      <c r="F1012" t="inlineStr">
        <is>
          <t>Open</t>
        </is>
      </c>
      <c r="G1012" t="inlineStr">
        <is>
          <t>Rooftop solar excluded</t>
        </is>
      </c>
      <c r="H1012" t="inlineStr">
        <is>
          <t>https://www.seci.co.in/tender-details/YmV3</t>
        </is>
      </c>
    </row>
    <row r="1013">
      <c r="A1013" t="inlineStr">
        <is>
          <t>SECI000279</t>
        </is>
      </c>
      <c r="B1013" t="inlineStr">
        <is>
          <t>SECI</t>
        </is>
      </c>
      <c r="C1013" t="inlineStr">
        <is>
          <t>SECI/C&amp;P/MI/00/05/2026-27</t>
        </is>
      </c>
      <c r="D1013" t="inlineStr">
        <is>
          <t>Solar</t>
        </is>
      </c>
      <c r="F1013" t="inlineStr">
        <is>
          <t>Open</t>
        </is>
      </c>
      <c r="G1013" t="inlineStr">
        <is>
          <t>Capacity not confirmed</t>
        </is>
      </c>
      <c r="H1013" t="inlineStr">
        <is>
          <t>https://www.seci.co.in/tender-details/YmV-</t>
        </is>
      </c>
    </row>
    <row r="1014">
      <c r="A1014" t="inlineStr">
        <is>
          <t>SECI000276</t>
        </is>
      </c>
      <c r="B1014" t="inlineStr">
        <is>
          <t>SECI</t>
        </is>
      </c>
      <c r="C1014" t="inlineStr">
        <is>
          <t>SECI/C&amp;P/OP/15/0006/25-26</t>
        </is>
      </c>
      <c r="D1014" t="inlineStr">
        <is>
          <t>Solar</t>
        </is>
      </c>
      <c r="F1014" t="inlineStr">
        <is>
          <t>Open</t>
        </is>
      </c>
      <c r="G1014" t="inlineStr">
        <is>
          <t>Rooftop solar excluded</t>
        </is>
      </c>
      <c r="H1014" t="inlineStr">
        <is>
          <t>https://www.seci.co.in/tender-details/YmVx</t>
        </is>
      </c>
    </row>
    <row r="1015">
      <c r="A1015" t="inlineStr">
        <is>
          <t>SECI000262</t>
        </is>
      </c>
      <c r="B1015" t="inlineStr">
        <is>
          <t>SECI</t>
        </is>
      </c>
      <c r="C1015" t="inlineStr">
        <is>
          <t>SECI/C&amp;P/OP/11/0002/26-27</t>
        </is>
      </c>
      <c r="D1015" t="inlineStr">
        <is>
          <t>Solar + BESS</t>
        </is>
      </c>
      <c r="E1015" t="n">
        <v>25</v>
      </c>
      <c r="F1015" t="inlineStr">
        <is>
          <t>Open</t>
        </is>
      </c>
      <c r="G1015" t="inlineStr">
        <is>
          <t>Capacity below configured minimum</t>
        </is>
      </c>
      <c r="H1015" t="inlineStr">
        <is>
          <t>https://www.seci.co.in/tender-details/YmR1</t>
        </is>
      </c>
    </row>
    <row r="1016">
      <c r="A1016" t="inlineStr">
        <is>
          <t>SECI000274</t>
        </is>
      </c>
      <c r="B1016" t="inlineStr">
        <is>
          <t>SECI</t>
        </is>
      </c>
      <c r="C1016" t="inlineStr">
        <is>
          <t>SECI/C&amp;P/IPP/15/0008/26-27</t>
        </is>
      </c>
      <c r="D1016" t="inlineStr">
        <is>
          <t>Other</t>
        </is>
      </c>
      <c r="E1016" t="n">
        <v>50</v>
      </c>
      <c r="F1016" t="inlineStr">
        <is>
          <t>Open</t>
        </is>
      </c>
      <c r="G1016" t="inlineStr">
        <is>
          <t>Capacity below configured minimum</t>
        </is>
      </c>
      <c r="H1016" t="inlineStr">
        <is>
          <t>https://www.seci.co.in/tender-details/YmVz</t>
        </is>
      </c>
    </row>
    <row r="1017">
      <c r="B1017" t="inlineStr">
        <is>
          <t>NTPC REL</t>
        </is>
      </c>
      <c r="C1017" t="inlineStr">
        <is>
          <t>5</t>
        </is>
      </c>
      <c r="D1017" t="inlineStr">
        <is>
          <t>Other</t>
        </is>
      </c>
      <c r="F1017" t="inlineStr">
        <is>
          <t>Open</t>
        </is>
      </c>
      <c r="G1017" t="inlineStr">
        <is>
          <t>EPC / turnkey / BoS excluded</t>
        </is>
      </c>
      <c r="H1017" t="inlineStr">
        <is>
          <t>https://ntpctender.ntpc.co.in/NITDetails/NITs/30320</t>
        </is>
      </c>
    </row>
    <row r="1018">
      <c r="B1018" t="inlineStr">
        <is>
          <t>NTPC REL</t>
        </is>
      </c>
      <c r="C1018" t="inlineStr">
        <is>
          <t>6</t>
        </is>
      </c>
      <c r="D1018" t="inlineStr">
        <is>
          <t>Solar</t>
        </is>
      </c>
      <c r="E1018" t="n">
        <v>500</v>
      </c>
      <c r="F1018" t="inlineStr">
        <is>
          <t>Open</t>
        </is>
      </c>
      <c r="G1018" t="inlineStr">
        <is>
          <t>EPC / turnkey / BoS excluded</t>
        </is>
      </c>
      <c r="H1018" t="inlineStr">
        <is>
          <t>https://ntpctender.ntpc.co.in/NITDetails/NITs/30310</t>
        </is>
      </c>
    </row>
    <row r="1019">
      <c r="B1019" t="inlineStr">
        <is>
          <t>GRIDCO</t>
        </is>
      </c>
      <c r="C1019" t="inlineStr">
        <is>
          <t xml:space="preserve">Issuing Authority : Chief Project Manager (RE) Start Date of Selling Tender Paper : 10/07/2026 End Date of Selling Tender Paper : 11/12/2026 01:00 PM </t>
        </is>
      </c>
      <c r="D1019" t="inlineStr">
        <is>
          <t>Wind</t>
        </is>
      </c>
      <c r="F1019" t="inlineStr">
        <is>
          <t>Open</t>
        </is>
      </c>
      <c r="G1019" t="inlineStr">
        <is>
          <t>EPC / turnkey / BoS excluded</t>
        </is>
      </c>
      <c r="H1019" t="inlineStr">
        <is>
          <t>https://www.gridco.co.in/tender.aspx</t>
        </is>
      </c>
    </row>
    <row r="1020">
      <c r="B1020" t="inlineStr">
        <is>
          <t>GRIDCO</t>
        </is>
      </c>
      <c r="C1020" t="inlineStr">
        <is>
          <t>Scope of Work :</t>
        </is>
      </c>
      <c r="D1020" t="inlineStr">
        <is>
          <t>Wind</t>
        </is>
      </c>
      <c r="F1020" t="inlineStr">
        <is>
          <t>Open</t>
        </is>
      </c>
      <c r="G1020" t="inlineStr">
        <is>
          <t>EPC / turnkey / BoS excluded</t>
        </is>
      </c>
      <c r="H1020" t="inlineStr">
        <is>
          <t>https://www.gridco.co.in/tender.aspx</t>
        </is>
      </c>
    </row>
    <row r="1021">
      <c r="B1021" t="inlineStr">
        <is>
          <t>GRIDCO</t>
        </is>
      </c>
      <c r="C1021" t="inlineStr">
        <is>
          <t>Issuing Authority : Director (Trading &amp; Business Development) Start Date of Selling Tender Paper : 09/23/2026 05:00 PM Scope of Work : NOTICE FOR EXPR</t>
        </is>
      </c>
      <c r="D1021" t="inlineStr">
        <is>
          <t>Other</t>
        </is>
      </c>
      <c r="F1021" t="inlineStr">
        <is>
          <t>Open</t>
        </is>
      </c>
      <c r="G1021" t="inlineStr">
        <is>
          <t>Capacity not confirmed</t>
        </is>
      </c>
      <c r="H1021" t="inlineStr">
        <is>
          <t>https://www.gridco.co.in/tender.aspx</t>
        </is>
      </c>
    </row>
    <row r="1022">
      <c r="B1022" t="inlineStr">
        <is>
          <t>GRIDCO</t>
        </is>
      </c>
      <c r="C1022" t="inlineStr">
        <is>
          <t>Scope of Work :</t>
        </is>
      </c>
      <c r="D1022" t="inlineStr">
        <is>
          <t>Other</t>
        </is>
      </c>
      <c r="F1022" t="inlineStr">
        <is>
          <t>Open</t>
        </is>
      </c>
      <c r="G1022" t="inlineStr">
        <is>
          <t>Capacity not confirmed</t>
        </is>
      </c>
      <c r="H1022" t="inlineStr">
        <is>
          <t>https://www.gridco.co.in/tender.aspx</t>
        </is>
      </c>
    </row>
    <row r="1023">
      <c r="B1023" t="inlineStr">
        <is>
          <t>GRIDCO</t>
        </is>
      </c>
      <c r="C1023" t="inlineStr">
        <is>
          <t>Tender Description :</t>
        </is>
      </c>
      <c r="D1023" t="inlineStr">
        <is>
          <t>Other</t>
        </is>
      </c>
      <c r="F1023" t="inlineStr">
        <is>
          <t>Open</t>
        </is>
      </c>
      <c r="G1023" t="inlineStr">
        <is>
          <t>Capacity not confirmed</t>
        </is>
      </c>
      <c r="H1023" t="inlineStr">
        <is>
          <t>https://www.gridco.co.in/tender.aspx</t>
        </is>
      </c>
    </row>
    <row r="1024">
      <c r="A1024" t="inlineStr">
        <is>
          <t>SECI000287</t>
        </is>
      </c>
      <c r="B1024" t="inlineStr">
        <is>
          <t>SECI</t>
        </is>
      </c>
      <c r="C1024" t="inlineStr">
        <is>
          <t>SECI/C&amp;P/IPP/11/0010/26-27</t>
        </is>
      </c>
      <c r="D1024" t="inlineStr">
        <is>
          <t>Solar</t>
        </is>
      </c>
      <c r="F1024" t="inlineStr">
        <is>
          <t>Open</t>
        </is>
      </c>
      <c r="G1024" t="inlineStr">
        <is>
          <t>Rooftop solar excluded</t>
        </is>
      </c>
      <c r="H1024" t="inlineStr">
        <is>
          <t>https://www.seci.co.in/tender-details/Ympw</t>
        </is>
      </c>
    </row>
    <row r="1025">
      <c r="A1025" t="inlineStr">
        <is>
          <t>SECI000284</t>
        </is>
      </c>
      <c r="B1025" t="inlineStr">
        <is>
          <t>SECI</t>
        </is>
      </c>
      <c r="C1025" t="inlineStr">
        <is>
          <t>SECI/C&amp;P/OP/11/0007/26-27</t>
        </is>
      </c>
      <c r="D1025" t="inlineStr">
        <is>
          <t>Solar</t>
        </is>
      </c>
      <c r="E1025" t="n">
        <v>60</v>
      </c>
      <c r="F1025" t="inlineStr">
        <is>
          <t>Open</t>
        </is>
      </c>
      <c r="G1025" t="inlineStr">
        <is>
          <t>O&amp;M-only tender excluded</t>
        </is>
      </c>
      <c r="H1025" t="inlineStr">
        <is>
          <t>https://www.seci.co.in/tender-details/Ympz</t>
        </is>
      </c>
    </row>
    <row r="1026">
      <c r="A1026" t="inlineStr">
        <is>
          <t>SECI000285</t>
        </is>
      </c>
      <c r="B1026" t="inlineStr">
        <is>
          <t>SECI</t>
        </is>
      </c>
      <c r="C1026" t="inlineStr">
        <is>
          <t>SECI/C&amp;P/IPP/11/0009/26-27</t>
        </is>
      </c>
      <c r="D1026" t="inlineStr">
        <is>
          <t>Solar</t>
        </is>
      </c>
      <c r="F1026" t="inlineStr">
        <is>
          <t>Open</t>
        </is>
      </c>
      <c r="G1026" t="inlineStr">
        <is>
          <t>Rooftop solar excluded</t>
        </is>
      </c>
      <c r="H1026" t="inlineStr">
        <is>
          <t>https://www.seci.co.in/tender-details/Ympy</t>
        </is>
      </c>
    </row>
    <row r="1027">
      <c r="A1027" t="inlineStr">
        <is>
          <t>SECI000281</t>
        </is>
      </c>
      <c r="B1027" t="inlineStr">
        <is>
          <t>SECI</t>
        </is>
      </c>
      <c r="C1027" t="inlineStr">
        <is>
          <t>SECI/C&amp;P/IPP/11/0008/26-27</t>
        </is>
      </c>
      <c r="D1027" t="inlineStr">
        <is>
          <t>Solar</t>
        </is>
      </c>
      <c r="F1027" t="inlineStr">
        <is>
          <t>Open</t>
        </is>
      </c>
      <c r="G1027" t="inlineStr">
        <is>
          <t>Rooftop solar excluded</t>
        </is>
      </c>
      <c r="H1027" t="inlineStr">
        <is>
          <t>https://www.seci.co.in/tender-details/Ymp2</t>
        </is>
      </c>
    </row>
    <row r="1028">
      <c r="A1028" t="inlineStr">
        <is>
          <t>SECI000263</t>
        </is>
      </c>
      <c r="B1028" t="inlineStr">
        <is>
          <t>SECI</t>
        </is>
      </c>
      <c r="C1028" t="inlineStr">
        <is>
          <t>SECI/C&amp;P/OP/11/0003/26-27</t>
        </is>
      </c>
      <c r="D1028" t="inlineStr">
        <is>
          <t>Wind</t>
        </is>
      </c>
      <c r="E1028" t="n">
        <v>45.6</v>
      </c>
      <c r="F1028" t="inlineStr">
        <is>
          <t>Open</t>
        </is>
      </c>
      <c r="G1028" t="inlineStr">
        <is>
          <t>Capacity below configured minimum</t>
        </is>
      </c>
      <c r="H1028" t="inlineStr">
        <is>
          <t>https://www.seci.co.in/tender-details/YmR0</t>
        </is>
      </c>
    </row>
    <row r="1029">
      <c r="A1029" t="inlineStr">
        <is>
          <t>SECI000270</t>
        </is>
      </c>
      <c r="B1029" t="inlineStr">
        <is>
          <t>SECI</t>
        </is>
      </c>
      <c r="C1029" t="inlineStr">
        <is>
          <t>SECI/C&amp;P/OP/15/0005/26-27</t>
        </is>
      </c>
      <c r="D1029" t="inlineStr">
        <is>
          <t>Solar</t>
        </is>
      </c>
      <c r="F1029" t="inlineStr">
        <is>
          <t>Open</t>
        </is>
      </c>
      <c r="G1029" t="inlineStr">
        <is>
          <t>Rooftop solar excluded</t>
        </is>
      </c>
      <c r="H1029" t="inlineStr">
        <is>
          <t>https://www.seci.co.in/tender-details/YmV3</t>
        </is>
      </c>
    </row>
    <row r="1030">
      <c r="A1030" t="inlineStr">
        <is>
          <t>SECI000279</t>
        </is>
      </c>
      <c r="B1030" t="inlineStr">
        <is>
          <t>SECI</t>
        </is>
      </c>
      <c r="C1030" t="inlineStr">
        <is>
          <t>SECI/C&amp;P/MI/00/05/2026-27</t>
        </is>
      </c>
      <c r="D1030" t="inlineStr">
        <is>
          <t>Solar</t>
        </is>
      </c>
      <c r="F1030" t="inlineStr">
        <is>
          <t>Open</t>
        </is>
      </c>
      <c r="G1030" t="inlineStr">
        <is>
          <t>Capacity not confirmed</t>
        </is>
      </c>
      <c r="H1030" t="inlineStr">
        <is>
          <t>https://www.seci.co.in/tender-details/YmV-</t>
        </is>
      </c>
    </row>
    <row r="1031">
      <c r="A1031" t="inlineStr">
        <is>
          <t>SECI000276</t>
        </is>
      </c>
      <c r="B1031" t="inlineStr">
        <is>
          <t>SECI</t>
        </is>
      </c>
      <c r="C1031" t="inlineStr">
        <is>
          <t>SECI/C&amp;P/OP/15/0006/25-26</t>
        </is>
      </c>
      <c r="D1031" t="inlineStr">
        <is>
          <t>Solar</t>
        </is>
      </c>
      <c r="F1031" t="inlineStr">
        <is>
          <t>Open</t>
        </is>
      </c>
      <c r="G1031" t="inlineStr">
        <is>
          <t>Rooftop solar excluded</t>
        </is>
      </c>
      <c r="H1031" t="inlineStr">
        <is>
          <t>https://www.seci.co.in/tender-details/YmVx</t>
        </is>
      </c>
    </row>
    <row r="1032">
      <c r="B1032" t="inlineStr">
        <is>
          <t>NTPC REL</t>
        </is>
      </c>
      <c r="C1032" t="inlineStr">
        <is>
          <t>5</t>
        </is>
      </c>
      <c r="D1032" t="inlineStr">
        <is>
          <t>Solar</t>
        </is>
      </c>
      <c r="E1032" t="n">
        <v>500</v>
      </c>
      <c r="F1032" t="inlineStr">
        <is>
          <t>Open</t>
        </is>
      </c>
      <c r="G1032" t="inlineStr">
        <is>
          <t>EPC / turnkey / BoS excluded</t>
        </is>
      </c>
      <c r="H1032" t="inlineStr">
        <is>
          <t>https://ntpctender.ntpc.co.in/NITDetails/NITs/30310</t>
        </is>
      </c>
    </row>
    <row r="1033">
      <c r="B1033" t="inlineStr">
        <is>
          <t>GRIDCO</t>
        </is>
      </c>
      <c r="C1033" t="inlineStr">
        <is>
          <t xml:space="preserve">Issuing Authority : Chief Project Manager (RE) Start Date of Selling Tender Paper : 10/07/2026 End Date of Selling Tender Paper : 11/12/2026 01:00 PM </t>
        </is>
      </c>
      <c r="D1033" t="inlineStr">
        <is>
          <t>Wind</t>
        </is>
      </c>
      <c r="F1033" t="inlineStr">
        <is>
          <t>Open</t>
        </is>
      </c>
      <c r="G1033" t="inlineStr">
        <is>
          <t>EPC / turnkey / BoS excluded</t>
        </is>
      </c>
      <c r="H1033" t="inlineStr">
        <is>
          <t>https://www.gridco.co.in/tender.aspx</t>
        </is>
      </c>
    </row>
    <row r="1034">
      <c r="B1034" t="inlineStr">
        <is>
          <t>GRIDCO</t>
        </is>
      </c>
      <c r="C1034" t="inlineStr">
        <is>
          <t>Scope of Work :</t>
        </is>
      </c>
      <c r="D1034" t="inlineStr">
        <is>
          <t>Wind</t>
        </is>
      </c>
      <c r="F1034" t="inlineStr">
        <is>
          <t>Open</t>
        </is>
      </c>
      <c r="G1034" t="inlineStr">
        <is>
          <t>EPC / turnkey / BoS excluded</t>
        </is>
      </c>
      <c r="H1034" t="inlineStr">
        <is>
          <t>https://www.gridco.co.in/tender.aspx</t>
        </is>
      </c>
    </row>
    <row r="1035">
      <c r="B1035" t="inlineStr">
        <is>
          <t>GRIDCO</t>
        </is>
      </c>
      <c r="C1035" t="inlineStr">
        <is>
          <t>Issuing Authority : Director (Trading &amp; Business Development) Start Date of Selling Tender Paper : 09/23/2026 05:00 PM Scope of Work : NOTICE FOR EXPR</t>
        </is>
      </c>
      <c r="D1035" t="inlineStr">
        <is>
          <t>Other</t>
        </is>
      </c>
      <c r="F1035" t="inlineStr">
        <is>
          <t>Open</t>
        </is>
      </c>
      <c r="G1035" t="inlineStr">
        <is>
          <t>Capacity not confirmed</t>
        </is>
      </c>
      <c r="H1035" t="inlineStr">
        <is>
          <t>https://www.gridco.co.in/tender.aspx</t>
        </is>
      </c>
    </row>
    <row r="1036">
      <c r="B1036" t="inlineStr">
        <is>
          <t>GRIDCO</t>
        </is>
      </c>
      <c r="C1036" t="inlineStr">
        <is>
          <t>Scope of Work :</t>
        </is>
      </c>
      <c r="D1036" t="inlineStr">
        <is>
          <t>Other</t>
        </is>
      </c>
      <c r="F1036" t="inlineStr">
        <is>
          <t>Open</t>
        </is>
      </c>
      <c r="G1036" t="inlineStr">
        <is>
          <t>Capacity not confirmed</t>
        </is>
      </c>
      <c r="H1036" t="inlineStr">
        <is>
          <t>https://www.gridco.co.in/tender.aspx</t>
        </is>
      </c>
    </row>
    <row r="1037">
      <c r="B1037" t="inlineStr">
        <is>
          <t>GRIDCO</t>
        </is>
      </c>
      <c r="C1037" t="inlineStr">
        <is>
          <t>Tender Description :</t>
        </is>
      </c>
      <c r="D1037" t="inlineStr">
        <is>
          <t>Other</t>
        </is>
      </c>
      <c r="F1037" t="inlineStr">
        <is>
          <t>Open</t>
        </is>
      </c>
      <c r="G1037" t="inlineStr">
        <is>
          <t>Capacity not confirmed</t>
        </is>
      </c>
      <c r="H1037" t="inlineStr">
        <is>
          <t>https://www.gridco.co.in/tender.aspx</t>
        </is>
      </c>
    </row>
    <row r="1038">
      <c r="A1038" t="inlineStr">
        <is>
          <t>SECI000287</t>
        </is>
      </c>
      <c r="B1038" t="inlineStr">
        <is>
          <t>SECI</t>
        </is>
      </c>
      <c r="C1038" t="inlineStr">
        <is>
          <t>SECI/C&amp;P/IPP/11/0010/26-27</t>
        </is>
      </c>
      <c r="D1038" t="inlineStr">
        <is>
          <t>Solar</t>
        </is>
      </c>
      <c r="F1038" t="inlineStr">
        <is>
          <t>Open</t>
        </is>
      </c>
      <c r="G1038" t="inlineStr">
        <is>
          <t>Rooftop solar excluded</t>
        </is>
      </c>
      <c r="H1038" t="inlineStr">
        <is>
          <t>https://www.seci.co.in/tender-details/Ympw</t>
        </is>
      </c>
    </row>
    <row r="1039">
      <c r="A1039" t="inlineStr">
        <is>
          <t>SECI000284</t>
        </is>
      </c>
      <c r="B1039" t="inlineStr">
        <is>
          <t>SECI</t>
        </is>
      </c>
      <c r="C1039" t="inlineStr">
        <is>
          <t>SECI/C&amp;P/OP/11/0007/26-27</t>
        </is>
      </c>
      <c r="D1039" t="inlineStr">
        <is>
          <t>Solar</t>
        </is>
      </c>
      <c r="E1039" t="n">
        <v>60</v>
      </c>
      <c r="F1039" t="inlineStr">
        <is>
          <t>Open</t>
        </is>
      </c>
      <c r="G1039" t="inlineStr">
        <is>
          <t>O&amp;M-only tender excluded</t>
        </is>
      </c>
      <c r="H1039" t="inlineStr">
        <is>
          <t>https://www.seci.co.in/tender-details/Ympz</t>
        </is>
      </c>
    </row>
    <row r="1040">
      <c r="A1040" t="inlineStr">
        <is>
          <t>SECI000285</t>
        </is>
      </c>
      <c r="B1040" t="inlineStr">
        <is>
          <t>SECI</t>
        </is>
      </c>
      <c r="C1040" t="inlineStr">
        <is>
          <t>SECI/C&amp;P/IPP/11/0009/26-27</t>
        </is>
      </c>
      <c r="D1040" t="inlineStr">
        <is>
          <t>Solar</t>
        </is>
      </c>
      <c r="F1040" t="inlineStr">
        <is>
          <t>Open</t>
        </is>
      </c>
      <c r="G1040" t="inlineStr">
        <is>
          <t>Rooftop solar excluded</t>
        </is>
      </c>
      <c r="H1040" t="inlineStr">
        <is>
          <t>https://www.seci.co.in/tender-details/Ympy</t>
        </is>
      </c>
    </row>
    <row r="1041">
      <c r="A1041" t="inlineStr">
        <is>
          <t>SECI000281</t>
        </is>
      </c>
      <c r="B1041" t="inlineStr">
        <is>
          <t>SECI</t>
        </is>
      </c>
      <c r="C1041" t="inlineStr">
        <is>
          <t>SECI/C&amp;P/IPP/11/0008/26-27</t>
        </is>
      </c>
      <c r="D1041" t="inlineStr">
        <is>
          <t>Solar</t>
        </is>
      </c>
      <c r="F1041" t="inlineStr">
        <is>
          <t>Open</t>
        </is>
      </c>
      <c r="G1041" t="inlineStr">
        <is>
          <t>Rooftop solar excluded</t>
        </is>
      </c>
      <c r="H1041" t="inlineStr">
        <is>
          <t>https://www.seci.co.in/tender-details/Ymp2</t>
        </is>
      </c>
    </row>
    <row r="1042">
      <c r="A1042" t="inlineStr">
        <is>
          <t>SECI000263</t>
        </is>
      </c>
      <c r="B1042" t="inlineStr">
        <is>
          <t>SECI</t>
        </is>
      </c>
      <c r="C1042" t="inlineStr">
        <is>
          <t>SECI/C&amp;P/OP/11/0003/26-27</t>
        </is>
      </c>
      <c r="D1042" t="inlineStr">
        <is>
          <t>Wind</t>
        </is>
      </c>
      <c r="E1042" t="n">
        <v>45.6</v>
      </c>
      <c r="F1042" t="inlineStr">
        <is>
          <t>Open</t>
        </is>
      </c>
      <c r="G1042" t="inlineStr">
        <is>
          <t>Capacity below configured minimum</t>
        </is>
      </c>
      <c r="H1042" t="inlineStr">
        <is>
          <t>https://www.seci.co.in/tender-details/YmR0</t>
        </is>
      </c>
    </row>
    <row r="1043">
      <c r="A1043" t="inlineStr">
        <is>
          <t>SECI000270</t>
        </is>
      </c>
      <c r="B1043" t="inlineStr">
        <is>
          <t>SECI</t>
        </is>
      </c>
      <c r="C1043" t="inlineStr">
        <is>
          <t>SECI/C&amp;P/OP/15/0005/26-27</t>
        </is>
      </c>
      <c r="D1043" t="inlineStr">
        <is>
          <t>Solar</t>
        </is>
      </c>
      <c r="F1043" t="inlineStr">
        <is>
          <t>Open</t>
        </is>
      </c>
      <c r="G1043" t="inlineStr">
        <is>
          <t>Rooftop solar excluded</t>
        </is>
      </c>
      <c r="H1043" t="inlineStr">
        <is>
          <t>https://www.seci.co.in/tender-details/YmV3</t>
        </is>
      </c>
    </row>
    <row r="1044">
      <c r="A1044" t="inlineStr">
        <is>
          <t>SECI000279</t>
        </is>
      </c>
      <c r="B1044" t="inlineStr">
        <is>
          <t>SECI</t>
        </is>
      </c>
      <c r="C1044" t="inlineStr">
        <is>
          <t>SECI/C&amp;P/MI/00/05/2026-27</t>
        </is>
      </c>
      <c r="D1044" t="inlineStr">
        <is>
          <t>Solar</t>
        </is>
      </c>
      <c r="F1044" t="inlineStr">
        <is>
          <t>Open</t>
        </is>
      </c>
      <c r="G1044" t="inlineStr">
        <is>
          <t>Capacity not confirmed</t>
        </is>
      </c>
      <c r="H1044" t="inlineStr">
        <is>
          <t>https://www.seci.co.in/tender-details/YmV-</t>
        </is>
      </c>
    </row>
    <row r="1045">
      <c r="A1045" t="inlineStr">
        <is>
          <t>SECI000276</t>
        </is>
      </c>
      <c r="B1045" t="inlineStr">
        <is>
          <t>SECI</t>
        </is>
      </c>
      <c r="C1045" t="inlineStr">
        <is>
          <t>SECI/C&amp;P/OP/15/0006/25-26</t>
        </is>
      </c>
      <c r="D1045" t="inlineStr">
        <is>
          <t>Solar</t>
        </is>
      </c>
      <c r="F1045" t="inlineStr">
        <is>
          <t>Open</t>
        </is>
      </c>
      <c r="G1045" t="inlineStr">
        <is>
          <t>Rooftop solar excluded</t>
        </is>
      </c>
      <c r="H1045" t="inlineStr">
        <is>
          <t>https://www.seci.co.in/tender-details/YmVx</t>
        </is>
      </c>
    </row>
    <row r="1046">
      <c r="A1046" t="inlineStr"/>
      <c r="B1046" t="inlineStr">
        <is>
          <t>NTPC REL</t>
        </is>
      </c>
      <c r="C1046" t="inlineStr">
        <is>
          <t>1</t>
        </is>
      </c>
      <c r="D1046" t="inlineStr">
        <is>
          <t>Solar</t>
        </is>
      </c>
      <c r="E1046" t="n">
        <v>900</v>
      </c>
      <c r="F1046" t="inlineStr">
        <is>
          <t>Open</t>
        </is>
      </c>
      <c r="G1046" t="inlineStr">
        <is>
          <t>EPC / turnkey / BoS excluded</t>
        </is>
      </c>
      <c r="H1046" t="inlineStr">
        <is>
          <t>https://ntpctender.ntpc.co.in/NITDetails/NITs/30393</t>
        </is>
      </c>
    </row>
    <row r="1047">
      <c r="A1047" t="inlineStr"/>
      <c r="B1047" t="inlineStr">
        <is>
          <t>NTPC REL</t>
        </is>
      </c>
      <c r="C1047" t="inlineStr">
        <is>
          <t>2</t>
        </is>
      </c>
      <c r="D1047" t="inlineStr">
        <is>
          <t>Solar</t>
        </is>
      </c>
      <c r="E1047" t="n">
        <v>600</v>
      </c>
      <c r="F1047" t="inlineStr">
        <is>
          <t>Open</t>
        </is>
      </c>
      <c r="G1047" t="inlineStr">
        <is>
          <t>EPC / turnkey / BoS excluded</t>
        </is>
      </c>
      <c r="H1047" t="inlineStr">
        <is>
          <t>https://ntpctender.ntpc.co.in/NITDetails/NITs/30392</t>
        </is>
      </c>
    </row>
    <row r="1048">
      <c r="A1048" t="inlineStr"/>
      <c r="B1048" t="inlineStr">
        <is>
          <t>NTPC REL</t>
        </is>
      </c>
      <c r="C1048" t="inlineStr">
        <is>
          <t>6</t>
        </is>
      </c>
      <c r="D1048" t="inlineStr">
        <is>
          <t>Solar</t>
        </is>
      </c>
      <c r="E1048" t="n">
        <v>500</v>
      </c>
      <c r="F1048" t="inlineStr">
        <is>
          <t>Open</t>
        </is>
      </c>
      <c r="G1048" t="inlineStr">
        <is>
          <t>EPC / turnkey / BoS excluded</t>
        </is>
      </c>
      <c r="H1048" t="inlineStr">
        <is>
          <t>https://ntpctender.ntpc.co.in/NITDetails/NITs/30310</t>
        </is>
      </c>
    </row>
    <row r="1049">
      <c r="A1049" t="inlineStr"/>
      <c r="B1049" t="inlineStr">
        <is>
          <t>GRIDCO</t>
        </is>
      </c>
      <c r="C1049" t="inlineStr">
        <is>
          <t>Issuing Authority : PRO, GRIDCO Ltd. Start Date of Selling Tender Paper : 10/16/2026 Scope of Work : NIT FOR DESIGNING, FABRICATION, INSTALLATION, MAI</t>
        </is>
      </c>
      <c r="D1049" t="inlineStr">
        <is>
          <t>Other</t>
        </is>
      </c>
      <c r="F1049" t="inlineStr">
        <is>
          <t>Open</t>
        </is>
      </c>
      <c r="G1049" t="inlineStr">
        <is>
          <t>Capacity not confirmed</t>
        </is>
      </c>
      <c r="H1049" t="inlineStr">
        <is>
          <t>https://www.gridco.co.in/tender.aspx</t>
        </is>
      </c>
    </row>
    <row r="1050">
      <c r="A1050" t="inlineStr"/>
      <c r="B1050" t="inlineStr">
        <is>
          <t>GRIDCO</t>
        </is>
      </c>
      <c r="C1050" t="inlineStr">
        <is>
          <t>Scope of Work :</t>
        </is>
      </c>
      <c r="D1050" t="inlineStr">
        <is>
          <t>Other</t>
        </is>
      </c>
      <c r="F1050" t="inlineStr">
        <is>
          <t>Open</t>
        </is>
      </c>
      <c r="G1050" t="inlineStr">
        <is>
          <t>Capacity not confirmed</t>
        </is>
      </c>
      <c r="H1050" t="inlineStr">
        <is>
          <t>https://www.gridco.co.in/tender.aspx</t>
        </is>
      </c>
    </row>
    <row r="1051">
      <c r="A1051" t="inlineStr"/>
      <c r="B1051" t="inlineStr">
        <is>
          <t>GRIDCO</t>
        </is>
      </c>
      <c r="C1051" t="inlineStr">
        <is>
          <t xml:space="preserve">Issuing Authority : Chief Project Manager (RE) Start Date of Selling Tender Paper : 10/07/2026 End Date of Selling Tender Paper : 11/12/2026 01:00 PM </t>
        </is>
      </c>
      <c r="D1051" t="inlineStr">
        <is>
          <t>Wind</t>
        </is>
      </c>
      <c r="F1051" t="inlineStr">
        <is>
          <t>Open</t>
        </is>
      </c>
      <c r="G1051" t="inlineStr">
        <is>
          <t>EPC / turnkey / BoS excluded</t>
        </is>
      </c>
      <c r="H1051" t="inlineStr">
        <is>
          <t>https://www.gridco.co.in/tender.aspx</t>
        </is>
      </c>
    </row>
    <row r="1052">
      <c r="A1052" t="inlineStr"/>
      <c r="B1052" t="inlineStr">
        <is>
          <t>GRIDCO</t>
        </is>
      </c>
      <c r="C1052" t="inlineStr">
        <is>
          <t>Scope of Work :</t>
        </is>
      </c>
      <c r="D1052" t="inlineStr">
        <is>
          <t>Wind</t>
        </is>
      </c>
      <c r="F1052" t="inlineStr">
        <is>
          <t>Open</t>
        </is>
      </c>
      <c r="G1052" t="inlineStr">
        <is>
          <t>EPC / turnkey / BoS excluded</t>
        </is>
      </c>
      <c r="H1052" t="inlineStr">
        <is>
          <t>https://www.gridco.co.in/tender.aspx</t>
        </is>
      </c>
    </row>
    <row r="1053">
      <c r="A1053" t="inlineStr"/>
      <c r="B1053" t="inlineStr">
        <is>
          <t>GRIDCO</t>
        </is>
      </c>
      <c r="C1053" t="inlineStr">
        <is>
          <t>Issuing Authority : Director (Trading &amp; Business Development) Start Date of Selling Tender Paper : 09/23/2026 05:00 PM Scope of Work : NOTICE FOR EXPR</t>
        </is>
      </c>
      <c r="D1053" t="inlineStr">
        <is>
          <t>Other</t>
        </is>
      </c>
      <c r="F1053" t="inlineStr">
        <is>
          <t>Open</t>
        </is>
      </c>
      <c r="G1053" t="inlineStr">
        <is>
          <t>Capacity not confirmed</t>
        </is>
      </c>
      <c r="H1053" t="inlineStr">
        <is>
          <t>https://www.gridco.co.in/tender.aspx</t>
        </is>
      </c>
    </row>
    <row r="1054">
      <c r="A1054" t="inlineStr"/>
      <c r="B1054" t="inlineStr">
        <is>
          <t>GRIDCO</t>
        </is>
      </c>
      <c r="C1054" t="inlineStr">
        <is>
          <t>Scope of Work :</t>
        </is>
      </c>
      <c r="D1054" t="inlineStr">
        <is>
          <t>Other</t>
        </is>
      </c>
      <c r="F1054" t="inlineStr">
        <is>
          <t>Open</t>
        </is>
      </c>
      <c r="G1054" t="inlineStr">
        <is>
          <t>Capacity not confirmed</t>
        </is>
      </c>
      <c r="H1054" t="inlineStr">
        <is>
          <t>https://www.gridco.co.in/tender.aspx</t>
        </is>
      </c>
    </row>
    <row r="1055">
      <c r="A1055" t="inlineStr"/>
      <c r="B1055" t="inlineStr">
        <is>
          <t>GRIDCO</t>
        </is>
      </c>
      <c r="C1055" t="inlineStr">
        <is>
          <t>Tender Description :</t>
        </is>
      </c>
      <c r="D1055" t="inlineStr">
        <is>
          <t>Other</t>
        </is>
      </c>
      <c r="F1055" t="inlineStr">
        <is>
          <t>Open</t>
        </is>
      </c>
      <c r="G1055" t="inlineStr">
        <is>
          <t>Capacity not confirmed</t>
        </is>
      </c>
      <c r="H1055" t="inlineStr">
        <is>
          <t>https://www.gridco.co.in/tender.aspx</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2" customWidth="1" style="64" min="1" max="1"/>
    <col width="20" customWidth="1" style="64" min="2" max="2"/>
    <col width="38" customWidth="1" style="64" min="3" max="3"/>
  </cols>
  <sheetData>
    <row r="1">
      <c r="A1" s="300" t="inlineStr">
        <is>
          <t>Tender Eligibility Rules</t>
        </is>
      </c>
      <c r="B1" s="1" t="n"/>
      <c r="C1" s="1" t="n"/>
      <c r="D1" s="1" t="n"/>
      <c r="E1" s="1" t="n"/>
      <c r="F1" s="1" t="n"/>
    </row>
    <row r="2">
      <c r="A2" s="1" t="n"/>
      <c r="B2" s="1" t="n"/>
      <c r="C2" s="1" t="n"/>
      <c r="D2" s="1" t="n"/>
      <c r="E2" s="1" t="n"/>
      <c r="F2" s="1" t="n"/>
    </row>
    <row r="4">
      <c r="A4" s="192" t="inlineStr">
        <is>
          <t>Rule</t>
        </is>
      </c>
      <c r="B4" s="192" t="inlineStr">
        <is>
          <t>Value</t>
        </is>
      </c>
      <c r="C4" s="192" t="inlineStr">
        <is>
          <t>Effect</t>
        </is>
      </c>
    </row>
    <row r="5">
      <c r="A5" t="inlineStr">
        <is>
          <t>Minimum verified capacity MW</t>
        </is>
      </c>
      <c r="B5" t="n">
        <v>100</v>
      </c>
      <c r="C5" t="inlineStr">
        <is>
          <t>Exclude lower-capacity tenders</t>
        </is>
      </c>
    </row>
    <row r="6">
      <c r="A6" t="inlineStr">
        <is>
          <t>Require confirmed capacity</t>
        </is>
      </c>
      <c r="B6" t="inlineStr">
        <is>
          <t>Yes</t>
        </is>
      </c>
      <c r="C6" t="inlineStr">
        <is>
          <t>Exclude blank/unknown capacities</t>
        </is>
      </c>
    </row>
    <row r="7">
      <c r="A7" t="inlineStr">
        <is>
          <t>Exclude rooftop solar</t>
        </is>
      </c>
      <c r="B7" t="inlineStr">
        <is>
          <t>Yes</t>
        </is>
      </c>
      <c r="C7" t="inlineStr">
        <is>
          <t>All rooftop/roof-top tenders excluded</t>
        </is>
      </c>
    </row>
    <row r="8">
      <c r="A8" t="inlineStr">
        <is>
          <t>Exclude PM-KUSUM</t>
        </is>
      </c>
      <c r="B8" t="inlineStr">
        <is>
          <t>Yes</t>
        </is>
      </c>
      <c r="C8" t="inlineStr">
        <is>
          <t>All KUSUM components excluded</t>
        </is>
      </c>
    </row>
    <row r="9">
      <c r="A9" t="inlineStr">
        <is>
          <t>Include utility-scale solar</t>
        </is>
      </c>
      <c r="B9" t="inlineStr">
        <is>
          <t>Yes</t>
        </is>
      </c>
      <c r="C9" t="inlineStr">
        <is>
          <t>Only if capacity ≥100 MW</t>
        </is>
      </c>
    </row>
    <row r="10">
      <c r="A10" t="inlineStr">
        <is>
          <t>Include BESS / FDRE / Hybrid</t>
        </is>
      </c>
      <c r="B10" t="inlineStr">
        <is>
          <t>Yes</t>
        </is>
      </c>
      <c r="C10" t="inlineStr">
        <is>
          <t>Only if capacity ≥100 MW</t>
        </is>
      </c>
    </row>
    <row r="11">
      <c r="A11" t="inlineStr">
        <is>
          <t>Include historical records</t>
        </is>
      </c>
      <c r="B11" t="inlineStr">
        <is>
          <t>Yes</t>
        </is>
      </c>
      <c r="C11" t="inlineStr">
        <is>
          <t>Kept for reference, classified separately</t>
        </is>
      </c>
    </row>
    <row r="13">
      <c r="A13" s="200" t="inlineStr">
        <is>
          <t>Active Database Rule</t>
        </is>
      </c>
      <c r="B13" s="200" t="inlineStr">
        <is>
          <t>Value</t>
        </is>
      </c>
      <c r="C13" s="200" t="inlineStr">
        <is>
          <t>Effect</t>
        </is>
      </c>
    </row>
    <row r="14">
      <c r="A14" t="inlineStr">
        <is>
          <t>Retain closed tenders</t>
        </is>
      </c>
      <c r="B14" t="inlineStr">
        <is>
          <t>No</t>
        </is>
      </c>
      <c r="C14" t="inlineStr">
        <is>
          <t>Removed from Master Tenders</t>
        </is>
      </c>
    </row>
    <row r="15">
      <c r="A15" t="inlineStr">
        <is>
          <t>Retain expired open tenders</t>
        </is>
      </c>
      <c r="B15" t="inlineStr">
        <is>
          <t>No</t>
        </is>
      </c>
      <c r="C15" t="inlineStr">
        <is>
          <t>Removed when deadline is before scan date</t>
        </is>
      </c>
    </row>
    <row r="16">
      <c r="A16" t="inlineStr">
        <is>
          <t>Corrigendum location</t>
        </is>
      </c>
      <c r="B16" t="inlineStr">
        <is>
          <t>Master Tenders</t>
        </is>
      </c>
      <c r="C16" t="inlineStr">
        <is>
          <t>Dates and details remain on the tender row</t>
        </is>
      </c>
    </row>
    <row r="17">
      <c r="A17" t="inlineStr">
        <is>
          <t>Notification date required</t>
        </is>
      </c>
      <c r="B17" t="inlineStr">
        <is>
          <t>Yes where verified</t>
        </is>
      </c>
      <c r="C17" t="inlineStr">
        <is>
          <t>Blank when official date is not verified</t>
        </is>
      </c>
    </row>
    <row r="19">
      <c r="A19" s="213" t="inlineStr">
        <is>
          <t>Procurement Scope Rule</t>
        </is>
      </c>
      <c r="B19" s="213" t="inlineStr">
        <is>
          <t>Value</t>
        </is>
      </c>
      <c r="C19" s="213" t="inlineStr">
        <is>
          <t>Effect</t>
        </is>
      </c>
    </row>
    <row r="20">
      <c r="A20" t="inlineStr">
        <is>
          <t>Exclude supply &amp; installation</t>
        </is>
      </c>
      <c r="B20" t="inlineStr">
        <is>
          <t>Yes</t>
        </is>
      </c>
      <c r="C20" t="inlineStr">
        <is>
          <t>Removes equipment and installation packages</t>
        </is>
      </c>
    </row>
    <row r="21">
      <c r="A21" t="inlineStr">
        <is>
          <t>Exclude EPC / turnkey / BoS</t>
        </is>
      </c>
      <c r="B21" t="inlineStr">
        <is>
          <t>Yes</t>
        </is>
      </c>
      <c r="C21" t="inlineStr">
        <is>
          <t>Removes project construction contracts</t>
        </is>
      </c>
    </row>
    <row r="22">
      <c r="A22" t="inlineStr">
        <is>
          <t>Exclude O&amp;M-only tenders</t>
        </is>
      </c>
      <c r="B22" t="inlineStr">
        <is>
          <t>Yes</t>
        </is>
      </c>
      <c r="C22" t="inlineStr">
        <is>
          <t>Removes maintenance/service tenders</t>
        </is>
      </c>
    </row>
    <row r="23">
      <c r="A23" t="inlineStr">
        <is>
          <t>Include only power / storage procurement</t>
        </is>
      </c>
      <c r="B23" t="inlineStr">
        <is>
          <t>Yes</t>
        </is>
      </c>
      <c r="C23" t="inlineStr">
        <is>
          <t>Retains RfS/PPA/BESPA/CfD opportunities</t>
        </is>
      </c>
    </row>
    <row r="24">
      <c r="A24" t="inlineStr">
        <is>
          <t>Detailed clause fields</t>
        </is>
      </c>
      <c r="B24" t="inlineStr">
        <is>
          <t>Master Tenders</t>
        </is>
      </c>
      <c r="C24" t="inlineStr">
        <is>
          <t>Supply, PLF/CUF, penalties and charging rules</t>
        </is>
      </c>
    </row>
    <row r="26">
      <c r="A26" s="232" t="inlineStr">
        <is>
          <t>V12 Automation Rule</t>
        </is>
      </c>
      <c r="B26" s="232" t="inlineStr">
        <is>
          <t>Value</t>
        </is>
      </c>
      <c r="C26" s="232" t="inlineStr">
        <is>
          <t>Effect</t>
        </is>
      </c>
    </row>
    <row r="27">
      <c r="A27" t="inlineStr">
        <is>
          <t>Daily GitHub Actions run</t>
        </is>
      </c>
      <c r="B27" t="inlineStr">
        <is>
          <t>Yes</t>
        </is>
      </c>
      <c r="C27" t="inlineStr">
        <is>
          <t>Scans and updates workbook automatically</t>
        </is>
      </c>
    </row>
    <row r="28">
      <c r="A28" t="inlineStr">
        <is>
          <t>Workflow commits workbook</t>
        </is>
      </c>
      <c r="B28" t="inlineStr">
        <is>
          <t>Yes</t>
        </is>
      </c>
      <c r="C28" t="inlineStr">
        <is>
          <t>Latest workbook stays in Output folder</t>
        </is>
      </c>
    </row>
    <row r="29">
      <c r="A29" t="inlineStr">
        <is>
          <t>Notification date</t>
        </is>
      </c>
      <c r="B29" t="inlineStr">
        <is>
          <t>First verified publication</t>
        </is>
      </c>
      <c r="C29" t="inlineStr">
        <is>
          <t>Stored in Master Tenders</t>
        </is>
      </c>
    </row>
    <row r="30">
      <c r="A30" t="inlineStr">
        <is>
          <t>Corrigenda</t>
        </is>
      </c>
      <c r="B30" t="inlineStr">
        <is>
          <t>Same Master row</t>
        </is>
      </c>
      <c r="C30" t="inlineStr">
        <is>
          <t>Dates/details appended and deadline updated</t>
        </is>
      </c>
    </row>
    <row r="31">
      <c r="A31" t="inlineStr">
        <is>
          <t>Closed/expired records</t>
        </is>
      </c>
      <c r="B31" t="inlineStr">
        <is>
          <t>Removed from Master</t>
        </is>
      </c>
      <c r="C31" t="inlineStr">
        <is>
          <t>Logged in Exclusion Log and history</t>
        </is>
      </c>
    </row>
    <row r="32">
      <c r="A32" t="inlineStr">
        <is>
          <t>Missing detailed clauses</t>
        </is>
      </c>
      <c r="B32" t="inlineStr">
        <is>
          <t>Not verified</t>
        </is>
      </c>
      <c r="C32" t="inlineStr">
        <is>
          <t>No fabricated commercial terms</t>
        </is>
      </c>
    </row>
  </sheetData>
  <mergeCells count="1">
    <mergeCell ref="A1:F2"/>
  </mergeCells>
  <dataValidations count="1">
    <dataValidation sqref="B6:B11" showDropDown="0" showInputMessage="0" showErrorMessage="0" allowBlank="0" type="list">
      <formula1>"Yes,No"</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8" customWidth="1" style="64" min="1" max="1"/>
    <col width="34" customWidth="1" style="64" min="2" max="2"/>
    <col width="20" customWidth="1" style="64" min="3" max="3"/>
    <col width="30" customWidth="1" style="64" min="4" max="4"/>
    <col width="30" customWidth="1" style="64" min="5" max="5"/>
    <col width="22" customWidth="1" style="64" min="6" max="6"/>
    <col width="22" customWidth="1" style="64" min="7" max="7"/>
  </cols>
  <sheetData>
    <row r="1">
      <c r="A1" s="300" t="inlineStr">
        <is>
          <t>Daily Update Operating Model</t>
        </is>
      </c>
      <c r="B1" s="1" t="n"/>
      <c r="C1" s="1" t="n"/>
      <c r="D1" s="1" t="n"/>
      <c r="E1" s="1" t="n"/>
      <c r="F1" s="1" t="n"/>
      <c r="G1" s="1" t="n"/>
    </row>
    <row r="2">
      <c r="A2" s="1" t="n"/>
      <c r="B2" s="1" t="n"/>
      <c r="C2" s="1" t="n"/>
      <c r="D2" s="1" t="n"/>
      <c r="E2" s="1" t="n"/>
      <c r="F2" s="1" t="n"/>
      <c r="G2" s="1" t="n"/>
    </row>
    <row r="4">
      <c r="A4" s="192" t="inlineStr">
        <is>
          <t>Step</t>
        </is>
      </c>
      <c r="B4" s="192" t="inlineStr">
        <is>
          <t>Process</t>
        </is>
      </c>
      <c r="C4" s="192" t="inlineStr">
        <is>
          <t>Runs Where</t>
        </is>
      </c>
      <c r="D4" s="192" t="inlineStr">
        <is>
          <t>Result</t>
        </is>
      </c>
      <c r="E4" s="192" t="inlineStr">
        <is>
          <t>Manual Action</t>
        </is>
      </c>
      <c r="F4" s="192" t="inlineStr">
        <is>
          <t>Recommended Frequency</t>
        </is>
      </c>
      <c r="G4" s="192" t="inlineStr">
        <is>
          <t>Status</t>
        </is>
      </c>
    </row>
    <row r="5">
      <c r="A5" t="n">
        <v>1</v>
      </c>
      <c r="B5" t="inlineStr">
        <is>
          <t>Scan official tender pages and configured portals</t>
        </is>
      </c>
      <c r="C5" t="inlineStr">
        <is>
          <t>Cloud runner</t>
        </is>
      </c>
      <c r="D5" t="inlineStr">
        <is>
          <t>Raw tender records</t>
        </is>
      </c>
      <c r="E5" t="inlineStr">
        <is>
          <t>None for accessible sites</t>
        </is>
      </c>
      <c r="F5" t="inlineStr">
        <is>
          <t>Daily</t>
        </is>
      </c>
      <c r="G5" t="inlineStr">
        <is>
          <t>Requires hosting</t>
        </is>
      </c>
    </row>
    <row r="6">
      <c r="A6" t="n">
        <v>2</v>
      </c>
      <c r="B6" t="inlineStr">
        <is>
          <t>Apply eligibility rules</t>
        </is>
      </c>
      <c r="C6" t="inlineStr">
        <is>
          <t>Cloud runner</t>
        </is>
      </c>
      <c r="D6" t="inlineStr">
        <is>
          <t>Rooftop, KUSUM and &lt;100 MW removed</t>
        </is>
      </c>
      <c r="E6" t="inlineStr">
        <is>
          <t>Review exclusions only</t>
        </is>
      </c>
      <c r="F6" t="inlineStr">
        <is>
          <t>Daily</t>
        </is>
      </c>
      <c r="G6" t="inlineStr">
        <is>
          <t>Configured</t>
        </is>
      </c>
    </row>
    <row r="7">
      <c r="A7" t="n">
        <v>3</v>
      </c>
      <c r="B7" t="inlineStr">
        <is>
          <t>Compare with prior workbook</t>
        </is>
      </c>
      <c r="C7" t="inlineStr">
        <is>
          <t>Cloud runner</t>
        </is>
      </c>
      <c r="D7" t="inlineStr">
        <is>
          <t>New/updated/closed/corrigendum changes</t>
        </is>
      </c>
      <c r="E7" t="inlineStr">
        <is>
          <t>Approve uncertain changes</t>
        </is>
      </c>
      <c r="F7" t="inlineStr">
        <is>
          <t>Daily</t>
        </is>
      </c>
      <c r="G7" t="inlineStr">
        <is>
          <t>Framework included</t>
        </is>
      </c>
    </row>
    <row r="8">
      <c r="A8" t="n">
        <v>4</v>
      </c>
      <c r="B8" t="inlineStr">
        <is>
          <t>Download and parse tender PDFs</t>
        </is>
      </c>
      <c r="C8" t="inlineStr">
        <is>
          <t>Cloud runner</t>
        </is>
      </c>
      <c r="D8" t="inlineStr">
        <is>
          <t>PLF, storage, EMD, BG and dates</t>
        </is>
      </c>
      <c r="E8" t="inlineStr">
        <is>
          <t>Review low-confidence fields</t>
        </is>
      </c>
      <c r="F8" t="inlineStr">
        <is>
          <t>Daily</t>
        </is>
      </c>
      <c r="G8" t="inlineStr">
        <is>
          <t>Framework included</t>
        </is>
      </c>
    </row>
    <row r="9">
      <c r="A9" t="n">
        <v>5</v>
      </c>
      <c r="B9" t="inlineStr">
        <is>
          <t>Update workbook and create backup</t>
        </is>
      </c>
      <c r="C9" t="inlineStr">
        <is>
          <t>Cloud runner</t>
        </is>
      </c>
      <c r="D9" t="inlineStr">
        <is>
          <t>New downloadable XLSX</t>
        </is>
      </c>
      <c r="E9" t="inlineStr">
        <is>
          <t>Download latest file</t>
        </is>
      </c>
      <c r="F9" t="inlineStr">
        <is>
          <t>Daily</t>
        </is>
      </c>
      <c r="G9" t="inlineStr">
        <is>
          <t>Framework included</t>
        </is>
      </c>
    </row>
    <row r="10">
      <c r="A10" t="n">
        <v>6</v>
      </c>
      <c r="B10" t="inlineStr">
        <is>
          <t>Restricted portal verification</t>
        </is>
      </c>
      <c r="C10" t="inlineStr">
        <is>
          <t>Manual browser review</t>
        </is>
      </c>
      <c r="D10" t="inlineStr">
        <is>
          <t>Verified additions</t>
        </is>
      </c>
      <c r="E10" t="inlineStr">
        <is>
          <t>Portal search/CAPTCHA</t>
        </is>
      </c>
      <c r="F10" t="inlineStr">
        <is>
          <t>Weekly or as needed</t>
        </is>
      </c>
      <c r="G10" t="inlineStr">
        <is>
          <t>Manual</t>
        </is>
      </c>
    </row>
    <row r="11">
      <c r="A11" t="n">
        <v>7</v>
      </c>
      <c r="B11" t="inlineStr">
        <is>
          <t>Distribute daily summary</t>
        </is>
      </c>
      <c r="C11" t="inlineStr">
        <is>
          <t>Email/cloud storage</t>
        </is>
      </c>
      <c r="D11" t="inlineStr">
        <is>
          <t>Daily digest and updated workbook</t>
        </is>
      </c>
      <c r="E11" t="inlineStr">
        <is>
          <t>Configure destination</t>
        </is>
      </c>
      <c r="F11" t="inlineStr">
        <is>
          <t>Daily</t>
        </is>
      </c>
      <c r="G11" t="inlineStr">
        <is>
          <t>Not configured</t>
        </is>
      </c>
    </row>
    <row r="13">
      <c r="A13" s="200" t="inlineStr">
        <is>
          <t>Daily Active-Record Rule</t>
        </is>
      </c>
      <c r="B13" s="200" t="inlineStr">
        <is>
          <t>Logic</t>
        </is>
      </c>
      <c r="C13" s="200" t="inlineStr">
        <is>
          <t>Result</t>
        </is>
      </c>
      <c r="D13" s="200" t="str"/>
      <c r="E13" s="200" t="str"/>
      <c r="F13" s="200" t="str"/>
      <c r="G13" s="200" t="str"/>
    </row>
    <row r="14">
      <c r="A14" t="inlineStr">
        <is>
          <t>Notification date</t>
        </is>
      </c>
      <c r="B14" t="inlineStr">
        <is>
          <t>Capture from first official tender publication</t>
        </is>
      </c>
      <c r="C14" t="inlineStr">
        <is>
          <t>Stored in Master Tenders</t>
        </is>
      </c>
    </row>
    <row r="15">
      <c r="A15" t="inlineStr">
        <is>
          <t>Corrigendum</t>
        </is>
      </c>
      <c r="B15" t="inlineStr">
        <is>
          <t>Update same tender row; append dates/details</t>
        </is>
      </c>
      <c r="C15" t="inlineStr">
        <is>
          <t>No separate corrigendum sheet</t>
        </is>
      </c>
    </row>
    <row r="16">
      <c r="A16" t="inlineStr">
        <is>
          <t>Closed status</t>
        </is>
      </c>
      <c r="B16" t="inlineStr">
        <is>
          <t>Remove from Master on scan date</t>
        </is>
      </c>
      <c r="C16" t="inlineStr">
        <is>
          <t>Logged in Exclusion Log</t>
        </is>
      </c>
    </row>
    <row r="17">
      <c r="A17" t="inlineStr">
        <is>
          <t>Expired deadline</t>
        </is>
      </c>
      <c r="B17" t="inlineStr">
        <is>
          <t>Remove unless a verified extension/corrigendum keeps it open</t>
        </is>
      </c>
      <c r="C17" t="inlineStr">
        <is>
          <t>Logged in Exclusion Log</t>
        </is>
      </c>
    </row>
    <row r="18">
      <c r="A18" t="inlineStr">
        <is>
          <t>Audit history</t>
        </is>
      </c>
      <c r="B18" t="inlineStr">
        <is>
          <t>Change remains in Tender History / Writeback Audit</t>
        </is>
      </c>
      <c r="C18" t="inlineStr">
        <is>
          <t>No loss of change trace</t>
        </is>
      </c>
    </row>
  </sheetData>
  <mergeCells count="1">
    <mergeCell ref="A1:G2"/>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0" customWidth="1" style="64" min="1" max="1"/>
    <col width="42" customWidth="1" style="64" min="2" max="2"/>
    <col width="38" customWidth="1" style="64" min="3" max="3"/>
    <col width="38" customWidth="1" style="64" min="4" max="4"/>
  </cols>
  <sheetData>
    <row r="1">
      <c r="A1" s="302" t="inlineStr">
        <is>
          <t>V12 GitHub Automation Setup</t>
        </is>
      </c>
      <c r="B1" s="1" t="n"/>
      <c r="C1" s="1" t="n"/>
      <c r="D1" s="1" t="n"/>
      <c r="E1" s="1" t="n"/>
      <c r="F1" s="1" t="n"/>
      <c r="G1" s="1" t="n"/>
      <c r="H1" s="1" t="n"/>
    </row>
    <row r="2">
      <c r="A2" s="1" t="n"/>
      <c r="B2" s="1" t="n"/>
      <c r="C2" s="1" t="n"/>
      <c r="D2" s="1" t="n"/>
      <c r="E2" s="1" t="n"/>
      <c r="F2" s="1" t="n"/>
      <c r="G2" s="1" t="n"/>
      <c r="H2" s="1" t="n"/>
    </row>
    <row r="3">
      <c r="A3" s="303" t="inlineStr">
        <is>
          <t>Upload the complete V12 repository package. GitHub Actions will scan sources, apply scope rules, update the workbook, create logs and commit the latest workbook.</t>
        </is>
      </c>
      <c r="B3" s="1" t="n"/>
      <c r="C3" s="1" t="n"/>
      <c r="D3" s="1" t="n"/>
      <c r="E3" s="1" t="n"/>
      <c r="F3" s="1" t="n"/>
      <c r="G3" s="1" t="n"/>
      <c r="H3" s="1" t="n"/>
    </row>
    <row r="5">
      <c r="A5" s="232" t="inlineStr">
        <is>
          <t>Step</t>
        </is>
      </c>
      <c r="B5" s="232" t="inlineStr">
        <is>
          <t>Action</t>
        </is>
      </c>
      <c r="C5" s="232" t="inlineStr">
        <is>
          <t>GitHub Location</t>
        </is>
      </c>
      <c r="D5" s="232" t="inlineStr">
        <is>
          <t>Result</t>
        </is>
      </c>
    </row>
    <row r="6">
      <c r="A6" t="n">
        <v>1</v>
      </c>
      <c r="B6" t="inlineStr">
        <is>
          <t>Upload all files and folders from the V12 ZIP</t>
        </is>
      </c>
      <c r="C6" t="inlineStr">
        <is>
          <t>Repository root</t>
        </is>
      </c>
      <c r="D6" t="inlineStr">
        <is>
          <t>Complete application available</t>
        </is>
      </c>
    </row>
    <row r="7">
      <c r="A7" t="n">
        <v>2</v>
      </c>
      <c r="B7" t="inlineStr">
        <is>
          <t>Enable Actions</t>
        </is>
      </c>
      <c r="C7" t="inlineStr">
        <is>
          <t>Repository &gt; Actions</t>
        </is>
      </c>
      <c r="D7" t="inlineStr">
        <is>
          <t>Scheduled runner enabled</t>
        </is>
      </c>
    </row>
    <row r="8">
      <c r="A8" t="n">
        <v>3</v>
      </c>
      <c r="B8" t="inlineStr">
        <is>
          <t>Allow workflow write permission</t>
        </is>
      </c>
      <c r="C8" t="inlineStr">
        <is>
          <t>Settings &gt; Actions &gt; General</t>
        </is>
      </c>
      <c r="D8" t="inlineStr">
        <is>
          <t>Workflow can commit updated workbook</t>
        </is>
      </c>
    </row>
    <row r="9">
      <c r="A9" t="n">
        <v>4</v>
      </c>
      <c r="B9" t="inlineStr">
        <is>
          <t>Run the workflow manually once</t>
        </is>
      </c>
      <c r="C9" t="inlineStr">
        <is>
          <t>Actions &gt; Daily Renewable Tender Update</t>
        </is>
      </c>
      <c r="D9" t="inlineStr">
        <is>
          <t>Initial validation run</t>
        </is>
      </c>
    </row>
    <row r="10">
      <c r="A10" t="n">
        <v>5</v>
      </c>
      <c r="B10" t="inlineStr">
        <is>
          <t>Review the workflow summary and logs</t>
        </is>
      </c>
      <c r="C10" t="inlineStr">
        <is>
          <t>Actions run page</t>
        </is>
      </c>
      <c r="D10" t="inlineStr">
        <is>
          <t>Errors and scan coverage visible</t>
        </is>
      </c>
    </row>
    <row r="11">
      <c r="A11" t="n">
        <v>6</v>
      </c>
      <c r="B11" t="inlineStr">
        <is>
          <t>Download or open latest workbook</t>
        </is>
      </c>
      <c r="C11" t="inlineStr">
        <is>
          <t>Output/Renewable_Tender_Tracker_V12.xlsx</t>
        </is>
      </c>
      <c r="D11" t="inlineStr">
        <is>
          <t>Latest active tender tracker</t>
        </is>
      </c>
    </row>
    <row r="12">
      <c r="A12" t="n">
        <v>7</v>
      </c>
      <c r="B12" t="inlineStr">
        <is>
          <t>Edit agency/source configuration as required</t>
        </is>
      </c>
      <c r="C12" t="inlineStr">
        <is>
          <t>Config/agencies.json</t>
        </is>
      </c>
      <c r="D12" t="inlineStr">
        <is>
          <t>Expanded or corrected source coverage</t>
        </is>
      </c>
    </row>
    <row r="13">
      <c r="A13" t="n">
        <v>8</v>
      </c>
      <c r="B13" t="inlineStr">
        <is>
          <t>Edit scope rules only when needed</t>
        </is>
      </c>
      <c r="C13" t="inlineStr">
        <is>
          <t>Config/scope_rules.json</t>
        </is>
      </c>
      <c r="D13" t="inlineStr">
        <is>
          <t>Eligibility criteria updated</t>
        </is>
      </c>
    </row>
    <row r="14">
      <c r="A14" t="n">
        <v>9</v>
      </c>
      <c r="B14" t="inlineStr">
        <is>
          <t>Restricted/CAPTCHA portals</t>
        </is>
      </c>
      <c r="C14" t="inlineStr">
        <is>
          <t>Manual Verification Queue</t>
        </is>
      </c>
      <c r="D14" t="inlineStr">
        <is>
          <t>Manual review remains visible</t>
        </is>
      </c>
    </row>
    <row r="15">
      <c r="A15" t="n">
        <v>10</v>
      </c>
      <c r="B15" t="inlineStr">
        <is>
          <t>Do not upload only the workbook</t>
        </is>
      </c>
      <c r="C15" t="inlineStr">
        <is>
          <t>Repository root</t>
        </is>
      </c>
      <c r="D15" t="inlineStr">
        <is>
          <t>Scripts and workflow are required</t>
        </is>
      </c>
    </row>
  </sheetData>
  <mergeCells count="2">
    <mergeCell ref="A1:H2"/>
    <mergeCell ref="A3:H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579"/>
  <sheetViews>
    <sheetView workbookViewId="0">
      <selection activeCell="A1" sqref="A1"/>
    </sheetView>
  </sheetViews>
  <sheetFormatPr baseColWidth="8" defaultRowHeight="15"/>
  <cols>
    <col width="34" customWidth="1" style="64" min="1" max="1"/>
    <col width="24" customWidth="1" style="64" min="2" max="2"/>
    <col width="24" customWidth="1" style="64" min="3" max="3"/>
    <col width="36" customWidth="1" style="64" min="4" max="4"/>
    <col width="22" customWidth="1" style="64" min="6" max="6"/>
    <col width="20" customWidth="1" style="64" min="7" max="7"/>
    <col width="20" customWidth="1" style="64" min="8" max="8"/>
    <col width="16" customWidth="1" style="64" min="9" max="9"/>
    <col width="32" customWidth="1" style="64" min="10" max="10"/>
  </cols>
  <sheetData>
    <row r="1">
      <c r="A1" s="302" t="inlineStr">
        <is>
          <t>V12 Daily Automation Status</t>
        </is>
      </c>
      <c r="B1" s="1" t="n"/>
      <c r="C1" s="1" t="n"/>
      <c r="D1" s="1" t="n"/>
      <c r="E1" s="1" t="n"/>
      <c r="F1" s="1" t="n"/>
      <c r="G1" s="1" t="n"/>
      <c r="H1" s="1" t="n"/>
      <c r="I1" s="1" t="n"/>
      <c r="J1" s="1" t="n"/>
    </row>
    <row r="2">
      <c r="A2" s="1" t="n"/>
      <c r="B2" s="1" t="n"/>
      <c r="C2" s="1" t="n"/>
      <c r="D2" s="1" t="n"/>
      <c r="E2" s="1" t="n"/>
      <c r="F2" s="1" t="n"/>
      <c r="G2" s="1" t="n"/>
      <c r="H2" s="1" t="n"/>
      <c r="I2" s="1" t="n"/>
      <c r="J2" s="1" t="n"/>
    </row>
    <row r="4">
      <c r="A4" s="232" t="inlineStr">
        <is>
          <t>Setting</t>
        </is>
      </c>
      <c r="B4" s="232" t="inlineStr">
        <is>
          <t>Configured Value</t>
        </is>
      </c>
      <c r="C4" s="232" t="inlineStr">
        <is>
          <t>Runtime Value</t>
        </is>
      </c>
      <c r="D4" s="232" t="inlineStr">
        <is>
          <t>Notes</t>
        </is>
      </c>
      <c r="F4" s="232" t="inlineStr">
        <is>
          <t>Run ID</t>
        </is>
      </c>
      <c r="G4" s="232" t="inlineStr">
        <is>
          <t>Started</t>
        </is>
      </c>
      <c r="H4" s="232" t="inlineStr">
        <is>
          <t>Finished</t>
        </is>
      </c>
      <c r="I4" s="232" t="inlineStr">
        <is>
          <t>Records Active</t>
        </is>
      </c>
      <c r="J4" s="232" t="inlineStr">
        <is>
          <t>Result</t>
        </is>
      </c>
    </row>
    <row r="5">
      <c r="A5" t="inlineStr">
        <is>
          <t>Project Version</t>
        </is>
      </c>
      <c r="B5" t="inlineStr">
        <is>
          <t>14.0</t>
        </is>
      </c>
      <c r="G5" s="283" t="n"/>
      <c r="H5" s="283" t="n"/>
    </row>
    <row r="6">
      <c r="A6" t="inlineStr">
        <is>
          <t>Minimum Capacity MW</t>
        </is>
      </c>
      <c r="B6" t="n">
        <v>100</v>
      </c>
      <c r="D6" t="inlineStr">
        <is>
          <t>Tenders below 100 MW are excluded</t>
        </is>
      </c>
      <c r="G6" s="283" t="n"/>
      <c r="H6" s="283" t="n"/>
    </row>
    <row r="7">
      <c r="A7" t="inlineStr">
        <is>
          <t>Exclude Rooftop</t>
        </is>
      </c>
      <c r="B7" t="inlineStr">
        <is>
          <t>Yes</t>
        </is>
      </c>
      <c r="G7" s="283" t="n"/>
      <c r="H7" s="283" t="n"/>
    </row>
    <row r="8">
      <c r="A8" t="inlineStr">
        <is>
          <t>Exclude PM-KUSUM</t>
        </is>
      </c>
      <c r="B8" t="inlineStr">
        <is>
          <t>Yes</t>
        </is>
      </c>
      <c r="G8" s="283" t="n"/>
      <c r="H8" s="283" t="n"/>
    </row>
    <row r="9">
      <c r="A9" t="inlineStr">
        <is>
          <t>Exclude EPC/Supply/Installation</t>
        </is>
      </c>
      <c r="B9" t="inlineStr">
        <is>
          <t>Daily 08:00 IST</t>
        </is>
      </c>
      <c r="G9" s="283" t="n"/>
      <c r="H9" s="283" t="n"/>
    </row>
    <row r="10">
      <c r="A10" t="inlineStr">
        <is>
          <t>Remove Closed/Expired</t>
        </is>
      </c>
      <c r="B10" t="inlineStr">
        <is>
          <t>Yes</t>
        </is>
      </c>
      <c r="G10" s="283" t="n"/>
      <c r="H10" s="283" t="n"/>
    </row>
    <row r="11">
      <c r="A11" t="inlineStr">
        <is>
          <t>Corrigendum Storage</t>
        </is>
      </c>
      <c r="B11" t="inlineStr">
        <is>
          <t>Same Master row</t>
        </is>
      </c>
      <c r="G11" s="283" t="n"/>
      <c r="H11" s="283" t="n"/>
    </row>
    <row r="12">
      <c r="A12" t="inlineStr">
        <is>
          <t>Schedule</t>
        </is>
      </c>
      <c r="B12" t="inlineStr">
        <is>
          <t>Daily 08:00 IST</t>
        </is>
      </c>
      <c r="D12" t="inlineStr">
        <is>
          <t>02:30 UTC</t>
        </is>
      </c>
      <c r="G12" s="283" t="n"/>
      <c r="H12" s="283" t="n"/>
    </row>
    <row r="13">
      <c r="A13" t="inlineStr">
        <is>
          <t>Last Successful Run</t>
        </is>
      </c>
      <c r="C13" s="282" t="n">
        <v>46312.30972229487</v>
      </c>
      <c r="D13" t="inlineStr">
        <is>
          <t>Written by automation</t>
        </is>
      </c>
      <c r="G13" s="283" t="n"/>
      <c r="H13" s="283" t="n"/>
    </row>
    <row r="14">
      <c r="A14" t="inlineStr">
        <is>
          <t>Last Run Result</t>
        </is>
      </c>
      <c r="C14" t="inlineStr">
        <is>
          <t>Success</t>
        </is>
      </c>
      <c r="D14" t="inlineStr">
        <is>
          <t>Written by automation</t>
        </is>
      </c>
      <c r="G14" s="283" t="n"/>
      <c r="H14" s="283" t="n"/>
    </row>
    <row r="15">
      <c r="A15" t="inlineStr">
        <is>
          <t>Latest Workbook Commit</t>
        </is>
      </c>
      <c r="D15" t="inlineStr">
        <is>
          <t>Written by automation</t>
        </is>
      </c>
      <c r="G15" s="283" t="n"/>
      <c r="H15" s="283" t="n"/>
    </row>
    <row r="16">
      <c r="G16" s="283" t="n"/>
      <c r="H16" s="283" t="n"/>
    </row>
    <row r="17">
      <c r="G17" s="283" t="n"/>
      <c r="H17" s="283" t="n"/>
    </row>
    <row r="18">
      <c r="G18" s="283" t="n"/>
      <c r="H18" s="283" t="n"/>
    </row>
    <row r="19">
      <c r="G19" s="283" t="n"/>
      <c r="H19" s="283" t="n"/>
    </row>
    <row r="20">
      <c r="G20" s="283" t="n"/>
      <c r="H20" s="283" t="n"/>
    </row>
    <row r="21">
      <c r="G21" s="283" t="n"/>
      <c r="H21" s="283" t="n"/>
    </row>
    <row r="22">
      <c r="G22" s="283" t="n"/>
      <c r="H22" s="283" t="n"/>
    </row>
    <row r="23">
      <c r="G23" s="283" t="n"/>
      <c r="H23" s="283" t="n"/>
    </row>
    <row r="24">
      <c r="G24" s="283" t="n"/>
      <c r="H24" s="283" t="n"/>
    </row>
    <row r="25">
      <c r="G25" s="283" t="n"/>
      <c r="H25" s="283" t="n"/>
    </row>
    <row r="26">
      <c r="G26" s="283" t="n"/>
      <c r="H26" s="283" t="n"/>
    </row>
    <row r="27">
      <c r="G27" s="283" t="n"/>
      <c r="H27" s="283" t="n"/>
    </row>
    <row r="28">
      <c r="G28" s="283" t="n"/>
      <c r="H28" s="283" t="n"/>
    </row>
    <row r="29">
      <c r="G29" s="283" t="n"/>
      <c r="H29" s="283" t="n"/>
    </row>
    <row r="30">
      <c r="G30" s="283" t="n"/>
      <c r="H30" s="283" t="n"/>
    </row>
    <row r="31">
      <c r="G31" s="283" t="n"/>
      <c r="H31" s="283" t="n"/>
    </row>
    <row r="32">
      <c r="G32" s="283" t="n"/>
      <c r="H32" s="283" t="n"/>
    </row>
    <row r="33">
      <c r="G33" s="283" t="n"/>
      <c r="H33" s="283" t="n"/>
    </row>
    <row r="34">
      <c r="G34" s="283" t="n"/>
      <c r="H34" s="283" t="n"/>
    </row>
    <row r="35">
      <c r="G35" s="283" t="n"/>
      <c r="H35" s="283" t="n"/>
    </row>
    <row r="36">
      <c r="G36" s="283" t="n"/>
      <c r="H36" s="283" t="n"/>
    </row>
    <row r="37">
      <c r="G37" s="283" t="n"/>
      <c r="H37" s="283" t="n"/>
    </row>
    <row r="38">
      <c r="G38" s="283" t="n"/>
      <c r="H38" s="283" t="n"/>
    </row>
    <row r="39">
      <c r="G39" s="283" t="n"/>
      <c r="H39" s="283" t="n"/>
    </row>
    <row r="40">
      <c r="G40" s="283" t="n"/>
      <c r="H40" s="283" t="n"/>
    </row>
    <row r="41">
      <c r="G41" s="283" t="n"/>
      <c r="H41" s="283" t="n"/>
    </row>
    <row r="42">
      <c r="G42" s="283" t="n"/>
      <c r="H42" s="283" t="n"/>
    </row>
    <row r="43">
      <c r="G43" s="283" t="n"/>
      <c r="H43" s="283" t="n"/>
    </row>
    <row r="44">
      <c r="G44" s="283" t="n"/>
      <c r="H44" s="283" t="n"/>
    </row>
    <row r="45">
      <c r="G45" s="283" t="n"/>
      <c r="H45" s="283" t="n"/>
    </row>
    <row r="46">
      <c r="G46" s="283" t="n"/>
      <c r="H46" s="283" t="n"/>
    </row>
    <row r="47">
      <c r="G47" s="283" t="n"/>
      <c r="H47" s="283" t="n"/>
    </row>
    <row r="48">
      <c r="G48" s="283" t="n"/>
      <c r="H48" s="283" t="n"/>
    </row>
    <row r="49">
      <c r="G49" s="283" t="n"/>
      <c r="H49" s="283" t="n"/>
    </row>
    <row r="50">
      <c r="G50" s="283" t="n"/>
      <c r="H50" s="283" t="n"/>
    </row>
    <row r="51">
      <c r="G51" s="283" t="n"/>
      <c r="H51" s="283" t="n"/>
    </row>
    <row r="52">
      <c r="G52" s="283" t="n"/>
      <c r="H52" s="283" t="n"/>
    </row>
    <row r="53">
      <c r="G53" s="283" t="n"/>
      <c r="H53" s="283" t="n"/>
    </row>
    <row r="54">
      <c r="G54" s="283" t="n"/>
      <c r="H54" s="283" t="n"/>
    </row>
    <row r="55">
      <c r="G55" s="283" t="n"/>
      <c r="H55" s="283" t="n"/>
    </row>
    <row r="56">
      <c r="G56" s="283" t="n"/>
      <c r="H56" s="283" t="n"/>
    </row>
    <row r="57">
      <c r="G57" s="283" t="n"/>
      <c r="H57" s="283" t="n"/>
    </row>
    <row r="58">
      <c r="G58" s="283" t="n"/>
      <c r="H58" s="283" t="n"/>
    </row>
    <row r="59">
      <c r="G59" s="283" t="n"/>
      <c r="H59" s="283" t="n"/>
    </row>
    <row r="60">
      <c r="G60" s="283" t="n"/>
      <c r="H60" s="283" t="n"/>
    </row>
    <row r="61">
      <c r="G61" s="283" t="n"/>
      <c r="H61" s="283" t="n"/>
    </row>
    <row r="62">
      <c r="G62" s="283" t="n"/>
      <c r="H62" s="283" t="n"/>
    </row>
    <row r="63">
      <c r="G63" s="283" t="n"/>
      <c r="H63" s="283" t="n"/>
    </row>
    <row r="64">
      <c r="G64" s="283" t="n"/>
      <c r="H64" s="283" t="n"/>
    </row>
    <row r="65">
      <c r="G65" s="283" t="n"/>
      <c r="H65" s="283" t="n"/>
    </row>
    <row r="66">
      <c r="G66" s="283" t="n"/>
      <c r="H66" s="283" t="n"/>
    </row>
    <row r="67">
      <c r="G67" s="283" t="n"/>
      <c r="H67" s="283" t="n"/>
    </row>
    <row r="68">
      <c r="G68" s="283" t="n"/>
      <c r="H68" s="283" t="n"/>
    </row>
    <row r="69">
      <c r="G69" s="283" t="n"/>
      <c r="H69" s="283" t="n"/>
    </row>
    <row r="70">
      <c r="G70" s="283" t="n"/>
      <c r="H70" s="283" t="n"/>
    </row>
    <row r="71">
      <c r="G71" s="283" t="n"/>
      <c r="H71" s="283" t="n"/>
    </row>
    <row r="72">
      <c r="G72" s="283" t="n"/>
      <c r="H72" s="283" t="n"/>
    </row>
    <row r="73">
      <c r="G73" s="283" t="n"/>
      <c r="H73" s="283" t="n"/>
    </row>
    <row r="74">
      <c r="G74" s="283" t="n"/>
      <c r="H74" s="283" t="n"/>
    </row>
    <row r="75">
      <c r="G75" s="283" t="n"/>
      <c r="H75" s="283" t="n"/>
    </row>
    <row r="76">
      <c r="G76" s="283" t="n"/>
      <c r="H76" s="283" t="n"/>
    </row>
    <row r="77">
      <c r="G77" s="283" t="n"/>
      <c r="H77" s="283" t="n"/>
    </row>
    <row r="78">
      <c r="G78" s="283" t="n"/>
      <c r="H78" s="283" t="n"/>
    </row>
    <row r="79">
      <c r="G79" s="283" t="n"/>
      <c r="H79" s="283" t="n"/>
    </row>
    <row r="80">
      <c r="G80" s="283" t="n"/>
      <c r="H80" s="283" t="n"/>
    </row>
    <row r="81">
      <c r="G81" s="283" t="n"/>
      <c r="H81" s="283" t="n"/>
    </row>
    <row r="82">
      <c r="G82" s="283" t="n"/>
      <c r="H82" s="283" t="n"/>
    </row>
    <row r="83">
      <c r="G83" s="283" t="n"/>
      <c r="H83" s="283" t="n"/>
    </row>
    <row r="84">
      <c r="G84" s="283" t="n"/>
      <c r="H84" s="283" t="n"/>
    </row>
    <row r="85">
      <c r="G85" s="283" t="n"/>
      <c r="H85" s="283" t="n"/>
    </row>
    <row r="86">
      <c r="G86" s="283" t="n"/>
      <c r="H86" s="283" t="n"/>
    </row>
    <row r="87">
      <c r="G87" s="283" t="n"/>
      <c r="H87" s="283" t="n"/>
    </row>
    <row r="88">
      <c r="G88" s="283" t="n"/>
      <c r="H88" s="283" t="n"/>
    </row>
    <row r="89">
      <c r="G89" s="283" t="n"/>
      <c r="H89" s="283" t="n"/>
    </row>
    <row r="90">
      <c r="G90" s="283" t="n"/>
      <c r="H90" s="283" t="n"/>
    </row>
    <row r="91">
      <c r="G91" s="283" t="n"/>
      <c r="H91" s="283" t="n"/>
    </row>
    <row r="92">
      <c r="G92" s="283" t="n"/>
      <c r="H92" s="283" t="n"/>
    </row>
    <row r="93">
      <c r="G93" s="283" t="n"/>
      <c r="H93" s="283" t="n"/>
    </row>
    <row r="94">
      <c r="G94" s="283" t="n"/>
      <c r="H94" s="283" t="n"/>
    </row>
    <row r="95">
      <c r="G95" s="283" t="n"/>
      <c r="H95" s="283" t="n"/>
    </row>
    <row r="96">
      <c r="G96" s="283" t="n"/>
      <c r="H96" s="283" t="n"/>
    </row>
    <row r="97">
      <c r="G97" s="283" t="n"/>
      <c r="H97" s="283" t="n"/>
    </row>
    <row r="98">
      <c r="G98" s="283" t="n"/>
      <c r="H98" s="283" t="n"/>
    </row>
    <row r="99">
      <c r="G99" s="283" t="n"/>
      <c r="H99" s="283" t="n"/>
    </row>
    <row r="100">
      <c r="G100" s="283" t="n"/>
      <c r="H100" s="283" t="n"/>
    </row>
    <row r="101">
      <c r="G101" s="283" t="n"/>
      <c r="H101" s="283" t="n"/>
    </row>
    <row r="102">
      <c r="G102" s="283" t="n"/>
      <c r="H102" s="283" t="n"/>
    </row>
    <row r="103">
      <c r="G103" s="283" t="n"/>
      <c r="H103" s="283" t="n"/>
    </row>
    <row r="104">
      <c r="G104" s="283" t="n"/>
      <c r="H104" s="283" t="n"/>
    </row>
    <row r="105">
      <c r="G105" s="283" t="n"/>
      <c r="H105" s="283" t="n"/>
    </row>
    <row r="106">
      <c r="G106" s="283" t="n"/>
      <c r="H106" s="283" t="n"/>
    </row>
    <row r="107">
      <c r="G107" s="283" t="n"/>
      <c r="H107" s="283" t="n"/>
    </row>
    <row r="108">
      <c r="G108" s="283" t="n"/>
      <c r="H108" s="283" t="n"/>
    </row>
    <row r="109">
      <c r="G109" s="283" t="n"/>
      <c r="H109" s="283" t="n"/>
    </row>
    <row r="110">
      <c r="G110" s="283" t="n"/>
      <c r="H110" s="283" t="n"/>
    </row>
    <row r="111">
      <c r="G111" s="283" t="n"/>
      <c r="H111" s="283" t="n"/>
    </row>
    <row r="112">
      <c r="G112" s="283" t="n"/>
      <c r="H112" s="283" t="n"/>
    </row>
    <row r="113">
      <c r="G113" s="283" t="n"/>
      <c r="H113" s="283" t="n"/>
    </row>
    <row r="114">
      <c r="G114" s="283" t="n"/>
      <c r="H114" s="283" t="n"/>
    </row>
    <row r="115">
      <c r="G115" s="283" t="n"/>
      <c r="H115" s="283" t="n"/>
    </row>
    <row r="116">
      <c r="G116" s="283" t="n"/>
      <c r="H116" s="283" t="n"/>
    </row>
    <row r="117">
      <c r="G117" s="283" t="n"/>
      <c r="H117" s="283" t="n"/>
    </row>
    <row r="118">
      <c r="G118" s="283" t="n"/>
      <c r="H118" s="283" t="n"/>
    </row>
    <row r="119">
      <c r="G119" s="283" t="n"/>
      <c r="H119" s="283" t="n"/>
    </row>
    <row r="120">
      <c r="G120" s="283" t="n"/>
      <c r="H120" s="283" t="n"/>
    </row>
    <row r="121">
      <c r="G121" s="283" t="n"/>
      <c r="H121" s="283" t="n"/>
    </row>
    <row r="122">
      <c r="G122" s="283" t="n"/>
      <c r="H122" s="283" t="n"/>
    </row>
    <row r="123">
      <c r="G123" s="283" t="n"/>
      <c r="H123" s="283" t="n"/>
    </row>
    <row r="124">
      <c r="G124" s="283" t="n"/>
      <c r="H124" s="283" t="n"/>
    </row>
    <row r="125">
      <c r="G125" s="283" t="n"/>
      <c r="H125" s="283" t="n"/>
    </row>
    <row r="126">
      <c r="G126" s="283" t="n"/>
      <c r="H126" s="283" t="n"/>
    </row>
    <row r="127">
      <c r="G127" s="283" t="n"/>
      <c r="H127" s="283" t="n"/>
    </row>
    <row r="128">
      <c r="G128" s="283" t="n"/>
      <c r="H128" s="283" t="n"/>
    </row>
    <row r="129">
      <c r="G129" s="283" t="n"/>
      <c r="H129" s="283" t="n"/>
    </row>
    <row r="130">
      <c r="G130" s="283" t="n"/>
      <c r="H130" s="283" t="n"/>
    </row>
    <row r="131">
      <c r="G131" s="283" t="n"/>
      <c r="H131" s="283" t="n"/>
    </row>
    <row r="132">
      <c r="G132" s="283" t="n"/>
      <c r="H132" s="283" t="n"/>
    </row>
    <row r="133">
      <c r="G133" s="283" t="n"/>
      <c r="H133" s="283" t="n"/>
    </row>
    <row r="134">
      <c r="G134" s="283" t="n"/>
      <c r="H134" s="283" t="n"/>
    </row>
    <row r="135">
      <c r="G135" s="283" t="n"/>
      <c r="H135" s="283" t="n"/>
    </row>
    <row r="136">
      <c r="G136" s="283" t="n"/>
      <c r="H136" s="283" t="n"/>
    </row>
    <row r="137">
      <c r="G137" s="283" t="n"/>
      <c r="H137" s="283" t="n"/>
    </row>
    <row r="138">
      <c r="G138" s="283" t="n"/>
      <c r="H138" s="283" t="n"/>
    </row>
    <row r="139">
      <c r="G139" s="283" t="n"/>
      <c r="H139" s="283" t="n"/>
    </row>
    <row r="140">
      <c r="G140" s="283" t="n"/>
      <c r="H140" s="283" t="n"/>
    </row>
    <row r="141">
      <c r="G141" s="283" t="n"/>
      <c r="H141" s="283" t="n"/>
    </row>
    <row r="142">
      <c r="G142" s="283" t="n"/>
      <c r="H142" s="283" t="n"/>
    </row>
    <row r="143">
      <c r="G143" s="283" t="n"/>
      <c r="H143" s="283" t="n"/>
    </row>
    <row r="144">
      <c r="G144" s="283" t="n"/>
      <c r="H144" s="283" t="n"/>
    </row>
    <row r="145">
      <c r="G145" s="283" t="n"/>
      <c r="H145" s="283" t="n"/>
    </row>
    <row r="146">
      <c r="G146" s="283" t="n"/>
      <c r="H146" s="283" t="n"/>
    </row>
    <row r="147">
      <c r="G147" s="283" t="n"/>
      <c r="H147" s="283" t="n"/>
    </row>
    <row r="148">
      <c r="G148" s="283" t="n"/>
      <c r="H148" s="283" t="n"/>
    </row>
    <row r="149">
      <c r="G149" s="283" t="n"/>
      <c r="H149" s="283" t="n"/>
    </row>
    <row r="150">
      <c r="G150" s="283" t="n"/>
      <c r="H150" s="283" t="n"/>
    </row>
    <row r="151">
      <c r="G151" s="283" t="n"/>
      <c r="H151" s="283" t="n"/>
    </row>
    <row r="152">
      <c r="G152" s="283" t="n"/>
      <c r="H152" s="283" t="n"/>
    </row>
    <row r="153">
      <c r="G153" s="283" t="n"/>
      <c r="H153" s="283" t="n"/>
    </row>
    <row r="154">
      <c r="G154" s="283" t="n"/>
      <c r="H154" s="283" t="n"/>
    </row>
    <row r="155">
      <c r="G155" s="283" t="n"/>
      <c r="H155" s="283" t="n"/>
    </row>
    <row r="156">
      <c r="G156" s="283" t="n"/>
      <c r="H156" s="283" t="n"/>
    </row>
    <row r="157">
      <c r="G157" s="283" t="n"/>
      <c r="H157" s="283" t="n"/>
    </row>
    <row r="158">
      <c r="G158" s="283" t="n"/>
      <c r="H158" s="283" t="n"/>
    </row>
    <row r="159">
      <c r="G159" s="283" t="n"/>
      <c r="H159" s="283" t="n"/>
    </row>
    <row r="160">
      <c r="G160" s="283" t="n"/>
      <c r="H160" s="283" t="n"/>
    </row>
    <row r="161">
      <c r="G161" s="283" t="n"/>
      <c r="H161" s="283" t="n"/>
    </row>
    <row r="162">
      <c r="G162" s="283" t="n"/>
      <c r="H162" s="283" t="n"/>
    </row>
    <row r="163">
      <c r="G163" s="283" t="n"/>
      <c r="H163" s="283" t="n"/>
    </row>
    <row r="164">
      <c r="G164" s="283" t="n"/>
      <c r="H164" s="283" t="n"/>
    </row>
    <row r="165">
      <c r="G165" s="283" t="n"/>
      <c r="H165" s="283" t="n"/>
    </row>
    <row r="166">
      <c r="G166" s="283" t="n"/>
      <c r="H166" s="283" t="n"/>
    </row>
    <row r="167">
      <c r="G167" s="283" t="n"/>
      <c r="H167" s="283" t="n"/>
    </row>
    <row r="168">
      <c r="G168" s="283" t="n"/>
      <c r="H168" s="283" t="n"/>
    </row>
    <row r="169">
      <c r="G169" s="283" t="n"/>
      <c r="H169" s="283" t="n"/>
    </row>
    <row r="170">
      <c r="G170" s="283" t="n"/>
      <c r="H170" s="283" t="n"/>
    </row>
    <row r="171">
      <c r="G171" s="283" t="n"/>
      <c r="H171" s="283" t="n"/>
    </row>
    <row r="172">
      <c r="G172" s="283" t="n"/>
      <c r="H172" s="283" t="n"/>
    </row>
    <row r="173">
      <c r="G173" s="283" t="n"/>
      <c r="H173" s="283" t="n"/>
    </row>
    <row r="174">
      <c r="G174" s="283" t="n"/>
      <c r="H174" s="283" t="n"/>
    </row>
    <row r="175">
      <c r="G175" s="283" t="n"/>
      <c r="H175" s="283" t="n"/>
    </row>
    <row r="176">
      <c r="G176" s="283" t="n"/>
      <c r="H176" s="283" t="n"/>
    </row>
    <row r="177">
      <c r="G177" s="283" t="n"/>
      <c r="H177" s="283" t="n"/>
    </row>
    <row r="178">
      <c r="G178" s="283" t="n"/>
      <c r="H178" s="283" t="n"/>
    </row>
    <row r="179">
      <c r="G179" s="283" t="n"/>
      <c r="H179" s="283" t="n"/>
    </row>
    <row r="180">
      <c r="G180" s="283" t="n"/>
      <c r="H180" s="283" t="n"/>
    </row>
    <row r="181">
      <c r="G181" s="283" t="n"/>
      <c r="H181" s="283" t="n"/>
    </row>
    <row r="182">
      <c r="G182" s="283" t="n"/>
      <c r="H182" s="283" t="n"/>
    </row>
    <row r="183">
      <c r="G183" s="283" t="n"/>
      <c r="H183" s="283" t="n"/>
    </row>
    <row r="184">
      <c r="G184" s="283" t="n"/>
      <c r="H184" s="283" t="n"/>
    </row>
    <row r="185">
      <c r="G185" s="283" t="n"/>
      <c r="H185" s="283" t="n"/>
    </row>
    <row r="186">
      <c r="G186" s="283" t="n"/>
      <c r="H186" s="283" t="n"/>
    </row>
    <row r="187">
      <c r="G187" s="283" t="n"/>
      <c r="H187" s="283" t="n"/>
    </row>
    <row r="188">
      <c r="G188" s="283" t="n"/>
      <c r="H188" s="283" t="n"/>
    </row>
    <row r="189">
      <c r="G189" s="283" t="n"/>
      <c r="H189" s="283" t="n"/>
    </row>
    <row r="190">
      <c r="G190" s="283" t="n"/>
      <c r="H190" s="283" t="n"/>
    </row>
    <row r="191">
      <c r="G191" s="283" t="n"/>
      <c r="H191" s="283" t="n"/>
    </row>
    <row r="192">
      <c r="G192" s="283" t="n"/>
      <c r="H192" s="283" t="n"/>
    </row>
    <row r="193">
      <c r="G193" s="283" t="n"/>
      <c r="H193" s="283" t="n"/>
    </row>
    <row r="194">
      <c r="G194" s="283" t="n"/>
      <c r="H194" s="283" t="n"/>
    </row>
    <row r="195">
      <c r="G195" s="283" t="n"/>
      <c r="H195" s="283" t="n"/>
    </row>
    <row r="196">
      <c r="G196" s="283" t="n"/>
      <c r="H196" s="283" t="n"/>
    </row>
    <row r="197">
      <c r="G197" s="283" t="n"/>
      <c r="H197" s="283" t="n"/>
    </row>
    <row r="198">
      <c r="G198" s="283" t="n"/>
      <c r="H198" s="283" t="n"/>
    </row>
    <row r="199">
      <c r="G199" s="283" t="n"/>
      <c r="H199" s="283" t="n"/>
    </row>
    <row r="200">
      <c r="G200" s="283" t="n"/>
      <c r="H200" s="283" t="n"/>
    </row>
    <row r="201">
      <c r="G201" s="283" t="n"/>
      <c r="H201" s="283" t="n"/>
    </row>
    <row r="202">
      <c r="G202" s="283" t="n"/>
      <c r="H202" s="283" t="n"/>
    </row>
    <row r="203">
      <c r="G203" s="283" t="n"/>
      <c r="H203" s="283" t="n"/>
    </row>
    <row r="204">
      <c r="G204" s="283" t="n"/>
      <c r="H204" s="283" t="n"/>
    </row>
    <row r="205">
      <c r="G205" s="283" t="n"/>
      <c r="H205" s="283" t="n"/>
    </row>
    <row r="206">
      <c r="G206" s="283" t="n"/>
      <c r="H206" s="283" t="n"/>
    </row>
    <row r="207">
      <c r="G207" s="283" t="n"/>
      <c r="H207" s="283" t="n"/>
    </row>
    <row r="208">
      <c r="G208" s="283" t="n"/>
      <c r="H208" s="283" t="n"/>
    </row>
    <row r="209">
      <c r="G209" s="283" t="n"/>
      <c r="H209" s="283" t="n"/>
    </row>
    <row r="210">
      <c r="G210" s="283" t="n"/>
      <c r="H210" s="283" t="n"/>
    </row>
    <row r="211">
      <c r="G211" s="283" t="n"/>
      <c r="H211" s="283" t="n"/>
    </row>
    <row r="212">
      <c r="G212" s="283" t="n"/>
      <c r="H212" s="283" t="n"/>
    </row>
    <row r="213">
      <c r="G213" s="283" t="n"/>
      <c r="H213" s="283" t="n"/>
    </row>
    <row r="214">
      <c r="G214" s="283" t="n"/>
      <c r="H214" s="283" t="n"/>
    </row>
    <row r="215">
      <c r="G215" s="283" t="n"/>
      <c r="H215" s="283" t="n"/>
    </row>
    <row r="216">
      <c r="G216" s="283" t="n"/>
      <c r="H216" s="283" t="n"/>
    </row>
    <row r="217">
      <c r="G217" s="283" t="n"/>
      <c r="H217" s="283" t="n"/>
    </row>
    <row r="218">
      <c r="G218" s="283" t="n"/>
      <c r="H218" s="283" t="n"/>
    </row>
    <row r="219">
      <c r="G219" s="283" t="n"/>
      <c r="H219" s="283" t="n"/>
    </row>
    <row r="220">
      <c r="G220" s="283" t="n"/>
      <c r="H220" s="283" t="n"/>
    </row>
    <row r="221">
      <c r="G221" s="283" t="n"/>
      <c r="H221" s="283" t="n"/>
    </row>
    <row r="222">
      <c r="G222" s="283" t="n"/>
      <c r="H222" s="283" t="n"/>
    </row>
    <row r="223">
      <c r="G223" s="283" t="n"/>
      <c r="H223" s="283" t="n"/>
    </row>
    <row r="224">
      <c r="G224" s="283" t="n"/>
      <c r="H224" s="283" t="n"/>
    </row>
    <row r="225">
      <c r="G225" s="283" t="n"/>
      <c r="H225" s="283" t="n"/>
    </row>
    <row r="226">
      <c r="G226" s="283" t="n"/>
      <c r="H226" s="283" t="n"/>
    </row>
    <row r="227">
      <c r="G227" s="283" t="n"/>
      <c r="H227" s="283" t="n"/>
    </row>
    <row r="228">
      <c r="G228" s="283" t="n"/>
      <c r="H228" s="283" t="n"/>
    </row>
    <row r="229">
      <c r="G229" s="283" t="n"/>
      <c r="H229" s="283" t="n"/>
    </row>
    <row r="230">
      <c r="G230" s="283" t="n"/>
      <c r="H230" s="283" t="n"/>
    </row>
    <row r="231">
      <c r="G231" s="283" t="n"/>
      <c r="H231" s="283" t="n"/>
    </row>
    <row r="232">
      <c r="G232" s="283" t="n"/>
      <c r="H232" s="283" t="n"/>
    </row>
    <row r="233">
      <c r="G233" s="283" t="n"/>
      <c r="H233" s="283" t="n"/>
    </row>
    <row r="234">
      <c r="G234" s="283" t="n"/>
      <c r="H234" s="283" t="n"/>
    </row>
    <row r="235">
      <c r="G235" s="283" t="n"/>
      <c r="H235" s="283" t="n"/>
    </row>
    <row r="236">
      <c r="G236" s="283" t="n"/>
      <c r="H236" s="283" t="n"/>
    </row>
    <row r="237">
      <c r="G237" s="283" t="n"/>
      <c r="H237" s="283" t="n"/>
    </row>
    <row r="238">
      <c r="G238" s="283" t="n"/>
      <c r="H238" s="283" t="n"/>
    </row>
    <row r="239">
      <c r="G239" s="283" t="n"/>
      <c r="H239" s="283" t="n"/>
    </row>
    <row r="240">
      <c r="G240" s="283" t="n"/>
      <c r="H240" s="283" t="n"/>
    </row>
    <row r="241">
      <c r="G241" s="283" t="n"/>
      <c r="H241" s="283" t="n"/>
    </row>
    <row r="242">
      <c r="G242" s="283" t="n"/>
      <c r="H242" s="283" t="n"/>
    </row>
    <row r="243">
      <c r="G243" s="283" t="n"/>
      <c r="H243" s="283" t="n"/>
    </row>
    <row r="244">
      <c r="G244" s="283" t="n"/>
      <c r="H244" s="283" t="n"/>
    </row>
    <row r="245">
      <c r="G245" s="283" t="n"/>
      <c r="H245" s="283" t="n"/>
    </row>
    <row r="246">
      <c r="G246" s="283" t="n"/>
      <c r="H246" s="283" t="n"/>
    </row>
    <row r="247">
      <c r="G247" s="283" t="n"/>
      <c r="H247" s="283" t="n"/>
    </row>
    <row r="248">
      <c r="G248" s="283" t="n"/>
      <c r="H248" s="283" t="n"/>
    </row>
    <row r="249">
      <c r="G249" s="283" t="n"/>
      <c r="H249" s="283" t="n"/>
    </row>
    <row r="250">
      <c r="G250" s="283" t="n"/>
      <c r="H250" s="283" t="n"/>
    </row>
    <row r="251">
      <c r="G251" s="283" t="n"/>
      <c r="H251" s="283" t="n"/>
    </row>
    <row r="252">
      <c r="G252" s="283" t="n"/>
      <c r="H252" s="283" t="n"/>
    </row>
    <row r="253">
      <c r="G253" s="283" t="n"/>
      <c r="H253" s="283" t="n"/>
    </row>
    <row r="254">
      <c r="G254" s="283" t="n"/>
      <c r="H254" s="283" t="n"/>
    </row>
    <row r="255">
      <c r="G255" s="283" t="n"/>
      <c r="H255" s="283" t="n"/>
    </row>
    <row r="256">
      <c r="G256" s="283" t="n"/>
      <c r="H256" s="283" t="n"/>
    </row>
    <row r="257">
      <c r="G257" s="283" t="n"/>
      <c r="H257" s="283" t="n"/>
    </row>
    <row r="258">
      <c r="G258" s="283" t="n"/>
      <c r="H258" s="283" t="n"/>
    </row>
    <row r="259">
      <c r="G259" s="283" t="n"/>
      <c r="H259" s="283" t="n"/>
    </row>
    <row r="260">
      <c r="G260" s="283" t="n"/>
      <c r="H260" s="283" t="n"/>
    </row>
    <row r="261">
      <c r="G261" s="283" t="n"/>
      <c r="H261" s="283" t="n"/>
    </row>
    <row r="262">
      <c r="G262" s="283" t="n"/>
      <c r="H262" s="283" t="n"/>
    </row>
    <row r="263">
      <c r="G263" s="283" t="n"/>
      <c r="H263" s="283" t="n"/>
    </row>
    <row r="264">
      <c r="G264" s="283" t="n"/>
      <c r="H264" s="283" t="n"/>
    </row>
    <row r="265">
      <c r="G265" s="283" t="n"/>
      <c r="H265" s="283" t="n"/>
    </row>
    <row r="266">
      <c r="G266" s="283" t="n"/>
      <c r="H266" s="283" t="n"/>
    </row>
    <row r="267">
      <c r="G267" s="283" t="n"/>
      <c r="H267" s="283" t="n"/>
    </row>
    <row r="268">
      <c r="G268" s="283" t="n"/>
      <c r="H268" s="283" t="n"/>
    </row>
    <row r="269">
      <c r="G269" s="283" t="n"/>
      <c r="H269" s="283" t="n"/>
    </row>
    <row r="270">
      <c r="G270" s="283" t="n"/>
      <c r="H270" s="283" t="n"/>
    </row>
    <row r="271">
      <c r="G271" s="283" t="n"/>
      <c r="H271" s="283" t="n"/>
    </row>
    <row r="272">
      <c r="G272" s="283" t="n"/>
      <c r="H272" s="283" t="n"/>
    </row>
    <row r="273">
      <c r="G273" s="283" t="n"/>
      <c r="H273" s="283" t="n"/>
    </row>
    <row r="274">
      <c r="G274" s="283" t="n"/>
      <c r="H274" s="283" t="n"/>
    </row>
    <row r="275">
      <c r="G275" s="283" t="n"/>
      <c r="H275" s="283" t="n"/>
    </row>
    <row r="276">
      <c r="G276" s="283" t="n"/>
      <c r="H276" s="283" t="n"/>
    </row>
    <row r="277">
      <c r="G277" s="283" t="n"/>
      <c r="H277" s="283" t="n"/>
    </row>
    <row r="278">
      <c r="G278" s="283" t="n"/>
      <c r="H278" s="283" t="n"/>
    </row>
    <row r="279">
      <c r="G279" s="283" t="n"/>
      <c r="H279" s="283" t="n"/>
    </row>
    <row r="280">
      <c r="G280" s="283" t="n"/>
      <c r="H280" s="283" t="n"/>
    </row>
    <row r="281">
      <c r="G281" s="283" t="n"/>
      <c r="H281" s="283" t="n"/>
    </row>
    <row r="282">
      <c r="G282" s="283" t="n"/>
      <c r="H282" s="283" t="n"/>
    </row>
    <row r="283">
      <c r="G283" s="283" t="n"/>
      <c r="H283" s="283" t="n"/>
    </row>
    <row r="284">
      <c r="G284" s="283" t="n"/>
      <c r="H284" s="283" t="n"/>
    </row>
    <row r="285">
      <c r="G285" s="283" t="n"/>
      <c r="H285" s="283" t="n"/>
    </row>
    <row r="286">
      <c r="G286" s="283" t="n"/>
      <c r="H286" s="283" t="n"/>
    </row>
    <row r="287">
      <c r="G287" s="283" t="n"/>
      <c r="H287" s="283" t="n"/>
    </row>
    <row r="288">
      <c r="G288" s="283" t="n"/>
      <c r="H288" s="283" t="n"/>
    </row>
    <row r="289">
      <c r="G289" s="283" t="n"/>
      <c r="H289" s="283" t="n"/>
    </row>
    <row r="290">
      <c r="G290" s="283" t="n"/>
      <c r="H290" s="283" t="n"/>
    </row>
    <row r="291">
      <c r="G291" s="283" t="n"/>
      <c r="H291" s="283" t="n"/>
    </row>
    <row r="292">
      <c r="G292" s="283" t="n"/>
      <c r="H292" s="283" t="n"/>
    </row>
    <row r="293">
      <c r="G293" s="283" t="n"/>
      <c r="H293" s="283" t="n"/>
    </row>
    <row r="294">
      <c r="G294" s="283" t="n"/>
      <c r="H294" s="283" t="n"/>
    </row>
    <row r="295">
      <c r="G295" s="283" t="n"/>
      <c r="H295" s="283" t="n"/>
    </row>
    <row r="296">
      <c r="G296" s="283" t="n"/>
      <c r="H296" s="283" t="n"/>
    </row>
    <row r="297">
      <c r="G297" s="283" t="n"/>
      <c r="H297" s="283" t="n"/>
    </row>
    <row r="298">
      <c r="G298" s="283" t="n"/>
      <c r="H298" s="283" t="n"/>
    </row>
    <row r="299">
      <c r="G299" s="283" t="n"/>
      <c r="H299" s="283" t="n"/>
    </row>
    <row r="300">
      <c r="G300" s="283" t="n"/>
      <c r="H300" s="283" t="n"/>
    </row>
    <row r="301">
      <c r="G301" s="283" t="n"/>
      <c r="H301" s="283" t="n"/>
    </row>
    <row r="302">
      <c r="G302" s="283" t="n"/>
      <c r="H302" s="283" t="n"/>
    </row>
    <row r="303">
      <c r="G303" s="283" t="n"/>
      <c r="H303" s="283" t="n"/>
    </row>
    <row r="304">
      <c r="G304" s="283" t="n"/>
      <c r="H304" s="283" t="n"/>
    </row>
    <row r="305">
      <c r="G305" s="283" t="n"/>
      <c r="H305" s="283" t="n"/>
    </row>
    <row r="306">
      <c r="G306" s="283" t="n"/>
      <c r="H306" s="283" t="n"/>
    </row>
    <row r="307">
      <c r="G307" s="283" t="n"/>
      <c r="H307" s="283" t="n"/>
    </row>
    <row r="308">
      <c r="G308" s="283" t="n"/>
      <c r="H308" s="283" t="n"/>
    </row>
    <row r="309">
      <c r="G309" s="283" t="n"/>
      <c r="H309" s="283" t="n"/>
    </row>
    <row r="310">
      <c r="G310" s="283" t="n"/>
      <c r="H310" s="283" t="n"/>
    </row>
    <row r="311">
      <c r="G311" s="283" t="n"/>
      <c r="H311" s="283" t="n"/>
    </row>
    <row r="312">
      <c r="G312" s="283" t="n"/>
      <c r="H312" s="283" t="n"/>
    </row>
    <row r="313">
      <c r="G313" s="283" t="n"/>
      <c r="H313" s="283" t="n"/>
    </row>
    <row r="314">
      <c r="G314" s="283" t="n"/>
      <c r="H314" s="283" t="n"/>
    </row>
    <row r="315">
      <c r="G315" s="283" t="n"/>
      <c r="H315" s="283" t="n"/>
    </row>
    <row r="316">
      <c r="G316" s="283" t="n"/>
      <c r="H316" s="283" t="n"/>
    </row>
    <row r="317">
      <c r="G317" s="283" t="n"/>
      <c r="H317" s="283" t="n"/>
    </row>
    <row r="318">
      <c r="G318" s="283" t="n"/>
      <c r="H318" s="283" t="n"/>
    </row>
    <row r="319">
      <c r="G319" s="283" t="n"/>
      <c r="H319" s="283" t="n"/>
    </row>
    <row r="320">
      <c r="G320" s="283" t="n"/>
      <c r="H320" s="283" t="n"/>
    </row>
    <row r="321">
      <c r="G321" s="283" t="n"/>
      <c r="H321" s="283" t="n"/>
    </row>
    <row r="322">
      <c r="G322" s="283" t="n"/>
      <c r="H322" s="283" t="n"/>
    </row>
    <row r="323">
      <c r="G323" s="283" t="n"/>
      <c r="H323" s="283" t="n"/>
    </row>
    <row r="324">
      <c r="G324" s="283" t="n"/>
      <c r="H324" s="283" t="n"/>
    </row>
    <row r="325">
      <c r="G325" s="283" t="n"/>
      <c r="H325" s="283" t="n"/>
    </row>
    <row r="326">
      <c r="G326" s="283" t="n"/>
      <c r="H326" s="283" t="n"/>
    </row>
    <row r="327">
      <c r="G327" s="283" t="n"/>
      <c r="H327" s="283" t="n"/>
    </row>
    <row r="328">
      <c r="G328" s="283" t="n"/>
      <c r="H328" s="283" t="n"/>
    </row>
    <row r="329">
      <c r="G329" s="283" t="n"/>
      <c r="H329" s="283" t="n"/>
    </row>
    <row r="330">
      <c r="G330" s="283" t="n"/>
      <c r="H330" s="283" t="n"/>
    </row>
    <row r="331">
      <c r="G331" s="283" t="n"/>
      <c r="H331" s="283" t="n"/>
    </row>
    <row r="332">
      <c r="G332" s="283" t="n"/>
      <c r="H332" s="283" t="n"/>
    </row>
    <row r="333">
      <c r="G333" s="283" t="n"/>
      <c r="H333" s="283" t="n"/>
    </row>
    <row r="334">
      <c r="G334" s="283" t="n"/>
      <c r="H334" s="283" t="n"/>
    </row>
    <row r="335">
      <c r="G335" s="283" t="n"/>
      <c r="H335" s="283" t="n"/>
    </row>
    <row r="336">
      <c r="G336" s="283" t="n"/>
      <c r="H336" s="283" t="n"/>
    </row>
    <row r="337">
      <c r="G337" s="283" t="n"/>
      <c r="H337" s="283" t="n"/>
    </row>
    <row r="338">
      <c r="G338" s="283" t="n"/>
      <c r="H338" s="283" t="n"/>
    </row>
    <row r="339">
      <c r="G339" s="283" t="n"/>
      <c r="H339" s="283" t="n"/>
    </row>
    <row r="340">
      <c r="G340" s="283" t="n"/>
      <c r="H340" s="283" t="n"/>
    </row>
    <row r="341">
      <c r="G341" s="283" t="n"/>
      <c r="H341" s="283" t="n"/>
    </row>
    <row r="342">
      <c r="G342" s="283" t="n"/>
      <c r="H342" s="283" t="n"/>
    </row>
    <row r="343">
      <c r="G343" s="283" t="n"/>
      <c r="H343" s="283" t="n"/>
    </row>
    <row r="344">
      <c r="G344" s="283" t="n"/>
      <c r="H344" s="283" t="n"/>
    </row>
    <row r="345">
      <c r="G345" s="283" t="n"/>
      <c r="H345" s="283" t="n"/>
    </row>
    <row r="346">
      <c r="G346" s="283" t="n"/>
      <c r="H346" s="283" t="n"/>
    </row>
    <row r="347">
      <c r="G347" s="283" t="n"/>
      <c r="H347" s="283" t="n"/>
    </row>
    <row r="348">
      <c r="G348" s="283" t="n"/>
      <c r="H348" s="283" t="n"/>
    </row>
    <row r="349">
      <c r="G349" s="283" t="n"/>
      <c r="H349" s="283" t="n"/>
    </row>
    <row r="350">
      <c r="G350" s="283" t="n"/>
      <c r="H350" s="283" t="n"/>
    </row>
    <row r="351">
      <c r="G351" s="283" t="n"/>
      <c r="H351" s="283" t="n"/>
    </row>
    <row r="352">
      <c r="G352" s="283" t="n"/>
      <c r="H352" s="283" t="n"/>
    </row>
    <row r="353">
      <c r="G353" s="283" t="n"/>
      <c r="H353" s="283" t="n"/>
    </row>
    <row r="354">
      <c r="G354" s="283" t="n"/>
      <c r="H354" s="283" t="n"/>
    </row>
    <row r="355">
      <c r="G355" s="283" t="n"/>
      <c r="H355" s="283" t="n"/>
    </row>
    <row r="356">
      <c r="G356" s="283" t="n"/>
      <c r="H356" s="283" t="n"/>
    </row>
    <row r="357">
      <c r="G357" s="283" t="n"/>
      <c r="H357" s="283" t="n"/>
    </row>
    <row r="358">
      <c r="G358" s="283" t="n"/>
      <c r="H358" s="283" t="n"/>
    </row>
    <row r="359">
      <c r="G359" s="283" t="n"/>
      <c r="H359" s="283" t="n"/>
    </row>
    <row r="360">
      <c r="G360" s="283" t="n"/>
      <c r="H360" s="283" t="n"/>
    </row>
    <row r="361">
      <c r="G361" s="283" t="n"/>
      <c r="H361" s="283" t="n"/>
    </row>
    <row r="362">
      <c r="G362" s="283" t="n"/>
      <c r="H362" s="283" t="n"/>
    </row>
    <row r="363">
      <c r="G363" s="283" t="n"/>
      <c r="H363" s="283" t="n"/>
    </row>
    <row r="364">
      <c r="G364" s="283" t="n"/>
      <c r="H364" s="283" t="n"/>
    </row>
    <row r="365">
      <c r="G365" s="283" t="n"/>
      <c r="H365" s="283" t="n"/>
    </row>
    <row r="366">
      <c r="G366" s="283" t="n"/>
      <c r="H366" s="283" t="n"/>
    </row>
    <row r="367">
      <c r="G367" s="283" t="n"/>
      <c r="H367" s="283" t="n"/>
    </row>
    <row r="368">
      <c r="G368" s="283" t="n"/>
      <c r="H368" s="283" t="n"/>
    </row>
    <row r="369">
      <c r="G369" s="283" t="n"/>
      <c r="H369" s="283" t="n"/>
    </row>
    <row r="370">
      <c r="G370" s="283" t="n"/>
      <c r="H370" s="283" t="n"/>
    </row>
    <row r="371">
      <c r="G371" s="283" t="n"/>
      <c r="H371" s="283" t="n"/>
    </row>
    <row r="372">
      <c r="G372" s="283" t="n"/>
      <c r="H372" s="283" t="n"/>
    </row>
    <row r="373">
      <c r="G373" s="283" t="n"/>
      <c r="H373" s="283" t="n"/>
    </row>
    <row r="374">
      <c r="G374" s="283" t="n"/>
      <c r="H374" s="283" t="n"/>
    </row>
    <row r="375">
      <c r="G375" s="283" t="n"/>
      <c r="H375" s="283" t="n"/>
    </row>
    <row r="376">
      <c r="G376" s="283" t="n"/>
      <c r="H376" s="283" t="n"/>
    </row>
    <row r="377">
      <c r="G377" s="283" t="n"/>
      <c r="H377" s="283" t="n"/>
    </row>
    <row r="378">
      <c r="G378" s="283" t="n"/>
      <c r="H378" s="283" t="n"/>
    </row>
    <row r="379">
      <c r="G379" s="283" t="n"/>
      <c r="H379" s="283" t="n"/>
    </row>
    <row r="380">
      <c r="G380" s="283" t="n"/>
      <c r="H380" s="283" t="n"/>
    </row>
    <row r="381">
      <c r="G381" s="283" t="n"/>
      <c r="H381" s="283" t="n"/>
    </row>
    <row r="382">
      <c r="G382" s="283" t="n"/>
      <c r="H382" s="283" t="n"/>
    </row>
    <row r="383">
      <c r="G383" s="283" t="n"/>
      <c r="H383" s="283" t="n"/>
    </row>
    <row r="384">
      <c r="G384" s="283" t="n"/>
      <c r="H384" s="283" t="n"/>
    </row>
    <row r="385">
      <c r="G385" s="283" t="n"/>
      <c r="H385" s="283" t="n"/>
    </row>
    <row r="386">
      <c r="G386" s="283" t="n"/>
      <c r="H386" s="283" t="n"/>
    </row>
    <row r="387">
      <c r="G387" s="283" t="n"/>
      <c r="H387" s="283" t="n"/>
    </row>
    <row r="388">
      <c r="G388" s="283" t="n"/>
      <c r="H388" s="283" t="n"/>
    </row>
    <row r="389">
      <c r="G389" s="283" t="n"/>
      <c r="H389" s="283" t="n"/>
    </row>
    <row r="390">
      <c r="G390" s="283" t="n"/>
      <c r="H390" s="283" t="n"/>
    </row>
    <row r="391">
      <c r="G391" s="283" t="n"/>
      <c r="H391" s="283" t="n"/>
    </row>
    <row r="392">
      <c r="G392" s="283" t="n"/>
      <c r="H392" s="283" t="n"/>
    </row>
    <row r="393">
      <c r="G393" s="283" t="n"/>
      <c r="H393" s="283" t="n"/>
    </row>
    <row r="394">
      <c r="G394" s="283" t="n"/>
      <c r="H394" s="283" t="n"/>
    </row>
    <row r="395">
      <c r="G395" s="283" t="n"/>
      <c r="H395" s="283" t="n"/>
    </row>
    <row r="396">
      <c r="G396" s="283" t="n"/>
      <c r="H396" s="283" t="n"/>
    </row>
    <row r="397">
      <c r="G397" s="283" t="n"/>
      <c r="H397" s="283" t="n"/>
    </row>
    <row r="398">
      <c r="G398" s="283" t="n"/>
      <c r="H398" s="283" t="n"/>
    </row>
    <row r="399">
      <c r="G399" s="283" t="n"/>
      <c r="H399" s="283" t="n"/>
    </row>
    <row r="400">
      <c r="G400" s="283" t="n"/>
      <c r="H400" s="283" t="n"/>
    </row>
    <row r="401">
      <c r="G401" s="283" t="n"/>
      <c r="H401" s="283" t="n"/>
    </row>
    <row r="402">
      <c r="G402" s="283" t="n"/>
      <c r="H402" s="283" t="n"/>
    </row>
    <row r="403">
      <c r="G403" s="283" t="n"/>
      <c r="H403" s="283" t="n"/>
    </row>
    <row r="404">
      <c r="G404" s="283" t="n"/>
      <c r="H404" s="283" t="n"/>
    </row>
    <row r="405">
      <c r="G405" s="283" t="n"/>
      <c r="H405" s="283" t="n"/>
    </row>
    <row r="406">
      <c r="G406" s="283" t="n"/>
      <c r="H406" s="283" t="n"/>
    </row>
    <row r="407">
      <c r="G407" s="283" t="n"/>
      <c r="H407" s="283" t="n"/>
    </row>
    <row r="408">
      <c r="G408" s="283" t="n"/>
      <c r="H408" s="283" t="n"/>
    </row>
    <row r="409">
      <c r="G409" s="283" t="n"/>
      <c r="H409" s="283" t="n"/>
    </row>
    <row r="410">
      <c r="G410" s="283" t="n"/>
      <c r="H410" s="283" t="n"/>
    </row>
    <row r="411">
      <c r="G411" s="283" t="n"/>
      <c r="H411" s="283" t="n"/>
    </row>
    <row r="412">
      <c r="G412" s="283" t="n"/>
      <c r="H412" s="283" t="n"/>
    </row>
    <row r="413">
      <c r="G413" s="283" t="n"/>
      <c r="H413" s="283" t="n"/>
    </row>
    <row r="414">
      <c r="G414" s="283" t="n"/>
      <c r="H414" s="283" t="n"/>
    </row>
    <row r="415">
      <c r="G415" s="283" t="n"/>
      <c r="H415" s="283" t="n"/>
    </row>
    <row r="416">
      <c r="G416" s="283" t="n"/>
      <c r="H416" s="283" t="n"/>
    </row>
    <row r="417">
      <c r="G417" s="283" t="n"/>
      <c r="H417" s="283" t="n"/>
    </row>
    <row r="418">
      <c r="G418" s="283" t="n"/>
      <c r="H418" s="283" t="n"/>
    </row>
    <row r="419">
      <c r="G419" s="283" t="n"/>
      <c r="H419" s="283" t="n"/>
    </row>
    <row r="420">
      <c r="G420" s="283" t="n"/>
      <c r="H420" s="283" t="n"/>
    </row>
    <row r="421">
      <c r="G421" s="283" t="n"/>
      <c r="H421" s="283" t="n"/>
    </row>
    <row r="422">
      <c r="G422" s="283" t="n"/>
      <c r="H422" s="283" t="n"/>
    </row>
    <row r="423">
      <c r="G423" s="283" t="n"/>
      <c r="H423" s="283" t="n"/>
    </row>
    <row r="424">
      <c r="G424" s="283" t="n"/>
      <c r="H424" s="283" t="n"/>
    </row>
    <row r="425">
      <c r="G425" s="283" t="n"/>
      <c r="H425" s="283" t="n"/>
    </row>
    <row r="426">
      <c r="G426" s="283" t="n"/>
      <c r="H426" s="283" t="n"/>
    </row>
    <row r="427">
      <c r="G427" s="283" t="n"/>
      <c r="H427" s="283" t="n"/>
    </row>
    <row r="428">
      <c r="G428" s="283" t="n"/>
      <c r="H428" s="283" t="n"/>
    </row>
    <row r="429">
      <c r="G429" s="283" t="n"/>
      <c r="H429" s="283" t="n"/>
    </row>
    <row r="430">
      <c r="G430" s="283" t="n"/>
      <c r="H430" s="283" t="n"/>
    </row>
    <row r="431">
      <c r="G431" s="283" t="n"/>
      <c r="H431" s="283" t="n"/>
    </row>
    <row r="432">
      <c r="G432" s="283" t="n"/>
      <c r="H432" s="283" t="n"/>
    </row>
    <row r="433">
      <c r="G433" s="283" t="n"/>
      <c r="H433" s="283" t="n"/>
    </row>
    <row r="434">
      <c r="G434" s="283" t="n"/>
      <c r="H434" s="283" t="n"/>
    </row>
    <row r="435">
      <c r="G435" s="283" t="n"/>
      <c r="H435" s="283" t="n"/>
    </row>
    <row r="436">
      <c r="G436" s="283" t="n"/>
      <c r="H436" s="283" t="n"/>
    </row>
    <row r="437">
      <c r="G437" s="283" t="n"/>
      <c r="H437" s="283" t="n"/>
    </row>
    <row r="438">
      <c r="G438" s="283" t="n"/>
      <c r="H438" s="283" t="n"/>
    </row>
    <row r="439">
      <c r="G439" s="283" t="n"/>
      <c r="H439" s="283" t="n"/>
    </row>
    <row r="440">
      <c r="G440" s="283" t="n"/>
      <c r="H440" s="283" t="n"/>
    </row>
    <row r="441">
      <c r="G441" s="283" t="n"/>
      <c r="H441" s="283" t="n"/>
    </row>
    <row r="442">
      <c r="G442" s="283" t="n"/>
      <c r="H442" s="283" t="n"/>
    </row>
    <row r="443">
      <c r="G443" s="283" t="n"/>
      <c r="H443" s="283" t="n"/>
    </row>
    <row r="444">
      <c r="G444" s="283" t="n"/>
      <c r="H444" s="283" t="n"/>
    </row>
    <row r="445">
      <c r="G445" s="283" t="n"/>
      <c r="H445" s="283" t="n"/>
    </row>
    <row r="446">
      <c r="G446" s="283" t="n"/>
      <c r="H446" s="283" t="n"/>
    </row>
    <row r="447">
      <c r="G447" s="283" t="n"/>
      <c r="H447" s="283" t="n"/>
    </row>
    <row r="448">
      <c r="G448" s="283" t="n"/>
      <c r="H448" s="283" t="n"/>
    </row>
    <row r="449">
      <c r="G449" s="283" t="n"/>
      <c r="H449" s="283" t="n"/>
    </row>
    <row r="450">
      <c r="G450" s="283" t="n"/>
      <c r="H450" s="283" t="n"/>
    </row>
    <row r="451">
      <c r="G451" s="283" t="n"/>
      <c r="H451" s="283" t="n"/>
    </row>
    <row r="452">
      <c r="G452" s="283" t="n"/>
      <c r="H452" s="283" t="n"/>
    </row>
    <row r="453">
      <c r="G453" s="283" t="n"/>
      <c r="H453" s="283" t="n"/>
    </row>
    <row r="454">
      <c r="G454" s="283" t="n"/>
      <c r="H454" s="283" t="n"/>
    </row>
    <row r="455">
      <c r="G455" s="283" t="n"/>
      <c r="H455" s="283" t="n"/>
    </row>
    <row r="456">
      <c r="G456" s="283" t="n"/>
      <c r="H456" s="283" t="n"/>
    </row>
    <row r="457">
      <c r="G457" s="283" t="n"/>
      <c r="H457" s="283" t="n"/>
    </row>
    <row r="458">
      <c r="G458" s="283" t="n"/>
      <c r="H458" s="283" t="n"/>
    </row>
    <row r="459">
      <c r="G459" s="283" t="n"/>
      <c r="H459" s="283" t="n"/>
    </row>
    <row r="460">
      <c r="G460" s="283" t="n"/>
      <c r="H460" s="283" t="n"/>
    </row>
    <row r="461">
      <c r="G461" s="283" t="n"/>
      <c r="H461" s="283" t="n"/>
    </row>
    <row r="462">
      <c r="G462" s="283" t="n"/>
      <c r="H462" s="283" t="n"/>
    </row>
    <row r="463">
      <c r="G463" s="283" t="n"/>
      <c r="H463" s="283" t="n"/>
    </row>
    <row r="464">
      <c r="G464" s="283" t="n"/>
      <c r="H464" s="283" t="n"/>
    </row>
    <row r="465">
      <c r="G465" s="283" t="n"/>
      <c r="H465" s="283" t="n"/>
    </row>
    <row r="466">
      <c r="G466" s="283" t="n"/>
      <c r="H466" s="283" t="n"/>
    </row>
    <row r="467">
      <c r="G467" s="283" t="n"/>
      <c r="H467" s="283" t="n"/>
    </row>
    <row r="468">
      <c r="G468" s="283" t="n"/>
      <c r="H468" s="283" t="n"/>
    </row>
    <row r="469">
      <c r="G469" s="283" t="n"/>
      <c r="H469" s="283" t="n"/>
    </row>
    <row r="470">
      <c r="G470" s="283" t="n"/>
      <c r="H470" s="283" t="n"/>
    </row>
    <row r="471">
      <c r="G471" s="283" t="n"/>
      <c r="H471" s="283" t="n"/>
    </row>
    <row r="472">
      <c r="G472" s="283" t="n"/>
      <c r="H472" s="283" t="n"/>
    </row>
    <row r="473">
      <c r="G473" s="283" t="n"/>
      <c r="H473" s="283" t="n"/>
    </row>
    <row r="474">
      <c r="G474" s="283" t="n"/>
      <c r="H474" s="283" t="n"/>
    </row>
    <row r="475">
      <c r="G475" s="283" t="n"/>
      <c r="H475" s="283" t="n"/>
    </row>
    <row r="476">
      <c r="G476" s="283" t="n"/>
      <c r="H476" s="283" t="n"/>
    </row>
    <row r="477">
      <c r="G477" s="283" t="n"/>
      <c r="H477" s="283" t="n"/>
    </row>
    <row r="478">
      <c r="G478" s="283" t="n"/>
      <c r="H478" s="283" t="n"/>
    </row>
    <row r="479">
      <c r="G479" s="283" t="n"/>
      <c r="H479" s="283" t="n"/>
    </row>
    <row r="480">
      <c r="G480" s="283" t="n"/>
      <c r="H480" s="283" t="n"/>
    </row>
    <row r="481">
      <c r="G481" s="283" t="n"/>
      <c r="H481" s="283" t="n"/>
    </row>
    <row r="482">
      <c r="G482" s="283" t="n"/>
      <c r="H482" s="283" t="n"/>
    </row>
    <row r="483">
      <c r="G483" s="283" t="n"/>
      <c r="H483" s="283" t="n"/>
    </row>
    <row r="484">
      <c r="G484" s="283" t="n"/>
      <c r="H484" s="283" t="n"/>
    </row>
    <row r="485">
      <c r="G485" s="283" t="n"/>
      <c r="H485" s="283" t="n"/>
    </row>
    <row r="486">
      <c r="G486" s="283" t="n"/>
      <c r="H486" s="283" t="n"/>
    </row>
    <row r="487">
      <c r="G487" s="283" t="n"/>
      <c r="H487" s="283" t="n"/>
    </row>
    <row r="488">
      <c r="G488" s="283" t="n"/>
      <c r="H488" s="283" t="n"/>
    </row>
    <row r="489">
      <c r="G489" s="283" t="n"/>
      <c r="H489" s="283" t="n"/>
    </row>
    <row r="490">
      <c r="G490" s="283" t="n"/>
      <c r="H490" s="283" t="n"/>
    </row>
    <row r="491">
      <c r="G491" s="283" t="n"/>
      <c r="H491" s="283" t="n"/>
    </row>
    <row r="492">
      <c r="G492" s="283" t="n"/>
      <c r="H492" s="283" t="n"/>
    </row>
    <row r="493">
      <c r="G493" s="283" t="n"/>
      <c r="H493" s="283" t="n"/>
    </row>
    <row r="494">
      <c r="G494" s="283" t="n"/>
      <c r="H494" s="283" t="n"/>
    </row>
    <row r="495">
      <c r="G495" s="283" t="n"/>
      <c r="H495" s="283" t="n"/>
    </row>
    <row r="496">
      <c r="G496" s="283" t="n"/>
      <c r="H496" s="283" t="n"/>
    </row>
    <row r="497">
      <c r="G497" s="283" t="n"/>
      <c r="H497" s="283" t="n"/>
    </row>
    <row r="498">
      <c r="G498" s="283" t="n"/>
      <c r="H498" s="283" t="n"/>
    </row>
    <row r="499">
      <c r="G499" s="283" t="n"/>
      <c r="H499" s="283" t="n"/>
    </row>
    <row r="500">
      <c r="G500" s="283" t="n"/>
      <c r="H500" s="283" t="n"/>
    </row>
    <row r="501">
      <c r="G501" s="283" t="n"/>
      <c r="H501" s="283" t="n"/>
    </row>
    <row r="502">
      <c r="G502" s="283" t="n"/>
      <c r="H502" s="283" t="n"/>
    </row>
    <row r="503">
      <c r="G503" s="283" t="n"/>
      <c r="H503" s="283" t="n"/>
    </row>
    <row r="504">
      <c r="G504" s="283" t="n"/>
      <c r="H504" s="283" t="n"/>
    </row>
    <row r="505">
      <c r="F505" t="inlineStr">
        <is>
          <t>RUN-20260803061445</t>
        </is>
      </c>
      <c r="G505" s="282" t="n">
        <v>46237.26024921297</v>
      </c>
      <c r="H505" s="282" t="n">
        <v>46237.26024921297</v>
      </c>
      <c r="I505" t="n">
        <v>7</v>
      </c>
      <c r="J505" t="inlineStr">
        <is>
          <t>Success</t>
        </is>
      </c>
    </row>
    <row r="506">
      <c r="F506" t="inlineStr">
        <is>
          <t>RUN-20260804054821</t>
        </is>
      </c>
      <c r="G506" s="282" t="n">
        <v>46238.24191873843</v>
      </c>
      <c r="H506" s="282" t="n">
        <v>46238.24191873843</v>
      </c>
      <c r="I506" t="n">
        <v>6</v>
      </c>
      <c r="J506" t="inlineStr">
        <is>
          <t>Success</t>
        </is>
      </c>
    </row>
    <row r="507">
      <c r="F507" t="inlineStr">
        <is>
          <t>RUN-20260805054700</t>
        </is>
      </c>
      <c r="G507" s="282" t="n">
        <v>46239.24097942129</v>
      </c>
      <c r="H507" s="282" t="n">
        <v>46239.24097942129</v>
      </c>
      <c r="I507" t="n">
        <v>6</v>
      </c>
      <c r="J507" t="inlineStr">
        <is>
          <t>Success</t>
        </is>
      </c>
    </row>
    <row r="508">
      <c r="F508" t="inlineStr">
        <is>
          <t>RUN-20260806055010</t>
        </is>
      </c>
      <c r="G508" s="282" t="n">
        <v>46240.24317934028</v>
      </c>
      <c r="H508" s="282" t="n">
        <v>46240.24317934028</v>
      </c>
      <c r="I508" t="n">
        <v>7</v>
      </c>
      <c r="J508" t="inlineStr">
        <is>
          <t>Success</t>
        </is>
      </c>
    </row>
    <row r="509">
      <c r="F509" t="inlineStr">
        <is>
          <t>RUN-20260807045332</t>
        </is>
      </c>
      <c r="G509" s="282" t="n">
        <v>46241.20385158565</v>
      </c>
      <c r="H509" s="282" t="n">
        <v>46241.20385158565</v>
      </c>
      <c r="I509" t="n">
        <v>7</v>
      </c>
      <c r="J509" t="inlineStr">
        <is>
          <t>Success</t>
        </is>
      </c>
    </row>
    <row r="510">
      <c r="F510" t="inlineStr">
        <is>
          <t>RUN-20260808040649</t>
        </is>
      </c>
      <c r="G510" s="282" t="n">
        <v>46242.17140645834</v>
      </c>
      <c r="H510" s="282" t="n">
        <v>46242.17140645834</v>
      </c>
      <c r="I510" t="n">
        <v>6</v>
      </c>
      <c r="J510" t="inlineStr">
        <is>
          <t>Success</t>
        </is>
      </c>
    </row>
    <row r="511">
      <c r="F511" t="inlineStr">
        <is>
          <t>RUN-20260809041441</t>
        </is>
      </c>
      <c r="G511" s="282" t="n">
        <v>46243.17686518518</v>
      </c>
      <c r="H511" s="282" t="n">
        <v>46243.17686518518</v>
      </c>
      <c r="I511" t="n">
        <v>7</v>
      </c>
      <c r="J511" t="inlineStr">
        <is>
          <t>Success</t>
        </is>
      </c>
    </row>
    <row r="512">
      <c r="F512" t="inlineStr">
        <is>
          <t>RUN-20260810043138</t>
        </is>
      </c>
      <c r="G512" s="282" t="n">
        <v>46244.18863747685</v>
      </c>
      <c r="H512" s="282" t="n">
        <v>46244.18863747685</v>
      </c>
      <c r="I512" t="n">
        <v>7</v>
      </c>
      <c r="J512" t="inlineStr">
        <is>
          <t>Success</t>
        </is>
      </c>
    </row>
    <row r="513">
      <c r="F513" t="inlineStr">
        <is>
          <t>RUN-20260811041724</t>
        </is>
      </c>
      <c r="G513" s="282" t="n">
        <v>46245.178755625</v>
      </c>
      <c r="H513" s="282" t="n">
        <v>46245.178755625</v>
      </c>
      <c r="I513" t="n">
        <v>5</v>
      </c>
      <c r="J513" t="inlineStr">
        <is>
          <t>Success</t>
        </is>
      </c>
    </row>
    <row r="514">
      <c r="F514" t="inlineStr">
        <is>
          <t>RUN-20260812043908</t>
        </is>
      </c>
      <c r="G514" s="282" t="n">
        <v>46246.19384329861</v>
      </c>
      <c r="H514" s="282" t="n">
        <v>46246.19384329861</v>
      </c>
      <c r="I514" t="n">
        <v>5</v>
      </c>
      <c r="J514" t="inlineStr">
        <is>
          <t>Success</t>
        </is>
      </c>
    </row>
    <row r="515">
      <c r="F515" t="inlineStr">
        <is>
          <t>RUN-20260813044143</t>
        </is>
      </c>
      <c r="G515" s="282" t="n">
        <v>46247.19564244213</v>
      </c>
      <c r="H515" s="282" t="n">
        <v>46247.19564244213</v>
      </c>
      <c r="I515" t="n">
        <v>5</v>
      </c>
      <c r="J515" t="inlineStr">
        <is>
          <t>Success</t>
        </is>
      </c>
    </row>
    <row r="516">
      <c r="F516" t="inlineStr">
        <is>
          <t>RUN-20260814043851</t>
        </is>
      </c>
      <c r="G516" s="282" t="n">
        <v>46248.19364603009</v>
      </c>
      <c r="H516" s="282" t="n">
        <v>46248.19364603009</v>
      </c>
      <c r="I516" t="n">
        <v>5</v>
      </c>
      <c r="J516" t="inlineStr">
        <is>
          <t>Success</t>
        </is>
      </c>
    </row>
    <row r="517">
      <c r="F517" t="inlineStr">
        <is>
          <t>RUN-20260815032903</t>
        </is>
      </c>
      <c r="G517" s="282" t="n">
        <v>46249.14518179398</v>
      </c>
      <c r="H517" s="282" t="n">
        <v>46249.14518179398</v>
      </c>
      <c r="I517" t="n">
        <v>5</v>
      </c>
      <c r="J517" t="inlineStr">
        <is>
          <t>Success</t>
        </is>
      </c>
    </row>
    <row r="518">
      <c r="F518" t="inlineStr">
        <is>
          <t>RUN-20260816034345</t>
        </is>
      </c>
      <c r="G518" s="282" t="n">
        <v>46250.15539133102</v>
      </c>
      <c r="H518" s="282" t="n">
        <v>46250.15539133102</v>
      </c>
      <c r="I518" t="n">
        <v>4</v>
      </c>
      <c r="J518" t="inlineStr">
        <is>
          <t>Success</t>
        </is>
      </c>
    </row>
    <row r="519">
      <c r="F519" t="inlineStr">
        <is>
          <t>RUN-20260817034446</t>
        </is>
      </c>
      <c r="G519" s="282" t="n">
        <v>46251.15609918981</v>
      </c>
      <c r="H519" s="282" t="n">
        <v>46251.15609918981</v>
      </c>
      <c r="I519" t="n">
        <v>4</v>
      </c>
      <c r="J519" t="inlineStr">
        <is>
          <t>Success</t>
        </is>
      </c>
    </row>
    <row r="520">
      <c r="F520" t="inlineStr">
        <is>
          <t>RUN-20260818034234</t>
        </is>
      </c>
      <c r="G520" s="282" t="n">
        <v>46252.15456612268</v>
      </c>
      <c r="H520" s="282" t="n">
        <v>46252.15456612268</v>
      </c>
      <c r="I520" t="n">
        <v>4</v>
      </c>
      <c r="J520" t="inlineStr">
        <is>
          <t>Success</t>
        </is>
      </c>
    </row>
    <row r="521">
      <c r="F521" t="inlineStr">
        <is>
          <t>RUN-20260819034152</t>
        </is>
      </c>
      <c r="G521" s="282" t="n">
        <v>46253.1540762963</v>
      </c>
      <c r="H521" s="282" t="n">
        <v>46253.1540762963</v>
      </c>
      <c r="I521" t="n">
        <v>4</v>
      </c>
      <c r="J521" t="inlineStr">
        <is>
          <t>Success</t>
        </is>
      </c>
    </row>
    <row r="522">
      <c r="F522" t="inlineStr">
        <is>
          <t>RUN-20260820034128</t>
        </is>
      </c>
      <c r="G522" s="282" t="n">
        <v>46254.15379770834</v>
      </c>
      <c r="H522" s="282" t="n">
        <v>46254.15379770834</v>
      </c>
      <c r="I522" t="n">
        <v>4</v>
      </c>
      <c r="J522" t="inlineStr">
        <is>
          <t>Success</t>
        </is>
      </c>
    </row>
    <row r="523">
      <c r="F523" t="inlineStr">
        <is>
          <t>RUN-20260821034649</t>
        </is>
      </c>
      <c r="G523" s="282" t="n">
        <v>46255.15751607639</v>
      </c>
      <c r="H523" s="282" t="n">
        <v>46255.15751607639</v>
      </c>
      <c r="I523" t="n">
        <v>4</v>
      </c>
      <c r="J523" t="inlineStr">
        <is>
          <t>Success</t>
        </is>
      </c>
    </row>
    <row r="524">
      <c r="F524" t="inlineStr">
        <is>
          <t>RUN-20260822033716</t>
        </is>
      </c>
      <c r="G524" s="282" t="n">
        <v>46256.15089005787</v>
      </c>
      <c r="H524" s="282" t="n">
        <v>46256.15089005787</v>
      </c>
      <c r="I524" t="n">
        <v>3</v>
      </c>
      <c r="J524" t="inlineStr">
        <is>
          <t>Success</t>
        </is>
      </c>
    </row>
    <row r="525">
      <c r="F525" t="inlineStr">
        <is>
          <t>RUN-20260823034618</t>
        </is>
      </c>
      <c r="G525" s="282" t="n">
        <v>46257.15715361111</v>
      </c>
      <c r="H525" s="282" t="n">
        <v>46257.15715361111</v>
      </c>
      <c r="I525" t="n">
        <v>3</v>
      </c>
      <c r="J525" t="inlineStr">
        <is>
          <t>Success</t>
        </is>
      </c>
    </row>
    <row r="526">
      <c r="F526" t="inlineStr">
        <is>
          <t>RUN-20260824034817</t>
        </is>
      </c>
      <c r="G526" s="282" t="n">
        <v>46258.15853428241</v>
      </c>
      <c r="H526" s="282" t="n">
        <v>46258.15853428241</v>
      </c>
      <c r="I526" t="n">
        <v>3</v>
      </c>
      <c r="J526" t="inlineStr">
        <is>
          <t>Success</t>
        </is>
      </c>
    </row>
    <row r="527">
      <c r="F527" t="inlineStr">
        <is>
          <t>RUN-20260825034916</t>
        </is>
      </c>
      <c r="G527" s="282" t="n">
        <v>46259.15922153935</v>
      </c>
      <c r="H527" s="282" t="n">
        <v>46259.15922153935</v>
      </c>
      <c r="I527" t="n">
        <v>3</v>
      </c>
      <c r="J527" t="inlineStr">
        <is>
          <t>Success</t>
        </is>
      </c>
    </row>
    <row r="528">
      <c r="F528" t="inlineStr">
        <is>
          <t>RUN-20260826035221</t>
        </is>
      </c>
      <c r="G528" s="282" t="n">
        <v>46260.16136023148</v>
      </c>
      <c r="H528" s="282" t="n">
        <v>46260.16136023148</v>
      </c>
      <c r="I528" t="n">
        <v>3</v>
      </c>
      <c r="J528" t="inlineStr">
        <is>
          <t>Success</t>
        </is>
      </c>
    </row>
    <row r="529">
      <c r="F529" t="inlineStr">
        <is>
          <t>RUN-20260827131529</t>
        </is>
      </c>
      <c r="G529" s="282" t="n">
        <v>46261.55242623843</v>
      </c>
      <c r="H529" s="282" t="n">
        <v>46261.55242623843</v>
      </c>
      <c r="I529" t="n">
        <v>4</v>
      </c>
      <c r="J529" t="inlineStr">
        <is>
          <t>Success</t>
        </is>
      </c>
    </row>
    <row r="530">
      <c r="F530" t="inlineStr">
        <is>
          <t>RUN-20260828145928</t>
        </is>
      </c>
      <c r="G530" s="282" t="n">
        <v>46262.62463510417</v>
      </c>
      <c r="H530" s="282" t="n">
        <v>46262.62463510417</v>
      </c>
      <c r="I530" t="n">
        <v>4</v>
      </c>
      <c r="J530" t="inlineStr">
        <is>
          <t>Success</t>
        </is>
      </c>
    </row>
    <row r="531">
      <c r="F531" t="inlineStr">
        <is>
          <t>RUN-20260829094805</t>
        </is>
      </c>
      <c r="G531" s="282" t="n">
        <v>46263.40839206018</v>
      </c>
      <c r="H531" s="282" t="n">
        <v>46263.40839206018</v>
      </c>
      <c r="I531" t="n">
        <v>4</v>
      </c>
      <c r="J531" t="inlineStr">
        <is>
          <t>Success</t>
        </is>
      </c>
    </row>
    <row r="532">
      <c r="F532" t="inlineStr">
        <is>
          <t>RUN-20260830084457</t>
        </is>
      </c>
      <c r="G532" s="282" t="n">
        <v>46264.36455835648</v>
      </c>
      <c r="H532" s="282" t="n">
        <v>46264.36455835648</v>
      </c>
      <c r="I532" t="n">
        <v>4</v>
      </c>
      <c r="J532" t="inlineStr">
        <is>
          <t>Success</t>
        </is>
      </c>
    </row>
    <row r="533">
      <c r="F533" t="inlineStr">
        <is>
          <t>RUN-20260831090525</t>
        </is>
      </c>
      <c r="G533" s="282" t="n">
        <v>46265.37876917824</v>
      </c>
      <c r="H533" s="282" t="n">
        <v>46265.37876917824</v>
      </c>
      <c r="I533" t="n">
        <v>4</v>
      </c>
      <c r="J533" t="inlineStr">
        <is>
          <t>Success</t>
        </is>
      </c>
    </row>
    <row r="534">
      <c r="F534" t="inlineStr">
        <is>
          <t>RUN-20260901081246</t>
        </is>
      </c>
      <c r="G534" s="282" t="n">
        <v>46266.34220821759</v>
      </c>
      <c r="H534" s="282" t="n">
        <v>46266.34220821759</v>
      </c>
      <c r="I534" t="n">
        <v>4</v>
      </c>
      <c r="J534" t="inlineStr">
        <is>
          <t>Success</t>
        </is>
      </c>
    </row>
    <row r="535">
      <c r="F535" t="inlineStr">
        <is>
          <t>RUN-20260902073225</t>
        </is>
      </c>
      <c r="G535" s="282" t="n">
        <v>46267.31418196759</v>
      </c>
      <c r="H535" s="282" t="n">
        <v>46267.31418196759</v>
      </c>
      <c r="I535" t="n">
        <v>4</v>
      </c>
      <c r="J535" t="inlineStr">
        <is>
          <t>Success</t>
        </is>
      </c>
    </row>
    <row r="536">
      <c r="F536" t="inlineStr">
        <is>
          <t>RUN-20260903073530</t>
        </is>
      </c>
      <c r="G536" s="282" t="n">
        <v>46268.31632459491</v>
      </c>
      <c r="H536" s="282" t="n">
        <v>46268.31632459491</v>
      </c>
      <c r="I536" t="n">
        <v>4</v>
      </c>
      <c r="J536" t="inlineStr">
        <is>
          <t>Success</t>
        </is>
      </c>
    </row>
    <row r="537">
      <c r="F537" t="inlineStr">
        <is>
          <t>RUN-20260904073811</t>
        </is>
      </c>
      <c r="G537" s="282" t="n">
        <v>46269.31819381945</v>
      </c>
      <c r="H537" s="282" t="n">
        <v>46269.31819381945</v>
      </c>
      <c r="I537" t="n">
        <v>5</v>
      </c>
      <c r="J537" t="inlineStr">
        <is>
          <t>Success</t>
        </is>
      </c>
    </row>
    <row r="538">
      <c r="F538" t="inlineStr">
        <is>
          <t>RUN-20260905072011</t>
        </is>
      </c>
      <c r="G538" s="282" t="n">
        <v>46270.30568662037</v>
      </c>
      <c r="H538" s="282" t="n">
        <v>46270.30568662037</v>
      </c>
      <c r="I538" t="n">
        <v>5</v>
      </c>
      <c r="J538" t="inlineStr">
        <is>
          <t>Success</t>
        </is>
      </c>
    </row>
    <row r="539">
      <c r="F539" t="inlineStr">
        <is>
          <t>RUN-20260906072907</t>
        </is>
      </c>
      <c r="G539" s="282" t="n">
        <v>46271.31189354166</v>
      </c>
      <c r="H539" s="282" t="n">
        <v>46271.31189354166</v>
      </c>
      <c r="I539" t="n">
        <v>5</v>
      </c>
      <c r="J539" t="inlineStr">
        <is>
          <t>Success</t>
        </is>
      </c>
    </row>
    <row r="540">
      <c r="F540" t="inlineStr">
        <is>
          <t>RUN-20260907074238</t>
        </is>
      </c>
      <c r="G540" s="282" t="n">
        <v>46272.32128460648</v>
      </c>
      <c r="H540" s="282" t="n">
        <v>46272.32128460648</v>
      </c>
      <c r="I540" t="n">
        <v>5</v>
      </c>
      <c r="J540" t="inlineStr">
        <is>
          <t>Success</t>
        </is>
      </c>
    </row>
    <row r="541">
      <c r="F541" t="inlineStr">
        <is>
          <t>RUN-20260908073621</t>
        </is>
      </c>
      <c r="G541" s="282" t="n">
        <v>46273.31691011574</v>
      </c>
      <c r="H541" s="282" t="n">
        <v>46273.31691011574</v>
      </c>
      <c r="I541" t="n">
        <v>5</v>
      </c>
      <c r="J541" t="inlineStr">
        <is>
          <t>Success</t>
        </is>
      </c>
    </row>
    <row r="542">
      <c r="F542" t="inlineStr">
        <is>
          <t>RUN-20260909074716</t>
        </is>
      </c>
      <c r="G542" s="282" t="n">
        <v>46274.32449530093</v>
      </c>
      <c r="H542" s="282" t="n">
        <v>46274.32449530093</v>
      </c>
      <c r="I542" t="n">
        <v>5</v>
      </c>
      <c r="J542" t="inlineStr">
        <is>
          <t>Success</t>
        </is>
      </c>
    </row>
    <row r="543">
      <c r="F543" t="inlineStr">
        <is>
          <t>RUN-20260910074546</t>
        </is>
      </c>
      <c r="G543" s="282" t="n">
        <v>46275.32344958333</v>
      </c>
      <c r="H543" s="282" t="n">
        <v>46275.32344958333</v>
      </c>
      <c r="I543" t="n">
        <v>4</v>
      </c>
      <c r="J543" t="inlineStr">
        <is>
          <t>Success</t>
        </is>
      </c>
    </row>
    <row r="544">
      <c r="F544" t="inlineStr">
        <is>
          <t>RUN-20260911074502</t>
        </is>
      </c>
      <c r="G544" s="282" t="n">
        <v>46276.32294340277</v>
      </c>
      <c r="H544" s="282" t="n">
        <v>46276.32294340277</v>
      </c>
      <c r="I544" t="n">
        <v>4</v>
      </c>
      <c r="J544" t="inlineStr">
        <is>
          <t>Success</t>
        </is>
      </c>
    </row>
    <row r="545">
      <c r="F545" t="inlineStr">
        <is>
          <t>RUN-20260912073623</t>
        </is>
      </c>
      <c r="G545" s="282" t="n">
        <v>46277.31693344907</v>
      </c>
      <c r="H545" s="282" t="n">
        <v>46277.31693344907</v>
      </c>
      <c r="I545" t="n">
        <v>4</v>
      </c>
      <c r="J545" t="inlineStr">
        <is>
          <t>Success</t>
        </is>
      </c>
    </row>
    <row r="546">
      <c r="F546" t="inlineStr">
        <is>
          <t>RUN-20260913075449</t>
        </is>
      </c>
      <c r="G546" s="282" t="n">
        <v>46278.32974081019</v>
      </c>
      <c r="H546" s="282" t="n">
        <v>46278.32974081019</v>
      </c>
      <c r="I546" t="n">
        <v>4</v>
      </c>
      <c r="J546" t="inlineStr">
        <is>
          <t>Success</t>
        </is>
      </c>
    </row>
    <row r="547">
      <c r="F547" t="inlineStr">
        <is>
          <t>RUN-20260914082122</t>
        </is>
      </c>
      <c r="G547" s="282" t="n">
        <v>46279.34817539352</v>
      </c>
      <c r="H547" s="282" t="n">
        <v>46279.34817539352</v>
      </c>
      <c r="I547" t="n">
        <v>4</v>
      </c>
      <c r="J547" t="inlineStr">
        <is>
          <t>Success</t>
        </is>
      </c>
    </row>
    <row r="548">
      <c r="F548" t="inlineStr">
        <is>
          <t>RUN-20260915081629</t>
        </is>
      </c>
      <c r="G548" s="282" t="n">
        <v>46280.34479024306</v>
      </c>
      <c r="H548" s="282" t="n">
        <v>46280.34479024306</v>
      </c>
      <c r="I548" t="n">
        <v>4</v>
      </c>
      <c r="J548" t="inlineStr">
        <is>
          <t>Success</t>
        </is>
      </c>
    </row>
    <row r="549">
      <c r="F549" t="inlineStr">
        <is>
          <t>RUN-20260916080937</t>
        </is>
      </c>
      <c r="G549" s="282" t="n">
        <v>46281.34001232639</v>
      </c>
      <c r="H549" s="282" t="n">
        <v>46281.34001232639</v>
      </c>
      <c r="I549" t="n">
        <v>5</v>
      </c>
      <c r="J549" t="inlineStr">
        <is>
          <t>Success</t>
        </is>
      </c>
    </row>
    <row r="550">
      <c r="F550" t="inlineStr">
        <is>
          <t>RUN-20260917081321</t>
        </is>
      </c>
      <c r="G550" s="282" t="n">
        <v>46282.34260677084</v>
      </c>
      <c r="H550" s="282" t="n">
        <v>46282.34260677084</v>
      </c>
      <c r="I550" t="n">
        <v>5</v>
      </c>
      <c r="J550" t="inlineStr">
        <is>
          <t>Success</t>
        </is>
      </c>
    </row>
    <row r="551">
      <c r="F551" t="inlineStr">
        <is>
          <t>RUN-20260918075207</t>
        </is>
      </c>
      <c r="G551" s="282" t="n">
        <v>46283.32786853009</v>
      </c>
      <c r="H551" s="282" t="n">
        <v>46283.32786853009</v>
      </c>
      <c r="I551" t="n">
        <v>5</v>
      </c>
      <c r="J551" t="inlineStr">
        <is>
          <t>Success</t>
        </is>
      </c>
    </row>
    <row r="552">
      <c r="F552" t="inlineStr">
        <is>
          <t>RUN-20260919074249</t>
        </is>
      </c>
      <c r="G552" s="282" t="n">
        <v>46284.32140619213</v>
      </c>
      <c r="H552" s="282" t="n">
        <v>46284.32140619213</v>
      </c>
      <c r="I552" t="n">
        <v>5</v>
      </c>
      <c r="J552" t="inlineStr">
        <is>
          <t>Success</t>
        </is>
      </c>
    </row>
    <row r="553">
      <c r="F553" t="inlineStr">
        <is>
          <t>RUN-20260920080642</t>
        </is>
      </c>
      <c r="G553" s="282" t="n">
        <v>46285.33799760417</v>
      </c>
      <c r="H553" s="282" t="n">
        <v>46285.33799760417</v>
      </c>
      <c r="I553" t="n">
        <v>5</v>
      </c>
      <c r="J553" t="inlineStr">
        <is>
          <t>Success</t>
        </is>
      </c>
    </row>
    <row r="554">
      <c r="F554" t="inlineStr">
        <is>
          <t>RUN-20260921082202</t>
        </is>
      </c>
      <c r="G554" s="282" t="n">
        <v>46286.34863550926</v>
      </c>
      <c r="H554" s="282" t="n">
        <v>46286.34863550926</v>
      </c>
      <c r="I554" t="n">
        <v>5</v>
      </c>
      <c r="J554" t="inlineStr">
        <is>
          <t>Success</t>
        </is>
      </c>
    </row>
    <row r="555">
      <c r="F555" t="inlineStr">
        <is>
          <t>RUN-20260922080639</t>
        </is>
      </c>
      <c r="G555" s="282" t="n">
        <v>46287.33795510417</v>
      </c>
      <c r="H555" s="282" t="n">
        <v>46287.33795510417</v>
      </c>
      <c r="I555" t="n">
        <v>5</v>
      </c>
      <c r="J555" t="inlineStr">
        <is>
          <t>Success</t>
        </is>
      </c>
    </row>
    <row r="556">
      <c r="F556" t="inlineStr">
        <is>
          <t>RUN-20260923080828</t>
        </is>
      </c>
      <c r="G556" s="282" t="n">
        <v>46288.33922283565</v>
      </c>
      <c r="H556" s="282" t="n">
        <v>46288.33922283565</v>
      </c>
      <c r="I556" t="n">
        <v>5</v>
      </c>
      <c r="J556" t="inlineStr">
        <is>
          <t>Success</t>
        </is>
      </c>
    </row>
    <row r="557">
      <c r="F557" t="inlineStr">
        <is>
          <t>RUN-20260924080327</t>
        </is>
      </c>
      <c r="G557" s="282" t="n">
        <v>46289.33573952546</v>
      </c>
      <c r="H557" s="282" t="n">
        <v>46289.33573952546</v>
      </c>
      <c r="I557" t="n">
        <v>7</v>
      </c>
      <c r="J557" t="inlineStr">
        <is>
          <t>Success</t>
        </is>
      </c>
    </row>
    <row r="558">
      <c r="F558" t="inlineStr">
        <is>
          <t>RUN-20260925082335</t>
        </is>
      </c>
      <c r="G558" s="282" t="n">
        <v>46290.34971645833</v>
      </c>
      <c r="H558" s="282" t="n">
        <v>46290.34971645833</v>
      </c>
      <c r="I558" t="n">
        <v>5</v>
      </c>
      <c r="J558" t="inlineStr">
        <is>
          <t>Success</t>
        </is>
      </c>
    </row>
    <row r="559">
      <c r="F559" t="inlineStr">
        <is>
          <t>RUN-20260926081427</t>
        </is>
      </c>
      <c r="G559" s="282" t="n">
        <v>46291.34337038195</v>
      </c>
      <c r="H559" s="282" t="n">
        <v>46291.34337038195</v>
      </c>
      <c r="I559" t="n">
        <v>4</v>
      </c>
      <c r="J559" t="inlineStr">
        <is>
          <t>Success</t>
        </is>
      </c>
    </row>
    <row r="560">
      <c r="F560" t="inlineStr">
        <is>
          <t>RUN-20260927084608</t>
        </is>
      </c>
      <c r="G560" s="282" t="n">
        <v>46292.36537278935</v>
      </c>
      <c r="H560" s="282" t="n">
        <v>46292.36537278935</v>
      </c>
      <c r="I560" t="n">
        <v>4</v>
      </c>
      <c r="J560" t="inlineStr">
        <is>
          <t>Success</t>
        </is>
      </c>
    </row>
    <row r="561">
      <c r="F561" t="inlineStr">
        <is>
          <t>RUN-20260928091120</t>
        </is>
      </c>
      <c r="G561" s="282" t="n">
        <v>46293.38288064815</v>
      </c>
      <c r="H561" s="282" t="n">
        <v>46293.38288064815</v>
      </c>
      <c r="I561" t="n">
        <v>4</v>
      </c>
      <c r="J561" t="inlineStr">
        <is>
          <t>Success</t>
        </is>
      </c>
    </row>
    <row r="562">
      <c r="F562" t="inlineStr">
        <is>
          <t>RUN-20260929091023</t>
        </is>
      </c>
      <c r="G562" s="282" t="n">
        <v>46294.38221924769</v>
      </c>
      <c r="H562" s="282" t="n">
        <v>46294.38221924769</v>
      </c>
      <c r="I562" t="n">
        <v>4</v>
      </c>
      <c r="J562" t="inlineStr">
        <is>
          <t>Success</t>
        </is>
      </c>
    </row>
    <row r="563">
      <c r="F563" t="inlineStr">
        <is>
          <t>RUN-20260930091104</t>
        </is>
      </c>
      <c r="G563" s="282" t="n">
        <v>46295.38268613426</v>
      </c>
      <c r="H563" s="282" t="n">
        <v>46295.38268613426</v>
      </c>
      <c r="I563" t="n">
        <v>4</v>
      </c>
      <c r="J563" t="inlineStr">
        <is>
          <t>Success</t>
        </is>
      </c>
    </row>
    <row r="564">
      <c r="F564" t="inlineStr">
        <is>
          <t>RUN-20261002090813</t>
        </is>
      </c>
      <c r="G564" s="282" t="n">
        <v>46297.38071684028</v>
      </c>
      <c r="H564" s="282" t="n">
        <v>46297.38071684028</v>
      </c>
      <c r="I564" t="n">
        <v>5</v>
      </c>
      <c r="J564" t="inlineStr">
        <is>
          <t>Success</t>
        </is>
      </c>
    </row>
    <row r="565">
      <c r="F565" t="inlineStr">
        <is>
          <t>RUN-20261003084517</t>
        </is>
      </c>
      <c r="G565" s="282" t="n">
        <v>46298.36478947916</v>
      </c>
      <c r="H565" s="282" t="n">
        <v>46298.36478947916</v>
      </c>
      <c r="I565" t="n">
        <v>5</v>
      </c>
      <c r="J565" t="inlineStr">
        <is>
          <t>Success</t>
        </is>
      </c>
    </row>
    <row r="566">
      <c r="F566" t="inlineStr">
        <is>
          <t>RUN-20261004085827</t>
        </is>
      </c>
      <c r="G566" s="282" t="n">
        <v>46299.37393273148</v>
      </c>
      <c r="H566" s="282" t="n">
        <v>46299.37393273148</v>
      </c>
      <c r="I566" t="n">
        <v>5</v>
      </c>
      <c r="J566" t="inlineStr">
        <is>
          <t>Success</t>
        </is>
      </c>
    </row>
    <row r="567">
      <c r="F567" t="inlineStr">
        <is>
          <t>RUN-20261005094623</t>
        </is>
      </c>
      <c r="G567" s="282" t="n">
        <v>46300.40721891203</v>
      </c>
      <c r="H567" s="282" t="n">
        <v>46300.40721891203</v>
      </c>
      <c r="I567" t="n">
        <v>5</v>
      </c>
      <c r="J567" t="inlineStr">
        <is>
          <t>Success</t>
        </is>
      </c>
    </row>
    <row r="568">
      <c r="F568" t="inlineStr">
        <is>
          <t>RUN-20261006093224</t>
        </is>
      </c>
      <c r="G568" s="282" t="n">
        <v>46301.39750408565</v>
      </c>
      <c r="H568" s="282" t="n">
        <v>46301.39750408565</v>
      </c>
      <c r="I568" t="n">
        <v>6</v>
      </c>
      <c r="J568" t="inlineStr">
        <is>
          <t>Success</t>
        </is>
      </c>
    </row>
    <row r="569">
      <c r="F569" t="inlineStr">
        <is>
          <t>RUN-20261007092222</t>
        </is>
      </c>
      <c r="G569" s="282" t="n">
        <v>46302.39054269676</v>
      </c>
      <c r="H569" s="282" t="n">
        <v>46302.39054269676</v>
      </c>
      <c r="I569" t="n">
        <v>6</v>
      </c>
      <c r="J569" t="inlineStr">
        <is>
          <t>Success</t>
        </is>
      </c>
    </row>
    <row r="570">
      <c r="F570" t="inlineStr">
        <is>
          <t>RUN-20261008093758</t>
        </is>
      </c>
      <c r="G570" s="282" t="n">
        <v>46303.40137706019</v>
      </c>
      <c r="H570" s="282" t="n">
        <v>46303.40137706019</v>
      </c>
      <c r="I570" t="n">
        <v>8</v>
      </c>
      <c r="J570" t="inlineStr">
        <is>
          <t>Success</t>
        </is>
      </c>
    </row>
    <row r="571">
      <c r="F571" t="inlineStr">
        <is>
          <t>RUN-20261009094522</t>
        </is>
      </c>
      <c r="G571" s="282" t="n">
        <v>46304.40651123843</v>
      </c>
      <c r="H571" s="282" t="n">
        <v>46304.40651123843</v>
      </c>
      <c r="I571" t="n">
        <v>8</v>
      </c>
      <c r="J571" t="inlineStr">
        <is>
          <t>Success</t>
        </is>
      </c>
    </row>
    <row r="572">
      <c r="F572" t="inlineStr">
        <is>
          <t>RUN-20261010090645</t>
        </is>
      </c>
      <c r="G572" s="282" t="n">
        <v>46305.37969412037</v>
      </c>
      <c r="H572" s="282" t="n">
        <v>46305.37969412037</v>
      </c>
      <c r="I572" t="n">
        <v>8</v>
      </c>
      <c r="J572" t="inlineStr">
        <is>
          <t>Success</t>
        </is>
      </c>
    </row>
    <row r="573">
      <c r="F573" t="inlineStr">
        <is>
          <t>RUN-20261011092844</t>
        </is>
      </c>
      <c r="G573" s="282" t="n">
        <v>46306.39496496528</v>
      </c>
      <c r="H573" s="282" t="n">
        <v>46306.39496496528</v>
      </c>
      <c r="I573" t="n">
        <v>8</v>
      </c>
      <c r="J573" t="inlineStr">
        <is>
          <t>Success</t>
        </is>
      </c>
    </row>
    <row r="574">
      <c r="F574" t="inlineStr">
        <is>
          <t>RUN-20261012095624</t>
        </is>
      </c>
      <c r="G574" s="282" t="n">
        <v>46307.414168125</v>
      </c>
      <c r="H574" s="282" t="n">
        <v>46307.414168125</v>
      </c>
      <c r="I574" t="n">
        <v>8</v>
      </c>
      <c r="J574" t="inlineStr">
        <is>
          <t>Success</t>
        </is>
      </c>
    </row>
    <row r="575">
      <c r="F575" t="inlineStr">
        <is>
          <t>RUN-20261013095934</t>
        </is>
      </c>
      <c r="G575" s="282" t="n">
        <v>46308.41637672453</v>
      </c>
      <c r="H575" s="282" t="n">
        <v>46308.41637672453</v>
      </c>
      <c r="I575" t="n">
        <v>8</v>
      </c>
      <c r="J575" t="inlineStr">
        <is>
          <t>Success</t>
        </is>
      </c>
    </row>
    <row r="576">
      <c r="F576" t="inlineStr">
        <is>
          <t>RUN-20261014081620</t>
        </is>
      </c>
      <c r="G576" s="282" t="n">
        <v>46309.34468503472</v>
      </c>
      <c r="H576" s="282" t="n">
        <v>46309.34468503472</v>
      </c>
      <c r="I576" t="n">
        <v>9</v>
      </c>
      <c r="J576" t="inlineStr">
        <is>
          <t>Success</t>
        </is>
      </c>
    </row>
    <row r="577">
      <c r="F577" t="inlineStr">
        <is>
          <t>RUN-20261015075754</t>
        </is>
      </c>
      <c r="G577" s="282" t="n">
        <v>46310.3318830787</v>
      </c>
      <c r="H577" s="282" t="n">
        <v>46310.3318830787</v>
      </c>
      <c r="I577" t="n">
        <v>12</v>
      </c>
      <c r="J577" t="inlineStr">
        <is>
          <t>Success</t>
        </is>
      </c>
    </row>
    <row r="578">
      <c r="F578" t="inlineStr">
        <is>
          <t>RUN-20261016074446</t>
        </is>
      </c>
      <c r="G578" s="282" t="n">
        <v>46311.32275737268</v>
      </c>
      <c r="H578" s="282" t="n">
        <v>46311.32275737268</v>
      </c>
      <c r="I578" t="n">
        <v>12</v>
      </c>
      <c r="J578" t="inlineStr">
        <is>
          <t>Success</t>
        </is>
      </c>
    </row>
    <row r="579">
      <c r="F579" t="inlineStr">
        <is>
          <t>RUN-20261017072600</t>
        </is>
      </c>
      <c r="G579" s="282" t="n">
        <v>46312.30972229487</v>
      </c>
      <c r="H579" s="282" t="n">
        <v>46312.30972229487</v>
      </c>
      <c r="I579" t="n">
        <v>14</v>
      </c>
      <c r="J579" t="inlineStr">
        <is>
          <t>Success</t>
        </is>
      </c>
    </row>
  </sheetData>
  <mergeCells count="1">
    <mergeCell ref="A1:J2"/>
  </mergeCells>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18" customWidth="1" style="64" min="1" max="1"/>
    <col width="22" customWidth="1" style="64" min="2" max="2"/>
    <col width="20" customWidth="1" style="64" min="3" max="3"/>
    <col width="46" customWidth="1" style="64" min="4" max="4"/>
    <col width="24" customWidth="1" style="64" min="5" max="5"/>
    <col width="18" customWidth="1" style="64" min="6" max="6"/>
    <col width="14" customWidth="1" style="64" min="7" max="7"/>
    <col width="12" customWidth="1" style="64" min="8" max="8"/>
    <col width="12" customWidth="1" style="64" min="9" max="9"/>
    <col width="16" customWidth="1" style="64" min="10" max="10"/>
    <col width="38" customWidth="1" style="64" min="11" max="11"/>
  </cols>
  <sheetData>
    <row r="1">
      <c r="A1" s="304" t="inlineStr">
        <is>
          <t>V13 Dedicated Connector Health</t>
        </is>
      </c>
      <c r="B1" s="1" t="n"/>
      <c r="C1" s="1" t="n"/>
      <c r="D1" s="1" t="n"/>
      <c r="E1" s="1" t="n"/>
      <c r="F1" s="1" t="n"/>
      <c r="G1" s="1" t="n"/>
      <c r="H1" s="1" t="n"/>
      <c r="I1" s="1" t="n"/>
      <c r="J1" s="1" t="n"/>
      <c r="K1" s="1" t="n"/>
    </row>
    <row r="2">
      <c r="A2" s="1" t="n"/>
      <c r="B2" s="1" t="n"/>
      <c r="C2" s="1" t="n"/>
      <c r="D2" s="1" t="n"/>
      <c r="E2" s="1" t="n"/>
      <c r="F2" s="1" t="n"/>
      <c r="G2" s="1" t="n"/>
      <c r="H2" s="1" t="n"/>
      <c r="I2" s="1" t="n"/>
      <c r="J2" s="1" t="n"/>
      <c r="K2" s="1" t="n"/>
    </row>
    <row r="3">
      <c r="A3" s="305" t="inlineStr">
        <is>
          <t>Each agency has its own connector module. Runtime health, extracted counts and failures are written by GitHub Actions.</t>
        </is>
      </c>
      <c r="B3" s="1" t="n"/>
      <c r="C3" s="1" t="n"/>
      <c r="D3" s="1" t="n"/>
      <c r="E3" s="1" t="n"/>
      <c r="F3" s="1" t="n"/>
      <c r="G3" s="1" t="n"/>
      <c r="H3" s="1" t="n"/>
      <c r="I3" s="1" t="n"/>
      <c r="J3" s="1" t="n"/>
      <c r="K3" s="1" t="n"/>
    </row>
    <row r="5">
      <c r="A5" s="248" t="inlineStr">
        <is>
          <t>Category</t>
        </is>
      </c>
      <c r="B5" s="248" t="inlineStr">
        <is>
          <t>Agency</t>
        </is>
      </c>
      <c r="C5" s="248" t="inlineStr">
        <is>
          <t>Connector Module</t>
        </is>
      </c>
      <c r="D5" s="248" t="inlineStr">
        <is>
          <t>Source URL</t>
        </is>
      </c>
      <c r="E5" s="248" t="inlineStr">
        <is>
          <t>Connector Type</t>
        </is>
      </c>
      <c r="F5" s="248" t="inlineStr">
        <is>
          <t>Last Run</t>
        </is>
      </c>
      <c r="G5" s="248" t="inlineStr">
        <is>
          <t>Records Found</t>
        </is>
      </c>
      <c r="H5" s="248" t="inlineStr">
        <is>
          <t>Accepted</t>
        </is>
      </c>
      <c r="I5" s="248" t="inlineStr">
        <is>
          <t>Rejected</t>
        </is>
      </c>
      <c r="J5" s="248" t="inlineStr">
        <is>
          <t>Status</t>
        </is>
      </c>
      <c r="K5" s="248" t="inlineStr">
        <is>
          <t>Error / Notes</t>
        </is>
      </c>
    </row>
    <row r="6">
      <c r="A6" t="inlineStr">
        <is>
          <t>Central</t>
        </is>
      </c>
      <c r="B6" t="inlineStr">
        <is>
          <t>SECI</t>
        </is>
      </c>
      <c r="C6" t="inlineStr">
        <is>
          <t>seci</t>
        </is>
      </c>
      <c r="D6" t="inlineStr">
        <is>
          <t>https://www.seci.co.in/tenders/</t>
        </is>
      </c>
      <c r="E6" t="inlineStr">
        <is>
          <t>Dedicated HTML</t>
        </is>
      </c>
      <c r="G6" t="n">
        <v>0</v>
      </c>
      <c r="H6" t="n">
        <v>0</v>
      </c>
      <c r="I6" t="n">
        <v>0</v>
      </c>
      <c r="J6" t="inlineStr">
        <is>
          <t>Not Run</t>
        </is>
      </c>
    </row>
    <row r="7">
      <c r="A7" t="inlineStr">
        <is>
          <t>Central</t>
        </is>
      </c>
      <c r="B7" t="inlineStr">
        <is>
          <t>NTPC REL</t>
        </is>
      </c>
      <c r="C7" t="inlineStr">
        <is>
          <t>ntpc_rel</t>
        </is>
      </c>
      <c r="D7" t="inlineStr">
        <is>
          <t>https://ntpctender.ntpc.co.in/Index/Search?Region=10&amp;Type=Reg</t>
        </is>
      </c>
      <c r="E7" t="inlineStr">
        <is>
          <t>Dedicated HTML</t>
        </is>
      </c>
      <c r="G7" t="n">
        <v>0</v>
      </c>
      <c r="H7" t="n">
        <v>0</v>
      </c>
      <c r="I7" t="n">
        <v>0</v>
      </c>
      <c r="J7" t="inlineStr">
        <is>
          <t>Not Run</t>
        </is>
      </c>
    </row>
    <row r="8">
      <c r="A8" t="inlineStr">
        <is>
          <t>Central</t>
        </is>
      </c>
      <c r="B8" t="inlineStr">
        <is>
          <t>NHPC</t>
        </is>
      </c>
      <c r="C8" t="inlineStr">
        <is>
          <t>nhpc</t>
        </is>
      </c>
      <c r="D8" t="inlineStr">
        <is>
          <t>https://www.nhpcindia.com/welcome/tender.html</t>
        </is>
      </c>
      <c r="E8" t="inlineStr">
        <is>
          <t>Dedicated HTML/PDF</t>
        </is>
      </c>
      <c r="G8" t="n">
        <v>0</v>
      </c>
      <c r="H8" t="n">
        <v>0</v>
      </c>
      <c r="I8" t="n">
        <v>0</v>
      </c>
      <c r="J8" t="inlineStr">
        <is>
          <t>Not Run</t>
        </is>
      </c>
    </row>
    <row r="9">
      <c r="A9" t="inlineStr">
        <is>
          <t>Central</t>
        </is>
      </c>
      <c r="B9" t="inlineStr">
        <is>
          <t>SJVN</t>
        </is>
      </c>
      <c r="C9" t="inlineStr">
        <is>
          <t>sjvn</t>
        </is>
      </c>
      <c r="D9" t="inlineStr">
        <is>
          <t>https://sjvn.nic.in/en/tender</t>
        </is>
      </c>
      <c r="E9" t="inlineStr">
        <is>
          <t>Dedicated HTML/PDF</t>
        </is>
      </c>
      <c r="G9" t="n">
        <v>0</v>
      </c>
      <c r="H9" t="n">
        <v>0</v>
      </c>
      <c r="I9" t="n">
        <v>0</v>
      </c>
      <c r="J9" t="inlineStr">
        <is>
          <t>Not Run</t>
        </is>
      </c>
    </row>
    <row r="10">
      <c r="A10" t="inlineStr">
        <is>
          <t>Central</t>
        </is>
      </c>
      <c r="B10" t="inlineStr">
        <is>
          <t>NLCIL</t>
        </is>
      </c>
      <c r="C10" t="inlineStr">
        <is>
          <t>nlcil</t>
        </is>
      </c>
      <c r="D10" t="inlineStr">
        <is>
          <t>https://www.nlcindia.in/</t>
        </is>
      </c>
      <c r="E10" t="inlineStr">
        <is>
          <t>Dedicated HTML/PDF</t>
        </is>
      </c>
      <c r="G10" t="n">
        <v>0</v>
      </c>
      <c r="H10" t="n">
        <v>0</v>
      </c>
      <c r="I10" t="n">
        <v>0</v>
      </c>
      <c r="J10" t="inlineStr">
        <is>
          <t>Not Run</t>
        </is>
      </c>
    </row>
    <row r="11">
      <c r="A11" t="inlineStr">
        <is>
          <t>Central</t>
        </is>
      </c>
      <c r="B11" t="inlineStr">
        <is>
          <t>GUVNL (ISTS)</t>
        </is>
      </c>
      <c r="C11" t="inlineStr">
        <is>
          <t>guvnl_ists</t>
        </is>
      </c>
      <c r="D11" t="inlineStr">
        <is>
          <t>https://www.guvnl.com/</t>
        </is>
      </c>
      <c r="E11" t="inlineStr">
        <is>
          <t>Dedicated HTML/PDF</t>
        </is>
      </c>
      <c r="G11" t="n">
        <v>0</v>
      </c>
      <c r="H11" t="n">
        <v>0</v>
      </c>
      <c r="I11" t="n">
        <v>0</v>
      </c>
      <c r="J11" t="inlineStr">
        <is>
          <t>Not Run</t>
        </is>
      </c>
    </row>
    <row r="12">
      <c r="A12" t="inlineStr">
        <is>
          <t>Central</t>
        </is>
      </c>
      <c r="B12" t="inlineStr">
        <is>
          <t>REMCL</t>
        </is>
      </c>
      <c r="C12" t="inlineStr">
        <is>
          <t>remcl</t>
        </is>
      </c>
      <c r="D12" t="inlineStr">
        <is>
          <t>https://www.remcl.in/</t>
        </is>
      </c>
      <c r="E12" t="inlineStr">
        <is>
          <t>Dedicated HTML/PDF</t>
        </is>
      </c>
      <c r="G12" t="n">
        <v>0</v>
      </c>
      <c r="H12" t="n">
        <v>0</v>
      </c>
      <c r="I12" t="n">
        <v>0</v>
      </c>
      <c r="J12" t="inlineStr">
        <is>
          <t>Not Run</t>
        </is>
      </c>
    </row>
    <row r="13">
      <c r="A13" t="inlineStr">
        <is>
          <t>Rajasthan</t>
        </is>
      </c>
      <c r="B13" t="inlineStr">
        <is>
          <t>RUVNL</t>
        </is>
      </c>
      <c r="C13" t="inlineStr">
        <is>
          <t>ruvnl</t>
        </is>
      </c>
      <c r="D13" t="inlineStr">
        <is>
          <t>https://eproc.rajasthan.gov.in/nicgep/app</t>
        </is>
      </c>
      <c r="E13" t="inlineStr">
        <is>
          <t>Portal connector</t>
        </is>
      </c>
      <c r="G13" t="n">
        <v>0</v>
      </c>
      <c r="H13" t="n">
        <v>0</v>
      </c>
      <c r="I13" t="n">
        <v>0</v>
      </c>
      <c r="J13" t="inlineStr">
        <is>
          <t>Not Run</t>
        </is>
      </c>
    </row>
    <row r="14">
      <c r="A14" t="inlineStr">
        <is>
          <t>Rajasthan</t>
        </is>
      </c>
      <c r="B14" t="inlineStr">
        <is>
          <t>RVPN</t>
        </is>
      </c>
      <c r="C14" t="inlineStr">
        <is>
          <t>rvpn</t>
        </is>
      </c>
      <c r="D14" t="inlineStr">
        <is>
          <t>https://energy.rajasthan.gov.in/rvpnl</t>
        </is>
      </c>
      <c r="E14" t="inlineStr">
        <is>
          <t>Dedicated HTML/Portal</t>
        </is>
      </c>
      <c r="G14" t="n">
        <v>0</v>
      </c>
      <c r="H14" t="n">
        <v>0</v>
      </c>
      <c r="I14" t="n">
        <v>0</v>
      </c>
      <c r="J14" t="inlineStr">
        <is>
          <t>Not Run</t>
        </is>
      </c>
    </row>
    <row r="15">
      <c r="A15" t="inlineStr">
        <is>
          <t>Karnataka</t>
        </is>
      </c>
      <c r="B15" t="inlineStr">
        <is>
          <t>KREDL</t>
        </is>
      </c>
      <c r="C15" t="inlineStr">
        <is>
          <t>kredl</t>
        </is>
      </c>
      <c r="D15" t="inlineStr">
        <is>
          <t>https://kppp.karnataka.gov.in/</t>
        </is>
      </c>
      <c r="E15" t="inlineStr">
        <is>
          <t>Portal connector</t>
        </is>
      </c>
      <c r="G15" t="n">
        <v>0</v>
      </c>
      <c r="H15" t="n">
        <v>0</v>
      </c>
      <c r="I15" t="n">
        <v>0</v>
      </c>
      <c r="J15" t="inlineStr">
        <is>
          <t>Not Run</t>
        </is>
      </c>
    </row>
    <row r="16">
      <c r="A16" t="inlineStr">
        <is>
          <t>Karnataka</t>
        </is>
      </c>
      <c r="B16" t="inlineStr">
        <is>
          <t>KPTCL</t>
        </is>
      </c>
      <c r="C16" t="inlineStr">
        <is>
          <t>kptcl</t>
        </is>
      </c>
      <c r="D16" t="inlineStr">
        <is>
          <t>https://kptcl.karnataka.gov.in/</t>
        </is>
      </c>
      <c r="E16" t="inlineStr">
        <is>
          <t>Dedicated HTML/Portal</t>
        </is>
      </c>
      <c r="G16" t="n">
        <v>0</v>
      </c>
      <c r="H16" t="n">
        <v>0</v>
      </c>
      <c r="I16" t="n">
        <v>0</v>
      </c>
      <c r="J16" t="inlineStr">
        <is>
          <t>Not Run</t>
        </is>
      </c>
    </row>
    <row r="17">
      <c r="A17" t="inlineStr">
        <is>
          <t>Karnataka</t>
        </is>
      </c>
      <c r="B17" t="inlineStr">
        <is>
          <t>KPCL</t>
        </is>
      </c>
      <c r="C17" t="inlineStr">
        <is>
          <t>kpcl</t>
        </is>
      </c>
      <c r="D17" t="inlineStr">
        <is>
          <t>https://karnatakapower.com/</t>
        </is>
      </c>
      <c r="E17" t="inlineStr">
        <is>
          <t>Dedicated HTML/Portal</t>
        </is>
      </c>
      <c r="G17" t="n">
        <v>0</v>
      </c>
      <c r="H17" t="n">
        <v>0</v>
      </c>
      <c r="I17" t="n">
        <v>0</v>
      </c>
      <c r="J17" t="inlineStr">
        <is>
          <t>Not Run</t>
        </is>
      </c>
    </row>
    <row r="18">
      <c r="A18" t="inlineStr">
        <is>
          <t>Madhya Pradesh</t>
        </is>
      </c>
      <c r="B18" t="inlineStr">
        <is>
          <t>MPUVNL</t>
        </is>
      </c>
      <c r="C18" t="inlineStr">
        <is>
          <t>mpuvnl</t>
        </is>
      </c>
      <c r="D18" t="inlineStr">
        <is>
          <t>https://mptenders.gov.in/nicgep/app</t>
        </is>
      </c>
      <c r="E18" t="inlineStr">
        <is>
          <t>Portal connector</t>
        </is>
      </c>
      <c r="G18" t="n">
        <v>0</v>
      </c>
      <c r="H18" t="n">
        <v>0</v>
      </c>
      <c r="I18" t="n">
        <v>0</v>
      </c>
      <c r="J18" t="inlineStr">
        <is>
          <t>Not Run</t>
        </is>
      </c>
    </row>
    <row r="19">
      <c r="A19" t="inlineStr">
        <is>
          <t>Madhya Pradesh</t>
        </is>
      </c>
      <c r="B19" t="inlineStr">
        <is>
          <t>MPPMCL</t>
        </is>
      </c>
      <c r="C19" t="inlineStr">
        <is>
          <t>mppmcl</t>
        </is>
      </c>
      <c r="D19" t="inlineStr">
        <is>
          <t>https://mppmcl.com/</t>
        </is>
      </c>
      <c r="E19" t="inlineStr">
        <is>
          <t>Dedicated HTML/Portal</t>
        </is>
      </c>
      <c r="G19" t="n">
        <v>0</v>
      </c>
      <c r="H19" t="n">
        <v>0</v>
      </c>
      <c r="I19" t="n">
        <v>0</v>
      </c>
      <c r="J19" t="inlineStr">
        <is>
          <t>Not Run</t>
        </is>
      </c>
    </row>
    <row r="20">
      <c r="A20" t="inlineStr">
        <is>
          <t>Madhya Pradesh</t>
        </is>
      </c>
      <c r="B20" t="inlineStr">
        <is>
          <t>MP Urja Vikas Nigam</t>
        </is>
      </c>
      <c r="C20" t="inlineStr">
        <is>
          <t>mp_urja</t>
        </is>
      </c>
      <c r="D20" t="inlineStr">
        <is>
          <t>https://www.mprenewable.nic.in/</t>
        </is>
      </c>
      <c r="E20" t="inlineStr">
        <is>
          <t>Dedicated HTML/Portal</t>
        </is>
      </c>
      <c r="G20" t="n">
        <v>0</v>
      </c>
      <c r="H20" t="n">
        <v>0</v>
      </c>
      <c r="I20" t="n">
        <v>0</v>
      </c>
      <c r="J20" t="inlineStr">
        <is>
          <t>Not Run</t>
        </is>
      </c>
    </row>
    <row r="21">
      <c r="A21" t="inlineStr">
        <is>
          <t>Maharashtra</t>
        </is>
      </c>
      <c r="B21" t="inlineStr">
        <is>
          <t>MSEDCL</t>
        </is>
      </c>
      <c r="C21" t="inlineStr">
        <is>
          <t>msedcl</t>
        </is>
      </c>
      <c r="D21" t="inlineStr">
        <is>
          <t>https://www.mahadiscom.in/en/supplier/tenders/</t>
        </is>
      </c>
      <c r="E21" t="inlineStr">
        <is>
          <t>Dedicated HTML/PDF</t>
        </is>
      </c>
      <c r="G21" t="n">
        <v>0</v>
      </c>
      <c r="H21" t="n">
        <v>0</v>
      </c>
      <c r="I21" t="n">
        <v>0</v>
      </c>
      <c r="J21" t="inlineStr">
        <is>
          <t>Not Run</t>
        </is>
      </c>
    </row>
    <row r="22">
      <c r="A22" t="inlineStr">
        <is>
          <t>Maharashtra</t>
        </is>
      </c>
      <c r="B22" t="inlineStr">
        <is>
          <t>MAHAGENCO</t>
        </is>
      </c>
      <c r="C22" t="inlineStr">
        <is>
          <t>mahagenco</t>
        </is>
      </c>
      <c r="D22" t="inlineStr">
        <is>
          <t>https://www.mahagenco.in/</t>
        </is>
      </c>
      <c r="E22" t="inlineStr">
        <is>
          <t>Dedicated HTML/PDF</t>
        </is>
      </c>
      <c r="G22" t="n">
        <v>0</v>
      </c>
      <c r="H22" t="n">
        <v>0</v>
      </c>
      <c r="I22" t="n">
        <v>0</v>
      </c>
      <c r="J22" t="inlineStr">
        <is>
          <t>Not Run</t>
        </is>
      </c>
    </row>
    <row r="23">
      <c r="A23" t="inlineStr">
        <is>
          <t>Gujarat</t>
        </is>
      </c>
      <c r="B23" t="inlineStr">
        <is>
          <t>GUVNL</t>
        </is>
      </c>
      <c r="C23" t="inlineStr">
        <is>
          <t>guvnl</t>
        </is>
      </c>
      <c r="D23" t="inlineStr">
        <is>
          <t>https://www.guvnl.com/</t>
        </is>
      </c>
      <c r="E23" t="inlineStr">
        <is>
          <t>Dedicated HTML/PDF</t>
        </is>
      </c>
      <c r="G23" t="n">
        <v>0</v>
      </c>
      <c r="H23" t="n">
        <v>0</v>
      </c>
      <c r="I23" t="n">
        <v>0</v>
      </c>
      <c r="J23" t="inlineStr">
        <is>
          <t>Not Run</t>
        </is>
      </c>
    </row>
    <row r="24">
      <c r="A24" t="inlineStr">
        <is>
          <t>Gujarat</t>
        </is>
      </c>
      <c r="B24" t="inlineStr">
        <is>
          <t>GPCL</t>
        </is>
      </c>
      <c r="C24" t="inlineStr">
        <is>
          <t>gpcl</t>
        </is>
      </c>
      <c r="D24" t="inlineStr">
        <is>
          <t>https://gpcl.gujarat.gov.in/</t>
        </is>
      </c>
      <c r="E24" t="inlineStr">
        <is>
          <t>Dedicated HTML/PDF</t>
        </is>
      </c>
      <c r="G24" t="n">
        <v>0</v>
      </c>
      <c r="H24" t="n">
        <v>0</v>
      </c>
      <c r="I24" t="n">
        <v>0</v>
      </c>
      <c r="J24" t="inlineStr">
        <is>
          <t>Not Run</t>
        </is>
      </c>
    </row>
    <row r="25">
      <c r="A25" t="inlineStr">
        <is>
          <t>Andhra Pradesh</t>
        </is>
      </c>
      <c r="B25" t="inlineStr">
        <is>
          <t>APSPDCL</t>
        </is>
      </c>
      <c r="C25" t="inlineStr">
        <is>
          <t>apspdcl</t>
        </is>
      </c>
      <c r="D25" t="inlineStr">
        <is>
          <t>https://www.apspdcl.in/</t>
        </is>
      </c>
      <c r="E25" t="inlineStr">
        <is>
          <t>Dedicated HTML/Portal</t>
        </is>
      </c>
      <c r="G25" t="n">
        <v>0</v>
      </c>
      <c r="H25" t="n">
        <v>0</v>
      </c>
      <c r="I25" t="n">
        <v>0</v>
      </c>
      <c r="J25" t="inlineStr">
        <is>
          <t>Not Run</t>
        </is>
      </c>
    </row>
    <row r="26">
      <c r="A26" t="inlineStr">
        <is>
          <t>Andhra Pradesh</t>
        </is>
      </c>
      <c r="B26" t="inlineStr">
        <is>
          <t>APGENCO</t>
        </is>
      </c>
      <c r="C26" t="inlineStr">
        <is>
          <t>apgenco</t>
        </is>
      </c>
      <c r="D26" t="inlineStr">
        <is>
          <t>https://apgenco.gov.in/</t>
        </is>
      </c>
      <c r="E26" t="inlineStr">
        <is>
          <t>Dedicated HTML/Portal</t>
        </is>
      </c>
      <c r="G26" t="n">
        <v>0</v>
      </c>
      <c r="H26" t="n">
        <v>0</v>
      </c>
      <c r="I26" t="n">
        <v>0</v>
      </c>
      <c r="J26" t="inlineStr">
        <is>
          <t>Not Run</t>
        </is>
      </c>
    </row>
    <row r="27">
      <c r="A27" t="inlineStr">
        <is>
          <t>Andhra Pradesh</t>
        </is>
      </c>
      <c r="B27" t="inlineStr">
        <is>
          <t>NREDCAP</t>
        </is>
      </c>
      <c r="C27" t="inlineStr">
        <is>
          <t>nredcap</t>
        </is>
      </c>
      <c r="D27" t="inlineStr">
        <is>
          <t>https://nredcap.in/</t>
        </is>
      </c>
      <c r="E27" t="inlineStr">
        <is>
          <t>Dedicated HTML/Portal</t>
        </is>
      </c>
      <c r="G27" t="n">
        <v>0</v>
      </c>
      <c r="H27" t="n">
        <v>0</v>
      </c>
      <c r="I27" t="n">
        <v>0</v>
      </c>
      <c r="J27" t="inlineStr">
        <is>
          <t>Not Run</t>
        </is>
      </c>
    </row>
    <row r="28">
      <c r="A28" t="inlineStr">
        <is>
          <t>Telangana</t>
        </is>
      </c>
      <c r="B28" t="inlineStr">
        <is>
          <t>TGNPDCL</t>
        </is>
      </c>
      <c r="C28" t="inlineStr">
        <is>
          <t>tgnpdcl</t>
        </is>
      </c>
      <c r="D28" t="inlineStr">
        <is>
          <t>https://tgnpdcl.com/</t>
        </is>
      </c>
      <c r="E28" t="inlineStr">
        <is>
          <t>Dedicated HTML/Portal</t>
        </is>
      </c>
      <c r="G28" t="n">
        <v>0</v>
      </c>
      <c r="H28" t="n">
        <v>0</v>
      </c>
      <c r="I28" t="n">
        <v>0</v>
      </c>
      <c r="J28" t="inlineStr">
        <is>
          <t>Not Run</t>
        </is>
      </c>
    </row>
    <row r="29">
      <c r="A29" t="inlineStr">
        <is>
          <t>Telangana</t>
        </is>
      </c>
      <c r="B29" t="inlineStr">
        <is>
          <t>TSSPDCL</t>
        </is>
      </c>
      <c r="C29" t="inlineStr">
        <is>
          <t>tsspdcl</t>
        </is>
      </c>
      <c r="D29" t="inlineStr">
        <is>
          <t>https://www.tssouthernpower.com/</t>
        </is>
      </c>
      <c r="E29" t="inlineStr">
        <is>
          <t>Dedicated HTML/Portal</t>
        </is>
      </c>
      <c r="G29" t="n">
        <v>0</v>
      </c>
      <c r="H29" t="n">
        <v>0</v>
      </c>
      <c r="I29" t="n">
        <v>0</v>
      </c>
      <c r="J29" t="inlineStr">
        <is>
          <t>Not Run</t>
        </is>
      </c>
    </row>
    <row r="30">
      <c r="A30" t="inlineStr">
        <is>
          <t>Tamil Nadu</t>
        </is>
      </c>
      <c r="B30" t="inlineStr">
        <is>
          <t>TNGECL</t>
        </is>
      </c>
      <c r="C30" t="inlineStr">
        <is>
          <t>tngecl</t>
        </is>
      </c>
      <c r="D30" t="inlineStr">
        <is>
          <t>https://www.tangedco.gov.in/</t>
        </is>
      </c>
      <c r="E30" t="inlineStr">
        <is>
          <t>Dedicated HTML/Portal</t>
        </is>
      </c>
      <c r="G30" t="n">
        <v>0</v>
      </c>
      <c r="H30" t="n">
        <v>0</v>
      </c>
      <c r="I30" t="n">
        <v>0</v>
      </c>
      <c r="J30" t="inlineStr">
        <is>
          <t>Not Run</t>
        </is>
      </c>
    </row>
    <row r="31">
      <c r="A31" t="inlineStr">
        <is>
          <t>Tamil Nadu</t>
        </is>
      </c>
      <c r="B31" t="inlineStr">
        <is>
          <t>TANTRANSCO</t>
        </is>
      </c>
      <c r="C31" t="inlineStr">
        <is>
          <t>tantransco</t>
        </is>
      </c>
      <c r="D31" t="inlineStr">
        <is>
          <t>https://www.tantransco.gov.in/</t>
        </is>
      </c>
      <c r="E31" t="inlineStr">
        <is>
          <t>Dedicated HTML/Portal</t>
        </is>
      </c>
      <c r="G31" t="n">
        <v>0</v>
      </c>
      <c r="H31" t="n">
        <v>0</v>
      </c>
      <c r="I31" t="n">
        <v>0</v>
      </c>
      <c r="J31" t="inlineStr">
        <is>
          <t>Not Run</t>
        </is>
      </c>
    </row>
    <row r="32">
      <c r="A32" t="inlineStr">
        <is>
          <t>Odisha</t>
        </is>
      </c>
      <c r="B32" t="inlineStr">
        <is>
          <t>GRIDCO</t>
        </is>
      </c>
      <c r="C32" t="inlineStr">
        <is>
          <t>gridco</t>
        </is>
      </c>
      <c r="D32" t="inlineStr">
        <is>
          <t>https://www.gridco.co.in/tender.aspx</t>
        </is>
      </c>
      <c r="E32" t="inlineStr">
        <is>
          <t>Dedicated HTML/PDF</t>
        </is>
      </c>
      <c r="G32" t="n">
        <v>0</v>
      </c>
      <c r="H32" t="n">
        <v>0</v>
      </c>
      <c r="I32" t="n">
        <v>0</v>
      </c>
      <c r="J32" t="inlineStr">
        <is>
          <t>Not Run</t>
        </is>
      </c>
    </row>
    <row r="33">
      <c r="A33" t="inlineStr">
        <is>
          <t>Haryana</t>
        </is>
      </c>
      <c r="B33" t="inlineStr">
        <is>
          <t>HAREDA</t>
        </is>
      </c>
      <c r="C33" t="inlineStr">
        <is>
          <t>hareda</t>
        </is>
      </c>
      <c r="D33" t="inlineStr">
        <is>
          <t>https://hareda.gov.in/</t>
        </is>
      </c>
      <c r="E33" t="inlineStr">
        <is>
          <t>Dedicated HTML/Portal</t>
        </is>
      </c>
      <c r="G33" t="n">
        <v>0</v>
      </c>
      <c r="H33" t="n">
        <v>0</v>
      </c>
      <c r="I33" t="n">
        <v>0</v>
      </c>
      <c r="J33" t="inlineStr">
        <is>
          <t>Not Run</t>
        </is>
      </c>
    </row>
    <row r="34">
      <c r="A34" t="inlineStr">
        <is>
          <t>Punjab</t>
        </is>
      </c>
      <c r="B34" t="inlineStr">
        <is>
          <t>PSPCL</t>
        </is>
      </c>
      <c r="C34" t="inlineStr">
        <is>
          <t>pspcl</t>
        </is>
      </c>
      <c r="D34" t="inlineStr">
        <is>
          <t>https://pspcl.in/tenders</t>
        </is>
      </c>
      <c r="E34" t="inlineStr">
        <is>
          <t>Dedicated HTML/PDF</t>
        </is>
      </c>
      <c r="G34" t="n">
        <v>0</v>
      </c>
      <c r="H34" t="n">
        <v>0</v>
      </c>
      <c r="I34" t="n">
        <v>0</v>
      </c>
      <c r="J34" t="inlineStr">
        <is>
          <t>Not Run</t>
        </is>
      </c>
    </row>
    <row r="35">
      <c r="A35" t="inlineStr">
        <is>
          <t>Uttar Pradesh</t>
        </is>
      </c>
      <c r="B35" t="inlineStr">
        <is>
          <t>UPNEDA</t>
        </is>
      </c>
      <c r="C35" t="inlineStr">
        <is>
          <t>upneda</t>
        </is>
      </c>
      <c r="D35" t="inlineStr">
        <is>
          <t>https://upneda.org.in/</t>
        </is>
      </c>
      <c r="E35" t="inlineStr">
        <is>
          <t>Dedicated HTML/Portal</t>
        </is>
      </c>
      <c r="G35" t="n">
        <v>0</v>
      </c>
      <c r="H35" t="n">
        <v>0</v>
      </c>
      <c r="I35" t="n">
        <v>0</v>
      </c>
      <c r="J35" t="inlineStr">
        <is>
          <t>Not Run</t>
        </is>
      </c>
    </row>
    <row r="36">
      <c r="A36" t="inlineStr">
        <is>
          <t>Bihar</t>
        </is>
      </c>
      <c r="B36" t="inlineStr">
        <is>
          <t>BSPHCL</t>
        </is>
      </c>
      <c r="C36" t="inlineStr">
        <is>
          <t>bsphcl</t>
        </is>
      </c>
      <c r="D36" t="inlineStr">
        <is>
          <t>https://www.bsphcl.co.in/</t>
        </is>
      </c>
      <c r="E36" t="inlineStr">
        <is>
          <t>Dedicated HTML/Portal</t>
        </is>
      </c>
      <c r="G36" t="n">
        <v>0</v>
      </c>
      <c r="H36" t="n">
        <v>0</v>
      </c>
      <c r="I36" t="n">
        <v>0</v>
      </c>
      <c r="J36" t="inlineStr">
        <is>
          <t>Not Run</t>
        </is>
      </c>
    </row>
  </sheetData>
  <mergeCells count="2">
    <mergeCell ref="A1:K2"/>
    <mergeCell ref="A3:K3"/>
  </mergeCells>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L504"/>
  <sheetViews>
    <sheetView workbookViewId="0">
      <selection activeCell="A1" sqref="A1"/>
    </sheetView>
  </sheetViews>
  <sheetFormatPr baseColWidth="8" defaultRowHeight="15"/>
  <cols>
    <col width="18" customWidth="1" style="64" min="1" max="1"/>
    <col width="18" customWidth="1" style="64" min="2" max="2"/>
    <col width="18" customWidth="1" style="64" min="3" max="3"/>
    <col width="28" customWidth="1" style="64" min="4" max="4"/>
    <col width="42" customWidth="1" style="64" min="5" max="5"/>
    <col width="14" customWidth="1" style="64" min="6" max="6"/>
    <col width="14" customWidth="1" style="64" min="7" max="7"/>
    <col width="54" customWidth="1" style="64" min="8" max="8"/>
    <col width="48" customWidth="1" style="64" min="9" max="9"/>
    <col width="10" customWidth="1" style="64" min="10" max="10"/>
    <col width="16" customWidth="1" style="64" min="11" max="11"/>
    <col width="38" customWidth="1" style="64" min="12" max="12"/>
  </cols>
  <sheetData>
    <row r="1">
      <c r="A1" s="304" t="inlineStr">
        <is>
          <t>V13 PLF and Supply-Clause Extraction Quality Review</t>
        </is>
      </c>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4">
      <c r="A4" s="248" t="inlineStr">
        <is>
          <t>Extraction ID</t>
        </is>
      </c>
      <c r="B4" s="248" t="inlineStr">
        <is>
          <t>Tender ID</t>
        </is>
      </c>
      <c r="C4" s="248" t="inlineStr">
        <is>
          <t>Agency</t>
        </is>
      </c>
      <c r="D4" s="248" t="inlineStr">
        <is>
          <t>Field</t>
        </is>
      </c>
      <c r="E4" s="248" t="inlineStr">
        <is>
          <t>Extracted Value</t>
        </is>
      </c>
      <c r="F4" s="248" t="inlineStr">
        <is>
          <t>Unit</t>
        </is>
      </c>
      <c r="G4" s="248" t="inlineStr">
        <is>
          <t>Confidence %</t>
        </is>
      </c>
      <c r="H4" s="248" t="inlineStr">
        <is>
          <t>Evidence Snippet</t>
        </is>
      </c>
      <c r="I4" s="248" t="inlineStr">
        <is>
          <t>Source Document</t>
        </is>
      </c>
      <c r="J4" s="248" t="inlineStr">
        <is>
          <t>Page</t>
        </is>
      </c>
      <c r="K4" s="248" t="inlineStr">
        <is>
          <t>Review Decision</t>
        </is>
      </c>
      <c r="L4" s="248" t="inlineStr">
        <is>
          <t>Reviewer Notes</t>
        </is>
      </c>
    </row>
    <row r="5">
      <c r="G5" s="284" t="n"/>
    </row>
    <row r="6">
      <c r="G6" s="284" t="n"/>
    </row>
    <row r="7">
      <c r="G7" s="284" t="n"/>
    </row>
    <row r="8">
      <c r="G8" s="284" t="n"/>
    </row>
    <row r="9">
      <c r="G9" s="284" t="n"/>
    </row>
    <row r="10">
      <c r="G10" s="284" t="n"/>
    </row>
    <row r="11">
      <c r="G11" s="284" t="n"/>
    </row>
    <row r="12">
      <c r="G12" s="284" t="n"/>
    </row>
    <row r="13">
      <c r="G13" s="284" t="n"/>
    </row>
    <row r="14">
      <c r="G14" s="284" t="n"/>
    </row>
    <row r="15">
      <c r="G15" s="284" t="n"/>
    </row>
    <row r="16">
      <c r="G16" s="284" t="n"/>
    </row>
    <row r="17">
      <c r="G17" s="284" t="n"/>
    </row>
    <row r="18">
      <c r="G18" s="284" t="n"/>
    </row>
    <row r="19">
      <c r="G19" s="284" t="n"/>
    </row>
    <row r="20">
      <c r="G20" s="284" t="n"/>
    </row>
    <row r="21">
      <c r="G21" s="284" t="n"/>
    </row>
    <row r="22">
      <c r="G22" s="284" t="n"/>
    </row>
    <row r="23">
      <c r="G23" s="284" t="n"/>
    </row>
    <row r="24">
      <c r="G24" s="284" t="n"/>
    </row>
    <row r="25">
      <c r="G25" s="284" t="n"/>
    </row>
    <row r="26">
      <c r="G26" s="284" t="n"/>
    </row>
    <row r="27">
      <c r="G27" s="284" t="n"/>
    </row>
    <row r="28">
      <c r="G28" s="284" t="n"/>
    </row>
    <row r="29">
      <c r="G29" s="284" t="n"/>
    </row>
    <row r="30">
      <c r="G30" s="284" t="n"/>
    </row>
    <row r="31">
      <c r="G31" s="284" t="n"/>
    </row>
    <row r="32">
      <c r="G32" s="284" t="n"/>
    </row>
    <row r="33">
      <c r="G33" s="284" t="n"/>
    </row>
    <row r="34">
      <c r="G34" s="284" t="n"/>
    </row>
    <row r="35">
      <c r="G35" s="284" t="n"/>
    </row>
    <row r="36">
      <c r="G36" s="284" t="n"/>
    </row>
    <row r="37">
      <c r="G37" s="284" t="n"/>
    </row>
    <row r="38">
      <c r="G38" s="284" t="n"/>
    </row>
    <row r="39">
      <c r="G39" s="284" t="n"/>
    </row>
    <row r="40">
      <c r="G40" s="284" t="n"/>
    </row>
    <row r="41">
      <c r="G41" s="284" t="n"/>
    </row>
    <row r="42">
      <c r="G42" s="284" t="n"/>
    </row>
    <row r="43">
      <c r="G43" s="284" t="n"/>
    </row>
    <row r="44">
      <c r="G44" s="284" t="n"/>
    </row>
    <row r="45">
      <c r="G45" s="284" t="n"/>
    </row>
    <row r="46">
      <c r="G46" s="284" t="n"/>
    </row>
    <row r="47">
      <c r="G47" s="284" t="n"/>
    </row>
    <row r="48">
      <c r="G48" s="284" t="n"/>
    </row>
    <row r="49">
      <c r="G49" s="284" t="n"/>
    </row>
    <row r="50">
      <c r="G50" s="284" t="n"/>
    </row>
    <row r="51">
      <c r="G51" s="284" t="n"/>
    </row>
    <row r="52">
      <c r="G52" s="284" t="n"/>
    </row>
    <row r="53">
      <c r="G53" s="284" t="n"/>
    </row>
    <row r="54">
      <c r="G54" s="284" t="n"/>
    </row>
    <row r="55">
      <c r="G55" s="284" t="n"/>
    </row>
    <row r="56">
      <c r="G56" s="284" t="n"/>
    </row>
    <row r="57">
      <c r="G57" s="284" t="n"/>
    </row>
    <row r="58">
      <c r="G58" s="284" t="n"/>
    </row>
    <row r="59">
      <c r="G59" s="284" t="n"/>
    </row>
    <row r="60">
      <c r="G60" s="284" t="n"/>
    </row>
    <row r="61">
      <c r="G61" s="284" t="n"/>
    </row>
    <row r="62">
      <c r="G62" s="284" t="n"/>
    </row>
    <row r="63">
      <c r="G63" s="284" t="n"/>
    </row>
    <row r="64">
      <c r="G64" s="284" t="n"/>
    </row>
    <row r="65">
      <c r="G65" s="284" t="n"/>
    </row>
    <row r="66">
      <c r="G66" s="284" t="n"/>
    </row>
    <row r="67">
      <c r="G67" s="284" t="n"/>
    </row>
    <row r="68">
      <c r="G68" s="284" t="n"/>
    </row>
    <row r="69">
      <c r="G69" s="284" t="n"/>
    </row>
    <row r="70">
      <c r="G70" s="284" t="n"/>
    </row>
    <row r="71">
      <c r="G71" s="284" t="n"/>
    </row>
    <row r="72">
      <c r="G72" s="284" t="n"/>
    </row>
    <row r="73">
      <c r="G73" s="284" t="n"/>
    </row>
    <row r="74">
      <c r="G74" s="284" t="n"/>
    </row>
    <row r="75">
      <c r="G75" s="284" t="n"/>
    </row>
    <row r="76">
      <c r="G76" s="284" t="n"/>
    </row>
    <row r="77">
      <c r="G77" s="284" t="n"/>
    </row>
    <row r="78">
      <c r="G78" s="284" t="n"/>
    </row>
    <row r="79">
      <c r="G79" s="284" t="n"/>
    </row>
    <row r="80">
      <c r="G80" s="284" t="n"/>
    </row>
    <row r="81">
      <c r="G81" s="284" t="n"/>
    </row>
    <row r="82">
      <c r="G82" s="284" t="n"/>
    </row>
    <row r="83">
      <c r="G83" s="284" t="n"/>
    </row>
    <row r="84">
      <c r="G84" s="284" t="n"/>
    </row>
    <row r="85">
      <c r="G85" s="284" t="n"/>
    </row>
    <row r="86">
      <c r="G86" s="284" t="n"/>
    </row>
    <row r="87">
      <c r="G87" s="284" t="n"/>
    </row>
    <row r="88">
      <c r="G88" s="284" t="n"/>
    </row>
    <row r="89">
      <c r="G89" s="284" t="n"/>
    </row>
    <row r="90">
      <c r="G90" s="284" t="n"/>
    </row>
    <row r="91">
      <c r="G91" s="284" t="n"/>
    </row>
    <row r="92">
      <c r="G92" s="284" t="n"/>
    </row>
    <row r="93">
      <c r="G93" s="284" t="n"/>
    </row>
    <row r="94">
      <c r="G94" s="284" t="n"/>
    </row>
    <row r="95">
      <c r="G95" s="284" t="n"/>
    </row>
    <row r="96">
      <c r="G96" s="284" t="n"/>
    </row>
    <row r="97">
      <c r="G97" s="284" t="n"/>
    </row>
    <row r="98">
      <c r="G98" s="284" t="n"/>
    </row>
    <row r="99">
      <c r="G99" s="284" t="n"/>
    </row>
    <row r="100">
      <c r="G100" s="284" t="n"/>
    </row>
    <row r="101">
      <c r="G101" s="284" t="n"/>
    </row>
    <row r="102">
      <c r="G102" s="284" t="n"/>
    </row>
    <row r="103">
      <c r="G103" s="284" t="n"/>
    </row>
    <row r="104">
      <c r="G104" s="284" t="n"/>
    </row>
    <row r="105">
      <c r="G105" s="284" t="n"/>
    </row>
    <row r="106">
      <c r="G106" s="284" t="n"/>
    </row>
    <row r="107">
      <c r="G107" s="284" t="n"/>
    </row>
    <row r="108">
      <c r="G108" s="284" t="n"/>
    </row>
    <row r="109">
      <c r="G109" s="284" t="n"/>
    </row>
    <row r="110">
      <c r="G110" s="284" t="n"/>
    </row>
    <row r="111">
      <c r="G111" s="284" t="n"/>
    </row>
    <row r="112">
      <c r="G112" s="284" t="n"/>
    </row>
    <row r="113">
      <c r="G113" s="284" t="n"/>
    </row>
    <row r="114">
      <c r="G114" s="284" t="n"/>
    </row>
    <row r="115">
      <c r="G115" s="284" t="n"/>
    </row>
    <row r="116">
      <c r="G116" s="284" t="n"/>
    </row>
    <row r="117">
      <c r="G117" s="284" t="n"/>
    </row>
    <row r="118">
      <c r="G118" s="284" t="n"/>
    </row>
    <row r="119">
      <c r="G119" s="284" t="n"/>
    </row>
    <row r="120">
      <c r="G120" s="284" t="n"/>
    </row>
    <row r="121">
      <c r="G121" s="284" t="n"/>
    </row>
    <row r="122">
      <c r="G122" s="284" t="n"/>
    </row>
    <row r="123">
      <c r="G123" s="284" t="n"/>
    </row>
    <row r="124">
      <c r="G124" s="284" t="n"/>
    </row>
    <row r="125">
      <c r="G125" s="284" t="n"/>
    </row>
    <row r="126">
      <c r="G126" s="284" t="n"/>
    </row>
    <row r="127">
      <c r="G127" s="284" t="n"/>
    </row>
    <row r="128">
      <c r="G128" s="284" t="n"/>
    </row>
    <row r="129">
      <c r="G129" s="284" t="n"/>
    </row>
    <row r="130">
      <c r="G130" s="284" t="n"/>
    </row>
    <row r="131">
      <c r="G131" s="284" t="n"/>
    </row>
    <row r="132">
      <c r="G132" s="284" t="n"/>
    </row>
    <row r="133">
      <c r="G133" s="284" t="n"/>
    </row>
    <row r="134">
      <c r="G134" s="284" t="n"/>
    </row>
    <row r="135">
      <c r="G135" s="284" t="n"/>
    </row>
    <row r="136">
      <c r="G136" s="284" t="n"/>
    </row>
    <row r="137">
      <c r="G137" s="284" t="n"/>
    </row>
    <row r="138">
      <c r="G138" s="284" t="n"/>
    </row>
    <row r="139">
      <c r="G139" s="284" t="n"/>
    </row>
    <row r="140">
      <c r="G140" s="284" t="n"/>
    </row>
    <row r="141">
      <c r="G141" s="284" t="n"/>
    </row>
    <row r="142">
      <c r="G142" s="284" t="n"/>
    </row>
    <row r="143">
      <c r="G143" s="284" t="n"/>
    </row>
    <row r="144">
      <c r="G144" s="284" t="n"/>
    </row>
    <row r="145">
      <c r="G145" s="284" t="n"/>
    </row>
    <row r="146">
      <c r="G146" s="284" t="n"/>
    </row>
    <row r="147">
      <c r="G147" s="284" t="n"/>
    </row>
    <row r="148">
      <c r="G148" s="284" t="n"/>
    </row>
    <row r="149">
      <c r="G149" s="284" t="n"/>
    </row>
    <row r="150">
      <c r="G150" s="284" t="n"/>
    </row>
    <row r="151">
      <c r="G151" s="284" t="n"/>
    </row>
    <row r="152">
      <c r="G152" s="284" t="n"/>
    </row>
    <row r="153">
      <c r="G153" s="284" t="n"/>
    </row>
    <row r="154">
      <c r="G154" s="284" t="n"/>
    </row>
    <row r="155">
      <c r="G155" s="284" t="n"/>
    </row>
    <row r="156">
      <c r="G156" s="284" t="n"/>
    </row>
    <row r="157">
      <c r="G157" s="284" t="n"/>
    </row>
    <row r="158">
      <c r="G158" s="284" t="n"/>
    </row>
    <row r="159">
      <c r="G159" s="284" t="n"/>
    </row>
    <row r="160">
      <c r="G160" s="284" t="n"/>
    </row>
    <row r="161">
      <c r="G161" s="284" t="n"/>
    </row>
    <row r="162">
      <c r="G162" s="284" t="n"/>
    </row>
    <row r="163">
      <c r="G163" s="284" t="n"/>
    </row>
    <row r="164">
      <c r="G164" s="284" t="n"/>
    </row>
    <row r="165">
      <c r="G165" s="284" t="n"/>
    </row>
    <row r="166">
      <c r="G166" s="284" t="n"/>
    </row>
    <row r="167">
      <c r="G167" s="284" t="n"/>
    </row>
    <row r="168">
      <c r="G168" s="284" t="n"/>
    </row>
    <row r="169">
      <c r="G169" s="284" t="n"/>
    </row>
    <row r="170">
      <c r="G170" s="284" t="n"/>
    </row>
    <row r="171">
      <c r="G171" s="284" t="n"/>
    </row>
    <row r="172">
      <c r="G172" s="284" t="n"/>
    </row>
    <row r="173">
      <c r="G173" s="284" t="n"/>
    </row>
    <row r="174">
      <c r="G174" s="284" t="n"/>
    </row>
    <row r="175">
      <c r="G175" s="284" t="n"/>
    </row>
    <row r="176">
      <c r="G176" s="284" t="n"/>
    </row>
    <row r="177">
      <c r="G177" s="284" t="n"/>
    </row>
    <row r="178">
      <c r="G178" s="284" t="n"/>
    </row>
    <row r="179">
      <c r="G179" s="284" t="n"/>
    </row>
    <row r="180">
      <c r="G180" s="284" t="n"/>
    </row>
    <row r="181">
      <c r="G181" s="284" t="n"/>
    </row>
    <row r="182">
      <c r="G182" s="284" t="n"/>
    </row>
    <row r="183">
      <c r="G183" s="284" t="n"/>
    </row>
    <row r="184">
      <c r="G184" s="284" t="n"/>
    </row>
    <row r="185">
      <c r="G185" s="284" t="n"/>
    </row>
    <row r="186">
      <c r="G186" s="284" t="n"/>
    </row>
    <row r="187">
      <c r="G187" s="284" t="n"/>
    </row>
    <row r="188">
      <c r="G188" s="284" t="n"/>
    </row>
    <row r="189">
      <c r="G189" s="284" t="n"/>
    </row>
    <row r="190">
      <c r="G190" s="284" t="n"/>
    </row>
    <row r="191">
      <c r="G191" s="284" t="n"/>
    </row>
    <row r="192">
      <c r="G192" s="284" t="n"/>
    </row>
    <row r="193">
      <c r="G193" s="284" t="n"/>
    </row>
    <row r="194">
      <c r="G194" s="284" t="n"/>
    </row>
    <row r="195">
      <c r="G195" s="284" t="n"/>
    </row>
    <row r="196">
      <c r="G196" s="284" t="n"/>
    </row>
    <row r="197">
      <c r="G197" s="284" t="n"/>
    </row>
    <row r="198">
      <c r="G198" s="284" t="n"/>
    </row>
    <row r="199">
      <c r="G199" s="284" t="n"/>
    </row>
    <row r="200">
      <c r="G200" s="284" t="n"/>
    </row>
    <row r="201">
      <c r="G201" s="284" t="n"/>
    </row>
    <row r="202">
      <c r="G202" s="284" t="n"/>
    </row>
    <row r="203">
      <c r="G203" s="284" t="n"/>
    </row>
    <row r="204">
      <c r="G204" s="284" t="n"/>
    </row>
    <row r="205">
      <c r="G205" s="284" t="n"/>
    </row>
    <row r="206">
      <c r="G206" s="284" t="n"/>
    </row>
    <row r="207">
      <c r="G207" s="284" t="n"/>
    </row>
    <row r="208">
      <c r="G208" s="284" t="n"/>
    </row>
    <row r="209">
      <c r="G209" s="284" t="n"/>
    </row>
    <row r="210">
      <c r="G210" s="284" t="n"/>
    </row>
    <row r="211">
      <c r="G211" s="284" t="n"/>
    </row>
    <row r="212">
      <c r="G212" s="284" t="n"/>
    </row>
    <row r="213">
      <c r="G213" s="284" t="n"/>
    </row>
    <row r="214">
      <c r="G214" s="284" t="n"/>
    </row>
    <row r="215">
      <c r="G215" s="284" t="n"/>
    </row>
    <row r="216">
      <c r="G216" s="284" t="n"/>
    </row>
    <row r="217">
      <c r="G217" s="284" t="n"/>
    </row>
    <row r="218">
      <c r="G218" s="284" t="n"/>
    </row>
    <row r="219">
      <c r="G219" s="284" t="n"/>
    </row>
    <row r="220">
      <c r="G220" s="284" t="n"/>
    </row>
    <row r="221">
      <c r="G221" s="284" t="n"/>
    </row>
    <row r="222">
      <c r="G222" s="284" t="n"/>
    </row>
    <row r="223">
      <c r="G223" s="284" t="n"/>
    </row>
    <row r="224">
      <c r="G224" s="284" t="n"/>
    </row>
    <row r="225">
      <c r="G225" s="284" t="n"/>
    </row>
    <row r="226">
      <c r="G226" s="284" t="n"/>
    </row>
    <row r="227">
      <c r="G227" s="284" t="n"/>
    </row>
    <row r="228">
      <c r="G228" s="284" t="n"/>
    </row>
    <row r="229">
      <c r="G229" s="284" t="n"/>
    </row>
    <row r="230">
      <c r="G230" s="284" t="n"/>
    </row>
    <row r="231">
      <c r="G231" s="284" t="n"/>
    </row>
    <row r="232">
      <c r="G232" s="284" t="n"/>
    </row>
    <row r="233">
      <c r="G233" s="284" t="n"/>
    </row>
    <row r="234">
      <c r="G234" s="284" t="n"/>
    </row>
    <row r="235">
      <c r="G235" s="284" t="n"/>
    </row>
    <row r="236">
      <c r="G236" s="284" t="n"/>
    </row>
    <row r="237">
      <c r="G237" s="284" t="n"/>
    </row>
    <row r="238">
      <c r="G238" s="284" t="n"/>
    </row>
    <row r="239">
      <c r="G239" s="284" t="n"/>
    </row>
    <row r="240">
      <c r="G240" s="284" t="n"/>
    </row>
    <row r="241">
      <c r="G241" s="284" t="n"/>
    </row>
    <row r="242">
      <c r="G242" s="284" t="n"/>
    </row>
    <row r="243">
      <c r="G243" s="284" t="n"/>
    </row>
    <row r="244">
      <c r="G244" s="284" t="n"/>
    </row>
    <row r="245">
      <c r="G245" s="284" t="n"/>
    </row>
    <row r="246">
      <c r="G246" s="284" t="n"/>
    </row>
    <row r="247">
      <c r="G247" s="284" t="n"/>
    </row>
    <row r="248">
      <c r="G248" s="284" t="n"/>
    </row>
    <row r="249">
      <c r="G249" s="284" t="n"/>
    </row>
    <row r="250">
      <c r="G250" s="284" t="n"/>
    </row>
    <row r="251">
      <c r="G251" s="284" t="n"/>
    </row>
    <row r="252">
      <c r="G252" s="284" t="n"/>
    </row>
    <row r="253">
      <c r="G253" s="284" t="n"/>
    </row>
    <row r="254">
      <c r="G254" s="284" t="n"/>
    </row>
    <row r="255">
      <c r="G255" s="284" t="n"/>
    </row>
    <row r="256">
      <c r="G256" s="284" t="n"/>
    </row>
    <row r="257">
      <c r="G257" s="284" t="n"/>
    </row>
    <row r="258">
      <c r="G258" s="284" t="n"/>
    </row>
    <row r="259">
      <c r="G259" s="284" t="n"/>
    </row>
    <row r="260">
      <c r="G260" s="284" t="n"/>
    </row>
    <row r="261">
      <c r="G261" s="284" t="n"/>
    </row>
    <row r="262">
      <c r="G262" s="284" t="n"/>
    </row>
    <row r="263">
      <c r="G263" s="284" t="n"/>
    </row>
    <row r="264">
      <c r="G264" s="284" t="n"/>
    </row>
    <row r="265">
      <c r="G265" s="284" t="n"/>
    </row>
    <row r="266">
      <c r="G266" s="284" t="n"/>
    </row>
    <row r="267">
      <c r="G267" s="284" t="n"/>
    </row>
    <row r="268">
      <c r="G268" s="284" t="n"/>
    </row>
    <row r="269">
      <c r="G269" s="284" t="n"/>
    </row>
    <row r="270">
      <c r="G270" s="284" t="n"/>
    </row>
    <row r="271">
      <c r="G271" s="284" t="n"/>
    </row>
    <row r="272">
      <c r="G272" s="284" t="n"/>
    </row>
    <row r="273">
      <c r="G273" s="284" t="n"/>
    </row>
    <row r="274">
      <c r="G274" s="284" t="n"/>
    </row>
    <row r="275">
      <c r="G275" s="284" t="n"/>
    </row>
    <row r="276">
      <c r="G276" s="284" t="n"/>
    </row>
    <row r="277">
      <c r="G277" s="284" t="n"/>
    </row>
    <row r="278">
      <c r="G278" s="284" t="n"/>
    </row>
    <row r="279">
      <c r="G279" s="284" t="n"/>
    </row>
    <row r="280">
      <c r="G280" s="284" t="n"/>
    </row>
    <row r="281">
      <c r="G281" s="284" t="n"/>
    </row>
    <row r="282">
      <c r="G282" s="284" t="n"/>
    </row>
    <row r="283">
      <c r="G283" s="284" t="n"/>
    </row>
    <row r="284">
      <c r="G284" s="284" t="n"/>
    </row>
    <row r="285">
      <c r="G285" s="284" t="n"/>
    </row>
    <row r="286">
      <c r="G286" s="284" t="n"/>
    </row>
    <row r="287">
      <c r="G287" s="284" t="n"/>
    </row>
    <row r="288">
      <c r="G288" s="284" t="n"/>
    </row>
    <row r="289">
      <c r="G289" s="284" t="n"/>
    </row>
    <row r="290">
      <c r="G290" s="284" t="n"/>
    </row>
    <row r="291">
      <c r="G291" s="284" t="n"/>
    </row>
    <row r="292">
      <c r="G292" s="284" t="n"/>
    </row>
    <row r="293">
      <c r="G293" s="284" t="n"/>
    </row>
    <row r="294">
      <c r="G294" s="284" t="n"/>
    </row>
    <row r="295">
      <c r="G295" s="284" t="n"/>
    </row>
    <row r="296">
      <c r="G296" s="284" t="n"/>
    </row>
    <row r="297">
      <c r="G297" s="284" t="n"/>
    </row>
    <row r="298">
      <c r="G298" s="284" t="n"/>
    </row>
    <row r="299">
      <c r="G299" s="284" t="n"/>
    </row>
    <row r="300">
      <c r="G300" s="284" t="n"/>
    </row>
    <row r="301">
      <c r="G301" s="284" t="n"/>
    </row>
    <row r="302">
      <c r="G302" s="284" t="n"/>
    </row>
    <row r="303">
      <c r="G303" s="284" t="n"/>
    </row>
    <row r="304">
      <c r="G304" s="284" t="n"/>
    </row>
    <row r="305">
      <c r="G305" s="284" t="n"/>
    </row>
    <row r="306">
      <c r="G306" s="284" t="n"/>
    </row>
    <row r="307">
      <c r="G307" s="284" t="n"/>
    </row>
    <row r="308">
      <c r="G308" s="284" t="n"/>
    </row>
    <row r="309">
      <c r="G309" s="284" t="n"/>
    </row>
    <row r="310">
      <c r="G310" s="284" t="n"/>
    </row>
    <row r="311">
      <c r="G311" s="284" t="n"/>
    </row>
    <row r="312">
      <c r="G312" s="284" t="n"/>
    </row>
    <row r="313">
      <c r="G313" s="284" t="n"/>
    </row>
    <row r="314">
      <c r="G314" s="284" t="n"/>
    </row>
    <row r="315">
      <c r="G315" s="284" t="n"/>
    </row>
    <row r="316">
      <c r="G316" s="284" t="n"/>
    </row>
    <row r="317">
      <c r="G317" s="284" t="n"/>
    </row>
    <row r="318">
      <c r="G318" s="284" t="n"/>
    </row>
    <row r="319">
      <c r="G319" s="284" t="n"/>
    </row>
    <row r="320">
      <c r="G320" s="284" t="n"/>
    </row>
    <row r="321">
      <c r="G321" s="284" t="n"/>
    </row>
    <row r="322">
      <c r="G322" s="284" t="n"/>
    </row>
    <row r="323">
      <c r="G323" s="284" t="n"/>
    </row>
    <row r="324">
      <c r="G324" s="284" t="n"/>
    </row>
    <row r="325">
      <c r="G325" s="284" t="n"/>
    </row>
    <row r="326">
      <c r="G326" s="284" t="n"/>
    </row>
    <row r="327">
      <c r="G327" s="284" t="n"/>
    </row>
    <row r="328">
      <c r="G328" s="284" t="n"/>
    </row>
    <row r="329">
      <c r="G329" s="284" t="n"/>
    </row>
    <row r="330">
      <c r="G330" s="284" t="n"/>
    </row>
    <row r="331">
      <c r="G331" s="284" t="n"/>
    </row>
    <row r="332">
      <c r="G332" s="284" t="n"/>
    </row>
    <row r="333">
      <c r="G333" s="284" t="n"/>
    </row>
    <row r="334">
      <c r="G334" s="284" t="n"/>
    </row>
    <row r="335">
      <c r="G335" s="284" t="n"/>
    </row>
    <row r="336">
      <c r="G336" s="284" t="n"/>
    </row>
    <row r="337">
      <c r="G337" s="284" t="n"/>
    </row>
    <row r="338">
      <c r="G338" s="284" t="n"/>
    </row>
    <row r="339">
      <c r="G339" s="284" t="n"/>
    </row>
    <row r="340">
      <c r="G340" s="284" t="n"/>
    </row>
    <row r="341">
      <c r="G341" s="284" t="n"/>
    </row>
    <row r="342">
      <c r="G342" s="284" t="n"/>
    </row>
    <row r="343">
      <c r="G343" s="284" t="n"/>
    </row>
    <row r="344">
      <c r="G344" s="284" t="n"/>
    </row>
    <row r="345">
      <c r="G345" s="284" t="n"/>
    </row>
    <row r="346">
      <c r="G346" s="284" t="n"/>
    </row>
    <row r="347">
      <c r="G347" s="284" t="n"/>
    </row>
    <row r="348">
      <c r="G348" s="284" t="n"/>
    </row>
    <row r="349">
      <c r="G349" s="284" t="n"/>
    </row>
    <row r="350">
      <c r="G350" s="284" t="n"/>
    </row>
    <row r="351">
      <c r="G351" s="284" t="n"/>
    </row>
    <row r="352">
      <c r="G352" s="284" t="n"/>
    </row>
    <row r="353">
      <c r="G353" s="284" t="n"/>
    </row>
    <row r="354">
      <c r="G354" s="284" t="n"/>
    </row>
    <row r="355">
      <c r="G355" s="284" t="n"/>
    </row>
    <row r="356">
      <c r="G356" s="284" t="n"/>
    </row>
    <row r="357">
      <c r="G357" s="284" t="n"/>
    </row>
    <row r="358">
      <c r="G358" s="284" t="n"/>
    </row>
    <row r="359">
      <c r="G359" s="284" t="n"/>
    </row>
    <row r="360">
      <c r="G360" s="284" t="n"/>
    </row>
    <row r="361">
      <c r="G361" s="284" t="n"/>
    </row>
    <row r="362">
      <c r="G362" s="284" t="n"/>
    </row>
    <row r="363">
      <c r="G363" s="284" t="n"/>
    </row>
    <row r="364">
      <c r="G364" s="284" t="n"/>
    </row>
    <row r="365">
      <c r="G365" s="284" t="n"/>
    </row>
    <row r="366">
      <c r="G366" s="284" t="n"/>
    </row>
    <row r="367">
      <c r="G367" s="284" t="n"/>
    </row>
    <row r="368">
      <c r="G368" s="284" t="n"/>
    </row>
    <row r="369">
      <c r="G369" s="284" t="n"/>
    </row>
    <row r="370">
      <c r="G370" s="284" t="n"/>
    </row>
    <row r="371">
      <c r="G371" s="284" t="n"/>
    </row>
    <row r="372">
      <c r="G372" s="284" t="n"/>
    </row>
    <row r="373">
      <c r="G373" s="284" t="n"/>
    </row>
    <row r="374">
      <c r="G374" s="284" t="n"/>
    </row>
    <row r="375">
      <c r="G375" s="284" t="n"/>
    </row>
    <row r="376">
      <c r="G376" s="284" t="n"/>
    </row>
    <row r="377">
      <c r="G377" s="284" t="n"/>
    </row>
    <row r="378">
      <c r="G378" s="284" t="n"/>
    </row>
    <row r="379">
      <c r="G379" s="284" t="n"/>
    </row>
    <row r="380">
      <c r="G380" s="284" t="n"/>
    </row>
    <row r="381">
      <c r="G381" s="284" t="n"/>
    </row>
    <row r="382">
      <c r="G382" s="284" t="n"/>
    </row>
    <row r="383">
      <c r="G383" s="284" t="n"/>
    </row>
    <row r="384">
      <c r="G384" s="284" t="n"/>
    </row>
    <row r="385">
      <c r="G385" s="284" t="n"/>
    </row>
    <row r="386">
      <c r="G386" s="284" t="n"/>
    </row>
    <row r="387">
      <c r="G387" s="284" t="n"/>
    </row>
    <row r="388">
      <c r="G388" s="284" t="n"/>
    </row>
    <row r="389">
      <c r="G389" s="284" t="n"/>
    </row>
    <row r="390">
      <c r="G390" s="284" t="n"/>
    </row>
    <row r="391">
      <c r="G391" s="284" t="n"/>
    </row>
    <row r="392">
      <c r="G392" s="284" t="n"/>
    </row>
    <row r="393">
      <c r="G393" s="284" t="n"/>
    </row>
    <row r="394">
      <c r="G394" s="284" t="n"/>
    </row>
    <row r="395">
      <c r="G395" s="284" t="n"/>
    </row>
    <row r="396">
      <c r="G396" s="284" t="n"/>
    </row>
    <row r="397">
      <c r="G397" s="284" t="n"/>
    </row>
    <row r="398">
      <c r="G398" s="284" t="n"/>
    </row>
    <row r="399">
      <c r="G399" s="284" t="n"/>
    </row>
    <row r="400">
      <c r="G400" s="284" t="n"/>
    </row>
    <row r="401">
      <c r="G401" s="284" t="n"/>
    </row>
    <row r="402">
      <c r="G402" s="284" t="n"/>
    </row>
    <row r="403">
      <c r="G403" s="284" t="n"/>
    </row>
    <row r="404">
      <c r="G404" s="284" t="n"/>
    </row>
    <row r="405">
      <c r="G405" s="284" t="n"/>
    </row>
    <row r="406">
      <c r="G406" s="284" t="n"/>
    </row>
    <row r="407">
      <c r="G407" s="284" t="n"/>
    </row>
    <row r="408">
      <c r="G408" s="284" t="n"/>
    </row>
    <row r="409">
      <c r="G409" s="284" t="n"/>
    </row>
    <row r="410">
      <c r="G410" s="284" t="n"/>
    </row>
    <row r="411">
      <c r="G411" s="284" t="n"/>
    </row>
    <row r="412">
      <c r="G412" s="284" t="n"/>
    </row>
    <row r="413">
      <c r="G413" s="284" t="n"/>
    </row>
    <row r="414">
      <c r="G414" s="284" t="n"/>
    </row>
    <row r="415">
      <c r="G415" s="284" t="n"/>
    </row>
    <row r="416">
      <c r="G416" s="284" t="n"/>
    </row>
    <row r="417">
      <c r="G417" s="284" t="n"/>
    </row>
    <row r="418">
      <c r="G418" s="284" t="n"/>
    </row>
    <row r="419">
      <c r="G419" s="284" t="n"/>
    </row>
    <row r="420">
      <c r="G420" s="284" t="n"/>
    </row>
    <row r="421">
      <c r="G421" s="284" t="n"/>
    </row>
    <row r="422">
      <c r="G422" s="284" t="n"/>
    </row>
    <row r="423">
      <c r="G423" s="284" t="n"/>
    </row>
    <row r="424">
      <c r="G424" s="284" t="n"/>
    </row>
    <row r="425">
      <c r="G425" s="284" t="n"/>
    </row>
    <row r="426">
      <c r="G426" s="284" t="n"/>
    </row>
    <row r="427">
      <c r="G427" s="284" t="n"/>
    </row>
    <row r="428">
      <c r="G428" s="284" t="n"/>
    </row>
    <row r="429">
      <c r="G429" s="284" t="n"/>
    </row>
    <row r="430">
      <c r="G430" s="284" t="n"/>
    </row>
    <row r="431">
      <c r="G431" s="284" t="n"/>
    </row>
    <row r="432">
      <c r="G432" s="284" t="n"/>
    </row>
    <row r="433">
      <c r="G433" s="284" t="n"/>
    </row>
    <row r="434">
      <c r="G434" s="284" t="n"/>
    </row>
    <row r="435">
      <c r="G435" s="284" t="n"/>
    </row>
    <row r="436">
      <c r="G436" s="284" t="n"/>
    </row>
    <row r="437">
      <c r="G437" s="284" t="n"/>
    </row>
    <row r="438">
      <c r="G438" s="284" t="n"/>
    </row>
    <row r="439">
      <c r="G439" s="284" t="n"/>
    </row>
    <row r="440">
      <c r="G440" s="284" t="n"/>
    </row>
    <row r="441">
      <c r="G441" s="284" t="n"/>
    </row>
    <row r="442">
      <c r="G442" s="284" t="n"/>
    </row>
    <row r="443">
      <c r="G443" s="284" t="n"/>
    </row>
    <row r="444">
      <c r="G444" s="284" t="n"/>
    </row>
    <row r="445">
      <c r="G445" s="284" t="n"/>
    </row>
    <row r="446">
      <c r="G446" s="284" t="n"/>
    </row>
    <row r="447">
      <c r="G447" s="284" t="n"/>
    </row>
    <row r="448">
      <c r="G448" s="284" t="n"/>
    </row>
    <row r="449">
      <c r="G449" s="284" t="n"/>
    </row>
    <row r="450">
      <c r="G450" s="284" t="n"/>
    </row>
    <row r="451">
      <c r="G451" s="284" t="n"/>
    </row>
    <row r="452">
      <c r="G452" s="284" t="n"/>
    </row>
    <row r="453">
      <c r="G453" s="284" t="n"/>
    </row>
    <row r="454">
      <c r="G454" s="284" t="n"/>
    </row>
    <row r="455">
      <c r="G455" s="284" t="n"/>
    </row>
    <row r="456">
      <c r="G456" s="284" t="n"/>
    </row>
    <row r="457">
      <c r="G457" s="284" t="n"/>
    </row>
    <row r="458">
      <c r="G458" s="284" t="n"/>
    </row>
    <row r="459">
      <c r="G459" s="284" t="n"/>
    </row>
    <row r="460">
      <c r="G460" s="284" t="n"/>
    </row>
    <row r="461">
      <c r="G461" s="284" t="n"/>
    </row>
    <row r="462">
      <c r="G462" s="284" t="n"/>
    </row>
    <row r="463">
      <c r="G463" s="284" t="n"/>
    </row>
    <row r="464">
      <c r="G464" s="284" t="n"/>
    </row>
    <row r="465">
      <c r="G465" s="284" t="n"/>
    </row>
    <row r="466">
      <c r="G466" s="284" t="n"/>
    </row>
    <row r="467">
      <c r="G467" s="284" t="n"/>
    </row>
    <row r="468">
      <c r="G468" s="284" t="n"/>
    </row>
    <row r="469">
      <c r="G469" s="284" t="n"/>
    </row>
    <row r="470">
      <c r="G470" s="284" t="n"/>
    </row>
    <row r="471">
      <c r="G471" s="284" t="n"/>
    </row>
    <row r="472">
      <c r="G472" s="284" t="n"/>
    </row>
    <row r="473">
      <c r="G473" s="284" t="n"/>
    </row>
    <row r="474">
      <c r="G474" s="284" t="n"/>
    </row>
    <row r="475">
      <c r="G475" s="284" t="n"/>
    </row>
    <row r="476">
      <c r="G476" s="284" t="n"/>
    </row>
    <row r="477">
      <c r="G477" s="284" t="n"/>
    </row>
    <row r="478">
      <c r="G478" s="284" t="n"/>
    </row>
    <row r="479">
      <c r="G479" s="284" t="n"/>
    </row>
    <row r="480">
      <c r="G480" s="284" t="n"/>
    </row>
    <row r="481">
      <c r="G481" s="284" t="n"/>
    </row>
    <row r="482">
      <c r="G482" s="284" t="n"/>
    </row>
    <row r="483">
      <c r="G483" s="284" t="n"/>
    </row>
    <row r="484">
      <c r="G484" s="284" t="n"/>
    </row>
    <row r="485">
      <c r="G485" s="284" t="n"/>
    </row>
    <row r="486">
      <c r="G486" s="284" t="n"/>
    </row>
    <row r="487">
      <c r="G487" s="284" t="n"/>
    </row>
    <row r="488">
      <c r="G488" s="284" t="n"/>
    </row>
    <row r="489">
      <c r="G489" s="284" t="n"/>
    </row>
    <row r="490">
      <c r="G490" s="284" t="n"/>
    </row>
    <row r="491">
      <c r="G491" s="284" t="n"/>
    </row>
    <row r="492">
      <c r="G492" s="284" t="n"/>
    </row>
    <row r="493">
      <c r="G493" s="284" t="n"/>
    </row>
    <row r="494">
      <c r="G494" s="284" t="n"/>
    </row>
    <row r="495">
      <c r="G495" s="284" t="n"/>
    </row>
    <row r="496">
      <c r="G496" s="284" t="n"/>
    </row>
    <row r="497">
      <c r="G497" s="284" t="n"/>
    </row>
    <row r="498">
      <c r="G498" s="284" t="n"/>
    </row>
    <row r="499">
      <c r="G499" s="284" t="n"/>
    </row>
    <row r="500">
      <c r="G500" s="284" t="n"/>
    </row>
    <row r="501">
      <c r="G501" s="284" t="n"/>
    </row>
    <row r="502">
      <c r="G502" s="284" t="n"/>
    </row>
    <row r="503">
      <c r="G503" s="284" t="n"/>
    </row>
    <row r="504">
      <c r="G504" s="284" t="n"/>
    </row>
  </sheetData>
  <mergeCells count="1">
    <mergeCell ref="A1:L2"/>
  </mergeCells>
  <conditionalFormatting sqref="G5:G504">
    <cfRule type="colorScale" priority="1">
      <colorScale>
        <cfvo type="min"/>
        <cfvo type="percentile" val="50"/>
        <cfvo type="max"/>
        <color rgb="FFF4CCCC"/>
        <color rgb="FFFFF2CC"/>
        <color rgb="FFD9EAD3"/>
      </colorScale>
    </cfRule>
  </conditionalFormatting>
  <dataValidations count="1">
    <dataValidation sqref="K5:K504" showDropDown="0" showInputMessage="0" showErrorMessage="0" allowBlank="0" type="list">
      <formula1>"Pending,Approved,Rejected,Corrected"</formula1>
    </dataValidation>
  </dataValidations>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24" customWidth="1" style="64" min="1" max="1"/>
    <col width="34" customWidth="1" style="64" min="2" max="2"/>
    <col width="28" customWidth="1" style="64" min="3" max="3"/>
    <col width="16" customWidth="1" style="64" min="4" max="4"/>
    <col width="12" customWidth="1" style="64" min="5" max="5"/>
    <col width="20" customWidth="1" style="64" min="6" max="6"/>
    <col width="22" customWidth="1" style="64" min="7" max="7"/>
    <col width="40" customWidth="1" style="64" min="8" max="8"/>
  </cols>
  <sheetData>
    <row r="1">
      <c r="A1" s="304" t="inlineStr">
        <is>
          <t>V13 PLF / CUF / Availability Rule Library</t>
        </is>
      </c>
      <c r="B1" s="1" t="n"/>
      <c r="C1" s="1" t="n"/>
      <c r="D1" s="1" t="n"/>
      <c r="E1" s="1" t="n"/>
      <c r="F1" s="1" t="n"/>
      <c r="G1" s="1" t="n"/>
      <c r="H1" s="1" t="n"/>
    </row>
    <row r="2">
      <c r="A2" s="1" t="n"/>
      <c r="B2" s="1" t="n"/>
      <c r="C2" s="1" t="n"/>
      <c r="D2" s="1" t="n"/>
      <c r="E2" s="1" t="n"/>
      <c r="F2" s="1" t="n"/>
      <c r="G2" s="1" t="n"/>
      <c r="H2" s="1" t="n"/>
    </row>
    <row r="4">
      <c r="A4" s="248" t="inlineStr">
        <is>
          <t>Field</t>
        </is>
      </c>
      <c r="B4" s="248" t="inlineStr">
        <is>
          <t>Pattern Family</t>
        </is>
      </c>
      <c r="C4" s="248" t="inlineStr">
        <is>
          <t>Extraction Target</t>
        </is>
      </c>
      <c r="D4" s="248" t="inlineStr">
        <is>
          <t>Unit</t>
        </is>
      </c>
      <c r="E4" s="248" t="inlineStr">
        <is>
          <t>Priority</t>
        </is>
      </c>
      <c r="F4" s="248" t="inlineStr">
        <is>
          <t>Validation Range</t>
        </is>
      </c>
      <c r="G4" s="248" t="inlineStr">
        <is>
          <t>Applies To</t>
        </is>
      </c>
      <c r="H4" s="248" t="inlineStr">
        <is>
          <t>Notes</t>
        </is>
      </c>
    </row>
    <row r="5">
      <c r="A5" t="inlineStr">
        <is>
          <t>Minimum Annual PLF</t>
        </is>
      </c>
      <c r="B5" t="inlineStr">
        <is>
          <t>annual + minimum + PLF</t>
        </is>
      </c>
      <c r="C5" t="inlineStr">
        <is>
          <t>Percentage</t>
        </is>
      </c>
      <c r="D5" t="inlineStr">
        <is>
          <t>%</t>
        </is>
      </c>
      <c r="E5" t="inlineStr">
        <is>
          <t>High</t>
        </is>
      </c>
      <c r="F5" t="inlineStr">
        <is>
          <t>0–100</t>
        </is>
      </c>
      <c r="G5" t="inlineStr">
        <is>
          <t>FDRE/RTC/thermal-backed RE</t>
        </is>
      </c>
      <c r="H5" t="inlineStr">
        <is>
          <t>Prefer explicit annual guarantee</t>
        </is>
      </c>
    </row>
    <row r="6">
      <c r="A6" t="inlineStr">
        <is>
          <t>Minimum Monthly PLF</t>
        </is>
      </c>
      <c r="B6" t="inlineStr">
        <is>
          <t>monthly + minimum + PLF</t>
        </is>
      </c>
      <c r="C6" t="inlineStr">
        <is>
          <t>Percentage</t>
        </is>
      </c>
      <c r="D6" t="inlineStr">
        <is>
          <t>%</t>
        </is>
      </c>
      <c r="E6" t="inlineStr">
        <is>
          <t>High</t>
        </is>
      </c>
      <c r="F6" t="inlineStr">
        <is>
          <t>0–100</t>
        </is>
      </c>
      <c r="G6" t="inlineStr">
        <is>
          <t>FDRE/RTC</t>
        </is>
      </c>
      <c r="H6" t="inlineStr">
        <is>
          <t>Capture monthly guarantee separately</t>
        </is>
      </c>
    </row>
    <row r="7">
      <c r="A7" t="inlineStr">
        <is>
          <t>Minimum CUF</t>
        </is>
      </c>
      <c r="B7" t="inlineStr">
        <is>
          <t>minimum + CUF</t>
        </is>
      </c>
      <c r="C7" t="inlineStr">
        <is>
          <t>Percentage</t>
        </is>
      </c>
      <c r="D7" t="inlineStr">
        <is>
          <t>%</t>
        </is>
      </c>
      <c r="E7" t="inlineStr">
        <is>
          <t>High</t>
        </is>
      </c>
      <c r="F7" t="inlineStr">
        <is>
          <t>0–100</t>
        </is>
      </c>
      <c r="G7" t="inlineStr">
        <is>
          <t>Solar/Wind/Hybrid</t>
        </is>
      </c>
      <c r="H7" t="inlineStr">
        <is>
          <t>Do not treat as PLF</t>
        </is>
      </c>
    </row>
    <row r="8">
      <c r="A8" t="inlineStr">
        <is>
          <t>Declared CUF Range</t>
        </is>
      </c>
      <c r="B8" t="inlineStr">
        <is>
          <t>declared CUF / CUF range</t>
        </is>
      </c>
      <c r="C8" t="inlineStr">
        <is>
          <t>Lower and upper %</t>
        </is>
      </c>
      <c r="D8" t="inlineStr">
        <is>
          <t>%</t>
        </is>
      </c>
      <c r="E8" t="inlineStr">
        <is>
          <t>Medium</t>
        </is>
      </c>
      <c r="F8" t="inlineStr">
        <is>
          <t>0–100</t>
        </is>
      </c>
      <c r="G8" t="inlineStr">
        <is>
          <t>Solar/Wind/Hybrid</t>
        </is>
      </c>
      <c r="H8" t="inlineStr">
        <is>
          <t>Capture range and selected bid value</t>
        </is>
      </c>
    </row>
    <row r="9">
      <c r="A9" t="inlineStr">
        <is>
          <t>Annual Availability</t>
        </is>
      </c>
      <c r="B9" t="inlineStr">
        <is>
          <t>annual availability</t>
        </is>
      </c>
      <c r="C9" t="inlineStr">
        <is>
          <t>Percentage</t>
        </is>
      </c>
      <c r="D9" t="inlineStr">
        <is>
          <t>%</t>
        </is>
      </c>
      <c r="E9" t="inlineStr">
        <is>
          <t>High</t>
        </is>
      </c>
      <c r="F9" t="inlineStr">
        <is>
          <t>0–100</t>
        </is>
      </c>
      <c r="G9" t="inlineStr">
        <is>
          <t>BESS/PSP</t>
        </is>
      </c>
      <c r="H9" t="inlineStr">
        <is>
          <t>PLF not applicable</t>
        </is>
      </c>
    </row>
    <row r="10">
      <c r="A10" t="inlineStr">
        <is>
          <t>Monthly Availability</t>
        </is>
      </c>
      <c r="B10" t="inlineStr">
        <is>
          <t>monthly availability</t>
        </is>
      </c>
      <c r="C10" t="inlineStr">
        <is>
          <t>Percentage</t>
        </is>
      </c>
      <c r="D10" t="inlineStr">
        <is>
          <t>%</t>
        </is>
      </c>
      <c r="E10" t="inlineStr">
        <is>
          <t>High</t>
        </is>
      </c>
      <c r="F10" t="inlineStr">
        <is>
          <t>0–100</t>
        </is>
      </c>
      <c r="G10" t="inlineStr">
        <is>
          <t>BESS/PSP</t>
        </is>
      </c>
      <c r="H10" t="inlineStr">
        <is>
          <t>Capture payment-linked availability</t>
        </is>
      </c>
    </row>
    <row r="11">
      <c r="A11" t="inlineStr">
        <is>
          <t>Peak Supply Obligation</t>
        </is>
      </c>
      <c r="B11" t="inlineStr">
        <is>
          <t>MWh per MW per day</t>
        </is>
      </c>
      <c r="C11" t="inlineStr">
        <is>
          <t>Energy obligation</t>
        </is>
      </c>
      <c r="D11" t="inlineStr">
        <is>
          <t>MWh/MW/day</t>
        </is>
      </c>
      <c r="E11" t="inlineStr">
        <is>
          <t>High</t>
        </is>
      </c>
      <c r="F11" t="inlineStr">
        <is>
          <t>&gt;0</t>
        </is>
      </c>
      <c r="G11" t="inlineStr">
        <is>
          <t>FDRE/BESS</t>
        </is>
      </c>
      <c r="H11" t="inlineStr">
        <is>
          <t>Capture dispatch window</t>
        </is>
      </c>
    </row>
    <row r="12">
      <c r="A12" t="inlineStr">
        <is>
          <t>Allowed Shortfall</t>
        </is>
      </c>
      <c r="B12" t="inlineStr">
        <is>
          <t>shortfall up to / tolerance</t>
        </is>
      </c>
      <c r="C12" t="inlineStr">
        <is>
          <t>Percentage or energy</t>
        </is>
      </c>
      <c r="D12" t="inlineStr">
        <is>
          <t>% / MWh</t>
        </is>
      </c>
      <c r="E12" t="inlineStr">
        <is>
          <t>High</t>
        </is>
      </c>
      <c r="F12" t="inlineStr">
        <is>
          <t>&gt;=0</t>
        </is>
      </c>
      <c r="G12" t="inlineStr">
        <is>
          <t>All</t>
        </is>
      </c>
      <c r="H12" t="inlineStr">
        <is>
          <t>Link to penalty clause</t>
        </is>
      </c>
    </row>
    <row r="13">
      <c r="A13" t="inlineStr">
        <is>
          <t>Under-Supply Penalty</t>
        </is>
      </c>
      <c r="B13" t="inlineStr">
        <is>
          <t>shortfall / under-supply + multiplier</t>
        </is>
      </c>
      <c r="C13" t="inlineStr">
        <is>
          <t>Formula/text</t>
        </is>
      </c>
      <c r="D13" t="inlineStr">
        <is>
          <t>Text</t>
        </is>
      </c>
      <c r="E13" t="inlineStr">
        <is>
          <t>High</t>
        </is>
      </c>
      <c r="F13" t="inlineStr">
        <is>
          <t>Non-empty</t>
        </is>
      </c>
      <c r="G13" t="inlineStr">
        <is>
          <t>All</t>
        </is>
      </c>
      <c r="H13" t="inlineStr">
        <is>
          <t>Store evidence snippet and page</t>
        </is>
      </c>
    </row>
    <row r="14">
      <c r="A14" t="inlineStr">
        <is>
          <t>External Energy Cap</t>
        </is>
      </c>
      <c r="B14" t="inlineStr">
        <is>
          <t>green market / bilateral + up to</t>
        </is>
      </c>
      <c r="C14" t="inlineStr">
        <is>
          <t>Percentage</t>
        </is>
      </c>
      <c r="D14" t="inlineStr">
        <is>
          <t>%</t>
        </is>
      </c>
      <c r="E14" t="inlineStr">
        <is>
          <t>High</t>
        </is>
      </c>
      <c r="F14" t="inlineStr">
        <is>
          <t>0–100</t>
        </is>
      </c>
      <c r="G14" t="inlineStr">
        <is>
          <t>FDRE/RTC</t>
        </is>
      </c>
      <c r="H14" t="inlineStr">
        <is>
          <t>Separate charging from direct supply</t>
        </is>
      </c>
    </row>
    <row r="16">
      <c r="A16" t="inlineStr">
        <is>
          <t>Minimum Annual PLF</t>
        </is>
      </c>
      <c r="B16" t="inlineStr">
        <is>
          <t>not less than annual PLF / guaranteed PLF</t>
        </is>
      </c>
      <c r="C16" t="inlineStr">
        <is>
          <t>Percentage</t>
        </is>
      </c>
      <c r="D16" t="inlineStr">
        <is>
          <t>%</t>
        </is>
      </c>
      <c r="E16" t="inlineStr">
        <is>
          <t>High</t>
        </is>
      </c>
      <c r="F16" t="inlineStr">
        <is>
          <t>0–100</t>
        </is>
      </c>
      <c r="G16" t="inlineStr">
        <is>
          <t>FDRE/RTC</t>
        </is>
      </c>
      <c r="H16" t="inlineStr">
        <is>
          <t>Handles shall be / at least / guaranteed</t>
        </is>
      </c>
    </row>
    <row r="17">
      <c r="A17" t="inlineStr">
        <is>
          <t>Minimum Monthly PLF</t>
        </is>
      </c>
      <c r="B17" t="inlineStr">
        <is>
          <t>monthly PLF shall not be less than</t>
        </is>
      </c>
      <c r="C17" t="inlineStr">
        <is>
          <t>Percentage</t>
        </is>
      </c>
      <c r="D17" t="inlineStr">
        <is>
          <t>%</t>
        </is>
      </c>
      <c r="E17" t="inlineStr">
        <is>
          <t>High</t>
        </is>
      </c>
      <c r="F17" t="inlineStr">
        <is>
          <t>0–100</t>
        </is>
      </c>
      <c r="G17" t="inlineStr">
        <is>
          <t>FDRE/RTC</t>
        </is>
      </c>
      <c r="H17" t="inlineStr">
        <is>
          <t>Monthly and billing-period wording</t>
        </is>
      </c>
    </row>
    <row r="18">
      <c r="A18" t="inlineStr">
        <is>
          <t>Minimum Annual CUF</t>
        </is>
      </c>
      <c r="B18" t="inlineStr">
        <is>
          <t>minimum annual CUF</t>
        </is>
      </c>
      <c r="C18" t="inlineStr">
        <is>
          <t>Percentage</t>
        </is>
      </c>
      <c r="D18" t="inlineStr">
        <is>
          <t>%</t>
        </is>
      </c>
      <c r="E18" t="inlineStr">
        <is>
          <t>High</t>
        </is>
      </c>
      <c r="F18" t="inlineStr">
        <is>
          <t>0–100</t>
        </is>
      </c>
      <c r="G18" t="inlineStr">
        <is>
          <t>Solar/Wind/Hybrid</t>
        </is>
      </c>
      <c r="H18" t="inlineStr">
        <is>
          <t>Separate from PLF</t>
        </is>
      </c>
    </row>
    <row r="19">
      <c r="A19" t="inlineStr">
        <is>
          <t>Monthly Energy Guarantee</t>
        </is>
      </c>
      <c r="B19" t="inlineStr">
        <is>
          <t>monthly scheduled energy / minimum monthly energy</t>
        </is>
      </c>
      <c r="C19" t="inlineStr">
        <is>
          <t>Energy or %</t>
        </is>
      </c>
      <c r="D19" t="inlineStr">
        <is>
          <t>MWh / %</t>
        </is>
      </c>
      <c r="E19" t="inlineStr">
        <is>
          <t>High</t>
        </is>
      </c>
      <c r="F19" t="inlineStr">
        <is>
          <t>&gt;=0</t>
        </is>
      </c>
      <c r="G19" t="inlineStr">
        <is>
          <t>FDRE/RTC</t>
        </is>
      </c>
      <c r="H19" t="inlineStr">
        <is>
          <t>Capture reconciliation basis</t>
        </is>
      </c>
    </row>
    <row r="20">
      <c r="A20" t="inlineStr">
        <is>
          <t>Annual Energy Guarantee</t>
        </is>
      </c>
      <c r="B20" t="inlineStr">
        <is>
          <t>annual contracted energy / annual offered energy</t>
        </is>
      </c>
      <c r="C20" t="inlineStr">
        <is>
          <t>Energy or %</t>
        </is>
      </c>
      <c r="D20" t="inlineStr">
        <is>
          <t>MWh / %</t>
        </is>
      </c>
      <c r="E20" t="inlineStr">
        <is>
          <t>High</t>
        </is>
      </c>
      <c r="F20" t="inlineStr">
        <is>
          <t>&gt;=0</t>
        </is>
      </c>
      <c r="G20" t="inlineStr">
        <is>
          <t>All</t>
        </is>
      </c>
      <c r="H20" t="inlineStr">
        <is>
          <t>Capture contract-year basis</t>
        </is>
      </c>
    </row>
    <row r="21">
      <c r="A21" t="inlineStr">
        <is>
          <t>BESS Annual Availability</t>
        </is>
      </c>
      <c r="B21" t="inlineStr">
        <is>
          <t>minimum annual availability</t>
        </is>
      </c>
      <c r="C21" t="inlineStr">
        <is>
          <t>Percentage</t>
        </is>
      </c>
      <c r="D21" t="inlineStr">
        <is>
          <t>%</t>
        </is>
      </c>
      <c r="E21" t="inlineStr">
        <is>
          <t>High</t>
        </is>
      </c>
      <c r="F21" t="inlineStr">
        <is>
          <t>0–100</t>
        </is>
      </c>
      <c r="G21" t="inlineStr">
        <is>
          <t>BESS</t>
        </is>
      </c>
      <c r="H21" t="inlineStr">
        <is>
          <t>PLF not applicable</t>
        </is>
      </c>
    </row>
    <row r="22">
      <c r="A22" t="inlineStr">
        <is>
          <t>BESS Monthly Availability</t>
        </is>
      </c>
      <c r="B22" t="inlineStr">
        <is>
          <t>minimum monthly availability</t>
        </is>
      </c>
      <c r="C22" t="inlineStr">
        <is>
          <t>Percentage</t>
        </is>
      </c>
      <c r="D22" t="inlineStr">
        <is>
          <t>%</t>
        </is>
      </c>
      <c r="E22" t="inlineStr">
        <is>
          <t>High</t>
        </is>
      </c>
      <c r="F22" t="inlineStr">
        <is>
          <t>0–100</t>
        </is>
      </c>
      <c r="G22" t="inlineStr">
        <is>
          <t>BESS</t>
        </is>
      </c>
      <c r="H22" t="inlineStr">
        <is>
          <t>Payment-linked availability</t>
        </is>
      </c>
    </row>
    <row r="23">
      <c r="A23" t="inlineStr">
        <is>
          <t>Cycle Requirement</t>
        </is>
      </c>
      <c r="B23" t="inlineStr">
        <is>
          <t>cycles per day / contract year</t>
        </is>
      </c>
      <c r="C23" t="inlineStr">
        <is>
          <t>Number</t>
        </is>
      </c>
      <c r="D23" t="inlineStr">
        <is>
          <t>cycles</t>
        </is>
      </c>
      <c r="E23" t="inlineStr">
        <is>
          <t>High</t>
        </is>
      </c>
      <c r="F23" t="inlineStr">
        <is>
          <t>&gt;0</t>
        </is>
      </c>
      <c r="G23" t="inlineStr">
        <is>
          <t>BESS</t>
        </is>
      </c>
      <c r="H23" t="inlineStr">
        <is>
          <t>Capture full/partial cycles</t>
        </is>
      </c>
    </row>
    <row r="24">
      <c r="A24" t="inlineStr">
        <is>
          <t>Round-trip Efficiency</t>
        </is>
      </c>
      <c r="B24" t="inlineStr">
        <is>
          <t>minimum round trip efficiency</t>
        </is>
      </c>
      <c r="C24" t="inlineStr">
        <is>
          <t>Percentage</t>
        </is>
      </c>
      <c r="D24" t="inlineStr">
        <is>
          <t>%</t>
        </is>
      </c>
      <c r="E24" t="inlineStr">
        <is>
          <t>High</t>
        </is>
      </c>
      <c r="F24" t="inlineStr">
        <is>
          <t>0–100</t>
        </is>
      </c>
      <c r="G24" t="inlineStr">
        <is>
          <t>BESS</t>
        </is>
      </c>
      <c r="H24" t="inlineStr">
        <is>
          <t>AC-AC or DC-DC basis</t>
        </is>
      </c>
    </row>
    <row r="25">
      <c r="A25" t="inlineStr">
        <is>
          <t>Shortfall Tolerance</t>
        </is>
      </c>
      <c r="B25" t="inlineStr">
        <is>
          <t>permitted shortfall / tolerance</t>
        </is>
      </c>
      <c r="C25" t="inlineStr">
        <is>
          <t>Percentage</t>
        </is>
      </c>
      <c r="D25" t="inlineStr">
        <is>
          <t>%</t>
        </is>
      </c>
      <c r="E25" t="inlineStr">
        <is>
          <t>High</t>
        </is>
      </c>
      <c r="F25" t="inlineStr">
        <is>
          <t>0–100</t>
        </is>
      </c>
      <c r="G25" t="inlineStr">
        <is>
          <t>All</t>
        </is>
      </c>
      <c r="H25" t="inlineStr">
        <is>
          <t>Link to penalty evidence</t>
        </is>
      </c>
    </row>
    <row r="26">
      <c r="A26" t="inlineStr">
        <is>
          <t>Penalty Multiplier</t>
        </is>
      </c>
      <c r="B26" t="inlineStr">
        <is>
          <t>1.5 times / x tariff / market price</t>
        </is>
      </c>
      <c r="C26" t="inlineStr">
        <is>
          <t>Formula/text</t>
        </is>
      </c>
      <c r="D26" t="inlineStr">
        <is>
          <t>Text</t>
        </is>
      </c>
      <c r="E26" t="inlineStr">
        <is>
          <t>High</t>
        </is>
      </c>
      <c r="F26" t="inlineStr">
        <is>
          <t>Non-empty</t>
        </is>
      </c>
      <c r="G26" t="inlineStr">
        <is>
          <t>All</t>
        </is>
      </c>
      <c r="H26" t="inlineStr">
        <is>
          <t>Preserve full formula</t>
        </is>
      </c>
    </row>
    <row r="27">
      <c r="A27" t="inlineStr">
        <is>
          <t>External Energy Cap</t>
        </is>
      </c>
      <c r="B27" t="inlineStr">
        <is>
          <t>green market / bilateral / exchange cap</t>
        </is>
      </c>
      <c r="C27" t="inlineStr">
        <is>
          <t>Percentage</t>
        </is>
      </c>
      <c r="D27" t="inlineStr">
        <is>
          <t>%</t>
        </is>
      </c>
      <c r="E27" t="inlineStr">
        <is>
          <t>High</t>
        </is>
      </c>
      <c r="F27" t="inlineStr">
        <is>
          <t>0–100</t>
        </is>
      </c>
      <c r="G27" t="inlineStr">
        <is>
          <t>FDRE/RTC</t>
        </is>
      </c>
      <c r="H27" t="inlineStr">
        <is>
          <t>Separate source and charging rules</t>
        </is>
      </c>
    </row>
    <row r="28">
      <c r="A28" t="inlineStr">
        <is>
          <t>Merchant Sale Timing</t>
        </is>
      </c>
      <c r="B28" t="inlineStr">
        <is>
          <t>third-party or merchant sale after obligation</t>
        </is>
      </c>
      <c r="C28" t="inlineStr">
        <is>
          <t>Text</t>
        </is>
      </c>
      <c r="D28" t="inlineStr">
        <is>
          <t>Text</t>
        </is>
      </c>
      <c r="E28" t="inlineStr">
        <is>
          <t>Medium</t>
        </is>
      </c>
      <c r="F28" t="inlineStr">
        <is>
          <t>Non-empty</t>
        </is>
      </c>
      <c r="G28" t="inlineStr">
        <is>
          <t>FDRE/BESS</t>
        </is>
      </c>
      <c r="H28" t="inlineStr">
        <is>
          <t>Capture timing restriction</t>
        </is>
      </c>
    </row>
  </sheetData>
  <mergeCells count="1">
    <mergeCell ref="A1:H2"/>
  </mergeCells>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2" customWidth="1" style="64" min="1" max="1"/>
    <col width="34" customWidth="1" style="64" min="2" max="2"/>
    <col width="34" customWidth="1" style="64" min="3" max="3"/>
    <col width="30" customWidth="1" style="64" min="4" max="4"/>
    <col width="18" customWidth="1" style="64" min="5" max="5"/>
    <col width="18" customWidth="1" style="64" min="6" max="6"/>
    <col width="20" customWidth="1" style="64" min="7" max="7"/>
    <col width="36" customWidth="1" style="64" min="8" max="8"/>
  </cols>
  <sheetData>
    <row r="1">
      <c r="A1" s="306" t="inlineStr">
        <is>
          <t>V14 Production Readiness &amp; Acceptance</t>
        </is>
      </c>
      <c r="B1" s="1" t="n"/>
      <c r="C1" s="1" t="n"/>
      <c r="D1" s="1" t="n"/>
      <c r="E1" s="1" t="n"/>
      <c r="F1" s="1" t="n"/>
      <c r="G1" s="1" t="n"/>
      <c r="H1" s="1" t="n"/>
    </row>
    <row r="2">
      <c r="A2" s="1" t="n"/>
      <c r="B2" s="1" t="n"/>
      <c r="C2" s="1" t="n"/>
      <c r="D2" s="1" t="n"/>
      <c r="E2" s="1" t="n"/>
      <c r="F2" s="1" t="n"/>
      <c r="G2" s="1" t="n"/>
      <c r="H2" s="1" t="n"/>
    </row>
    <row r="3">
      <c r="A3" s="307" t="inlineStr">
        <is>
          <t>V14 is a clean repository release with corrected CI, stronger clause extraction, page-level evidence and connector acceptance controls.</t>
        </is>
      </c>
      <c r="B3" s="1" t="n"/>
      <c r="C3" s="1" t="n"/>
      <c r="D3" s="1" t="n"/>
      <c r="E3" s="1" t="n"/>
      <c r="F3" s="1" t="n"/>
      <c r="G3" s="1" t="n"/>
      <c r="H3" s="1" t="n"/>
    </row>
    <row r="5">
      <c r="A5" s="262" t="inlineStr">
        <is>
          <t>Control</t>
        </is>
      </c>
      <c r="B5" s="262" t="inlineStr">
        <is>
          <t>Purpose</t>
        </is>
      </c>
      <c r="C5" s="262" t="inlineStr">
        <is>
          <t>Pass Condition</t>
        </is>
      </c>
      <c r="D5" s="262" t="inlineStr">
        <is>
          <t>Runtime Evidence</t>
        </is>
      </c>
      <c r="E5" s="262" t="inlineStr">
        <is>
          <t>Owner</t>
        </is>
      </c>
      <c r="F5" s="262" t="inlineStr">
        <is>
          <t>Frequency</t>
        </is>
      </c>
      <c r="G5" s="262" t="inlineStr">
        <is>
          <t>Status</t>
        </is>
      </c>
      <c r="H5" s="262" t="inlineStr">
        <is>
          <t>Notes</t>
        </is>
      </c>
    </row>
    <row r="6">
      <c r="A6" t="inlineStr">
        <is>
          <t>Unit tests</t>
        </is>
      </c>
      <c r="B6" t="inlineStr">
        <is>
          <t>Protect parser and filtering logic</t>
        </is>
      </c>
      <c r="C6" t="inlineStr">
        <is>
          <t>All tests pass</t>
        </is>
      </c>
      <c r="D6" t="inlineStr">
        <is>
          <t>GitHub Actions test log</t>
        </is>
      </c>
      <c r="E6" t="inlineStr">
        <is>
          <t>Maintainer</t>
        </is>
      </c>
      <c r="F6" t="inlineStr">
        <is>
          <t>Every push</t>
        </is>
      </c>
      <c r="G6" t="inlineStr">
        <is>
          <t>Configured</t>
        </is>
      </c>
    </row>
    <row r="7">
      <c r="A7" t="inlineStr">
        <is>
          <t>Workflow syntax</t>
        </is>
      </c>
      <c r="B7" t="inlineStr">
        <is>
          <t>Prevent invalid YAML</t>
        </is>
      </c>
      <c r="C7" t="inlineStr">
        <is>
          <t>Workflow loads and job graph appears</t>
        </is>
      </c>
      <c r="D7" t="inlineStr">
        <is>
          <t>Actions run</t>
        </is>
      </c>
      <c r="E7" t="inlineStr">
        <is>
          <t>Maintainer</t>
        </is>
      </c>
      <c r="F7" t="inlineStr">
        <is>
          <t>Every change</t>
        </is>
      </c>
      <c r="G7" t="inlineStr">
        <is>
          <t>Configured</t>
        </is>
      </c>
    </row>
    <row r="8">
      <c r="A8" t="inlineStr">
        <is>
          <t>Connector health</t>
        </is>
      </c>
      <c r="B8" t="inlineStr">
        <is>
          <t>Track source failures</t>
        </is>
      </c>
      <c r="C8" t="inlineStr">
        <is>
          <t>Each enabled connector reports status</t>
        </is>
      </c>
      <c r="D8" t="inlineStr">
        <is>
          <t>Logs/connector_health.json</t>
        </is>
      </c>
      <c r="E8" t="inlineStr">
        <is>
          <t>Maintainer</t>
        </is>
      </c>
      <c r="F8" t="inlineStr">
        <is>
          <t>Daily</t>
        </is>
      </c>
      <c r="G8" t="inlineStr">
        <is>
          <t>Configured</t>
        </is>
      </c>
    </row>
    <row r="9">
      <c r="A9" t="inlineStr">
        <is>
          <t>Workbook safety</t>
        </is>
      </c>
      <c r="B9" t="inlineStr">
        <is>
          <t>Prevent data loss</t>
        </is>
      </c>
      <c r="C9" t="inlineStr">
        <is>
          <t>Backup before every live save</t>
        </is>
      </c>
      <c r="D9" t="inlineStr">
        <is>
          <t>backups/ folder</t>
        </is>
      </c>
      <c r="E9" t="inlineStr">
        <is>
          <t>Automation</t>
        </is>
      </c>
      <c r="F9" t="inlineStr">
        <is>
          <t>Daily</t>
        </is>
      </c>
      <c r="G9" t="inlineStr">
        <is>
          <t>Configured</t>
        </is>
      </c>
    </row>
    <row r="10">
      <c r="A10" t="inlineStr">
        <is>
          <t>PLF evidence</t>
        </is>
      </c>
      <c r="B10" t="inlineStr">
        <is>
          <t>Avoid unsupported extraction</t>
        </is>
      </c>
      <c r="C10" t="inlineStr">
        <is>
          <t>Value + confidence + page snippet</t>
        </is>
      </c>
      <c r="D10" t="inlineStr">
        <is>
          <t>Clause Extraction QA</t>
        </is>
      </c>
      <c r="E10" t="inlineStr">
        <is>
          <t>Reviewer</t>
        </is>
      </c>
      <c r="F10" t="inlineStr">
        <is>
          <t>Per tender</t>
        </is>
      </c>
      <c r="G10" t="inlineStr">
        <is>
          <t>Configured</t>
        </is>
      </c>
    </row>
    <row r="11">
      <c r="A11" t="inlineStr">
        <is>
          <t>No-inference policy</t>
        </is>
      </c>
      <c r="B11" t="inlineStr">
        <is>
          <t>Avoid fabricated commercial terms</t>
        </is>
      </c>
      <c r="C11" t="inlineStr">
        <is>
          <t>Missing clauses remain Not verified</t>
        </is>
      </c>
      <c r="D11" t="inlineStr">
        <is>
          <t>Master Tenders</t>
        </is>
      </c>
      <c r="E11" t="inlineStr">
        <is>
          <t>Reviewer</t>
        </is>
      </c>
      <c r="F11" t="inlineStr">
        <is>
          <t>Per tender</t>
        </is>
      </c>
      <c r="G11" t="inlineStr">
        <is>
          <t>Configured</t>
        </is>
      </c>
    </row>
    <row r="12">
      <c r="A12" t="inlineStr">
        <is>
          <t>Closed removal</t>
        </is>
      </c>
      <c r="B12" t="inlineStr">
        <is>
          <t>Keep active list current</t>
        </is>
      </c>
      <c r="C12" t="inlineStr">
        <is>
          <t>Closed/expired removed from Master</t>
        </is>
      </c>
      <c r="D12" t="inlineStr">
        <is>
          <t>Exclusion Log</t>
        </is>
      </c>
      <c r="E12" t="inlineStr">
        <is>
          <t>Automation</t>
        </is>
      </c>
      <c r="F12" t="inlineStr">
        <is>
          <t>Daily</t>
        </is>
      </c>
      <c r="G12" t="inlineStr">
        <is>
          <t>Configured</t>
        </is>
      </c>
    </row>
    <row r="13">
      <c r="A13" t="inlineStr">
        <is>
          <t>Portal acceptance</t>
        </is>
      </c>
      <c r="B13" t="inlineStr">
        <is>
          <t>Validate live selectors</t>
        </is>
      </c>
      <c r="C13" t="inlineStr">
        <is>
          <t>Expected official records returned</t>
        </is>
      </c>
      <c r="D13" t="inlineStr">
        <is>
          <t>Connector Health</t>
        </is>
      </c>
      <c r="E13" t="inlineStr">
        <is>
          <t>Maintainer</t>
        </is>
      </c>
      <c r="F13" t="inlineStr">
        <is>
          <t>Initial + after changes</t>
        </is>
      </c>
      <c r="G13" t="inlineStr">
        <is>
          <t>Pending live tests</t>
        </is>
      </c>
    </row>
  </sheetData>
  <mergeCells count="2">
    <mergeCell ref="A1:H2"/>
    <mergeCell ref="A3:H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2026-08-03T06:14:45Z</dcterms:created>
  <dcterms:modified xmlns:dcterms="http://purl.org/dc/terms/" xmlns:xsi="http://www.w3.org/2001/XMLSchema-instance" xsi:type="dcterms:W3CDTF">2026-10-17T07:26:00Z</dcterms:modified>
</cp:coreProperties>
</file>