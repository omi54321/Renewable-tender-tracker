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SJVN-BESS2</t>
        </is>
      </c>
      <c r="B2" s="37" t="inlineStr">
        <is>
          <t>Central</t>
        </is>
      </c>
      <c r="C2" s="37" t="inlineStr">
        <is>
          <t>SJVN</t>
        </is>
      </c>
      <c r="D2" s="37" t="inlineStr">
        <is>
          <t>Haryana</t>
        </is>
      </c>
      <c r="E2" s="37" t="inlineStr">
        <is>
          <t>SJVN/CCDelhi/REIA/2026/BESS-2</t>
        </is>
      </c>
      <c r="F2" s="37" t="inlineStr">
        <is>
          <t>BESS</t>
        </is>
      </c>
      <c r="G2" s="274" t="n">
        <v>265</v>
      </c>
      <c r="H2" s="37" t="inlineStr">
        <is>
          <t>Yes</t>
        </is>
      </c>
      <c r="I2" s="37" t="n">
        <v>2</v>
      </c>
      <c r="J2" s="37" t="inlineStr">
        <is>
          <t>Standalone BESS under VGF and TBCB</t>
        </is>
      </c>
      <c r="K2" s="274" t="n"/>
      <c r="L2" s="37" t="n"/>
      <c r="M2" s="37" t="inlineStr">
        <is>
          <t>As per RfS</t>
        </is>
      </c>
      <c r="N2" s="280" t="n">
        <v>46255</v>
      </c>
      <c r="O2" s="280" t="n"/>
      <c r="P2" s="280" t="n"/>
      <c r="Q2" s="280" t="inlineStr">
        <is>
          <t>Open</t>
        </is>
      </c>
      <c r="R2" s="280" t="n">
        <v>46236</v>
      </c>
      <c r="S2" s="37" t="n">
        <v>0</v>
      </c>
      <c r="T2" s="37" t="inlineStr">
        <is>
          <t>https://sjvn.nic.in/en/tender</t>
        </is>
      </c>
      <c r="U2" s="37" t="n"/>
      <c r="V2" s="37" t="inlineStr">
        <is>
          <t>265 MW / 530 MWh BESS in Haryana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IF(A4="","",C4&amp;"|"&amp;E4&amp;"|"&amp;TEXT(N4,"yyyymmdd")&amp;"|"&amp;Q4&amp;"|"&amp;S4&amp;"|"&amp;TEXT(AI4,"yyyymmdd"))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Core fields</t>
        </is>
      </c>
      <c r="AE2" s="281">
        <f>IF(A4="","",IF(AC4="Official agency page",3,IF(AC4="Official government portal",3,IF(AC4="Official tender document",4,1)))+IF(AD4="Core fields",2,1))</f>
        <v/>
      </c>
      <c r="AF2" s="281">
        <f>IF(A4="","",IF(OR(Q4="Open",Q4="Extended"),"Current Opportunity",IF(Q4="Corrigendum","Needs Status Check",IF(Q4="Evaluation","Under Evaluation","Historical / Closed"))))</f>
        <v/>
      </c>
      <c r="AG2" s="281" t="n">
        <v>46227</v>
      </c>
      <c r="AH2" s="281" t="n"/>
      <c r="AI2" s="281" t="n"/>
      <c r="AJ2" t="inlineStr">
        <is>
          <t>No corrigendum identified in the captured official listing.</t>
        </is>
      </c>
      <c r="AK2" t="inlineStr">
        <is>
          <t>Standalone BESS under VGF and tariff-based competitive bidding</t>
        </is>
      </c>
      <c r="AL2" t="inlineStr">
        <is>
          <t>Dispatch schedule and availability obligations governed by RfS/BESSA/BESPA</t>
        </is>
      </c>
      <c r="AM2" t="inlineStr">
        <is>
          <t>Not verified from accessible document text</t>
        </is>
      </c>
      <c r="AN2" t="inlineStr">
        <is>
          <t>PLF is not applicable to standalone BESS; monthly availability/energy obligations require document review</t>
        </is>
      </c>
      <c r="AO2" t="inlineStr">
        <is>
          <t>Annual PLF/CUF not applicable; annual availability/cycle obligations require document review</t>
        </is>
      </c>
      <c r="AP2" t="inlineStr">
        <is>
          <t>Not verified from accessible document text</t>
        </is>
      </c>
      <c r="AQ2" t="inlineStr">
        <is>
          <t>Not verified from accessible document text</t>
        </is>
      </c>
      <c r="AR2" t="inlineStr">
        <is>
          <t>Charging-source provision not verified from accessible document text</t>
        </is>
      </c>
      <c r="AS2" t="inlineStr">
        <is>
          <t>Not verified</t>
        </is>
      </c>
      <c r="AT2" t="inlineStr">
        <is>
          <t>Official RfS PDF was listed but could not be reliably fetched in this review</t>
        </is>
      </c>
      <c r="AU2" t="inlineStr">
        <is>
          <t>Merchant-use rights not verified</t>
        </is>
      </c>
      <c r="AV2" t="inlineStr">
        <is>
          <t>https://sjvn.nic.in/sites/default/files/2026-07/RfS%20BESS%202%20240726.pdf</t>
        </is>
      </c>
      <c r="AW2" t="inlineStr">
        <is>
          <t>Document-level review pending; no assumptions inserted</t>
        </is>
      </c>
      <c r="AY2" s="282" t="n">
        <v>46254.15379770978</v>
      </c>
    </row>
    <row r="3">
      <c r="A3" s="37" t="inlineStr">
        <is>
          <t>MSEDCL-BESS-2000</t>
        </is>
      </c>
      <c r="B3" s="37" t="inlineStr">
        <is>
          <t>Maharashtra</t>
        </is>
      </c>
      <c r="C3" s="37" t="inlineStr">
        <is>
          <t>MSEDCL</t>
        </is>
      </c>
      <c r="D3" s="37" t="inlineStr">
        <is>
          <t>Maharashtra</t>
        </is>
      </c>
      <c r="E3" s="37" t="inlineStr">
        <is>
          <t>RfS-2000MW-4000MWh-BESS-2026</t>
        </is>
      </c>
      <c r="F3" s="37" t="inlineStr">
        <is>
          <t>BESS</t>
        </is>
      </c>
      <c r="G3" s="274" t="n">
        <v>2000</v>
      </c>
      <c r="H3" s="37" t="inlineStr">
        <is>
          <t>Yes</t>
        </is>
      </c>
      <c r="I3" s="37" t="n">
        <v>2</v>
      </c>
      <c r="J3" s="37" t="inlineStr">
        <is>
          <t>Tariff-based competitive bidding</t>
        </is>
      </c>
      <c r="K3" s="274" t="n"/>
      <c r="L3" s="37" t="n"/>
      <c r="M3" s="37" t="inlineStr">
        <is>
          <t>As per RfS</t>
        </is>
      </c>
      <c r="N3" s="280" t="n"/>
      <c r="O3" s="280" t="n"/>
      <c r="P3" s="280" t="n"/>
      <c r="Q3" s="280" t="inlineStr">
        <is>
          <t>Corrigendum</t>
        </is>
      </c>
      <c r="R3" s="280" t="n">
        <v>46236</v>
      </c>
      <c r="S3" s="37" t="n">
        <v>2</v>
      </c>
      <c r="T3" s="37" t="inlineStr">
        <is>
          <t>https://www.mahadiscom.in/en/supplier/tenders/</t>
        </is>
      </c>
      <c r="U3" s="37" t="n"/>
      <c r="V3" s="37" t="inlineStr">
        <is>
          <t>Corrigendum-2 published 22-Jul-2026; deadline not visible on listing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A3">
        <f>IF(A5="","",C5&amp;"|"&amp;E5&amp;"|"&amp;TEXT(N5,"yyyymmdd")&amp;"|"&amp;Q5&amp;"|"&amp;S5&amp;"|"&amp;TEXT(AI5,"yyyymmdd"))</f>
        <v/>
      </c>
      <c r="AB3" s="281" t="n">
        <v>46236</v>
      </c>
      <c r="AC3" s="281" t="inlineStr">
        <is>
          <t>Official agency page</t>
        </is>
      </c>
      <c r="AD3" s="281" t="inlineStr">
        <is>
          <t>Partial</t>
        </is>
      </c>
      <c r="AE3" s="281">
        <f>IF(A5="","",IF(AC5="Official agency page",3,IF(AC5="Official government portal",3,IF(AC5="Official tender document",4,1)))+IF(AD5="Core fields",2,1))</f>
        <v/>
      </c>
      <c r="AF3" s="281">
        <f>IF(A5="","",IF(OR(Q5="Open",Q5="Extended"),"Current Opportunity",IF(Q5="Corrigendum","Needs Status Check",IF(Q5="Evaluation","Under Evaluation","Historical / Closed"))))</f>
        <v/>
      </c>
      <c r="AG3" s="281" t="n">
        <v>46203</v>
      </c>
      <c r="AH3" s="281" t="inlineStr">
        <is>
          <t>2026-07-07; 2026-07-22</t>
        </is>
      </c>
      <c r="AI3" s="281" t="n">
        <v>46225</v>
      </c>
      <c r="AJ3" t="inlineStr">
        <is>
          <t>Addendum-1 and Addendum-2 published 07-Jul-2026; Corrigendum-2 published 22-Jul-2026</t>
        </is>
      </c>
      <c r="AK3" t="inlineStr">
        <is>
          <t>Standalone BESS under tariff-based competitive bidding</t>
        </is>
      </c>
      <c r="AL3" t="inlineStr">
        <is>
          <t>Dispatch/charging schedule governed by RfS and BESPA</t>
        </is>
      </c>
      <c r="AM3" t="inlineStr">
        <is>
          <t>PLF is not applicable to standalone BESS; daily cycle and availability obligations require current 2026 RfS review</t>
        </is>
      </c>
      <c r="AN3" t="inlineStr">
        <is>
          <t>Monthly availability/payment condition not verified from accessible current document text</t>
        </is>
      </c>
      <c r="AO3" t="inlineStr">
        <is>
          <t>Annual PLF/CUF not applicable; annual availability requirement not verified</t>
        </is>
      </c>
      <c r="AP3" t="inlineStr">
        <is>
          <t>Not verified from accessible current 2026 document text</t>
        </is>
      </c>
      <c r="AQ3" t="inlineStr">
        <is>
          <t>Not verified from accessible current 2026 document text</t>
        </is>
      </c>
      <c r="AR3" t="inlineStr">
        <is>
          <t>Charging source and grid/exchange charging permission not verified</t>
        </is>
      </c>
      <c r="AS3" t="inlineStr">
        <is>
          <t>Not verified</t>
        </is>
      </c>
      <c r="AT3" t="inlineStr">
        <is>
          <t>Current 2026 tender and corrigenda are visible on MSEDCL, but detailed clauses require opening the RfS/corrigendum PDF</t>
        </is>
      </c>
      <c r="AU3" t="inlineStr">
        <is>
          <t>Merchant-use rights not verified</t>
        </is>
      </c>
      <c r="AV3" t="inlineStr">
        <is>
          <t>https://www.mahadiscom.in/en/supplier/tenders/</t>
        </is>
      </c>
      <c r="AW3" t="inlineStr">
        <is>
          <t>Tender confirmed; commercial clause extraction pending</t>
        </is>
      </c>
      <c r="AY3" s="282" t="n">
        <v>46254.15379770978</v>
      </c>
    </row>
    <row r="4">
      <c r="A4" s="37" t="inlineStr">
        <is>
          <t>SECI000240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SECI/C&amp;P/IPP/13/0020/25-26</t>
        </is>
      </c>
      <c r="F4" s="37" t="inlineStr">
        <is>
          <t>FDRE</t>
        </is>
      </c>
      <c r="G4" s="274" t="n">
        <v>1000</v>
      </c>
      <c r="H4" s="37" t="inlineStr">
        <is>
          <t>No</t>
        </is>
      </c>
      <c r="I4" s="37" t="n"/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46237.26024921297</v>
      </c>
      <c r="S4" s="37" t="n">
        <v>0</v>
      </c>
      <c r="T4" s="37" t="inlineStr">
        <is>
          <t>https://www.seci.co.in/tender-details/YmZ3</t>
        </is>
      </c>
      <c r="U4" s="37" t="n"/>
      <c r="V4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46237.26024921297</v>
      </c>
      <c r="AY4" s="282" t="n">
        <v>46254.15379770978</v>
      </c>
      <c r="AZ4" t="inlineStr">
        <is>
          <t>014f0276d0bedb946c97bc1d31fd766e19a14673016f74b3288a3d56aab0e824</t>
        </is>
      </c>
    </row>
    <row r="5">
      <c r="A5" s="37" t="inlineStr">
        <is>
          <t>SECI000258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SECI/C&amp;P/IPP/13/0006/26-27</t>
        </is>
      </c>
      <c r="F5" s="37" t="inlineStr">
        <is>
          <t>FDRE</t>
        </is>
      </c>
      <c r="G5" s="274" t="n">
        <v>1500</v>
      </c>
      <c r="H5" s="37" t="inlineStr">
        <is>
          <t>Yes</t>
        </is>
      </c>
      <c r="I5" s="37" t="n">
        <v>4</v>
      </c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46243.17686518518</v>
      </c>
      <c r="S5" s="37" t="n">
        <v>0</v>
      </c>
      <c r="T5" s="37" t="inlineStr">
        <is>
          <t>https://www.seci.co.in/tender-details/Ymd_</t>
        </is>
      </c>
      <c r="U5" s="37" t="n"/>
      <c r="V5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46243.17686518518</v>
      </c>
      <c r="AY5" s="282" t="n">
        <v>46254.15379770978</v>
      </c>
      <c r="AZ5" t="inlineStr">
        <is>
          <t>63f0892f32e39002cd45d1e3a78c55637433070adc204427287bd864299eff80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A213" t="inlineStr"/>
      <c r="B213" t="inlineStr">
        <is>
          <t>NTPC REL</t>
        </is>
      </c>
      <c r="C213" t="inlineStr"/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A214" t="inlineStr"/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A215" t="inlineStr"/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A216" t="inlineStr"/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A217" t="inlineStr"/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46254.15379770978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46254.15379770978</v>
      </c>
      <c r="H522" s="282" t="n">
        <v>46254.15379770978</v>
      </c>
      <c r="I522" t="n">
        <v>4</v>
      </c>
      <c r="J522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2026-08-20T03:41:28Z</dcterms:modified>
</cp:coreProperties>
</file>